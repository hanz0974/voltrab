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27c43757fe54f6/Documents/"/>
    </mc:Choice>
  </mc:AlternateContent>
  <xr:revisionPtr revIDLastSave="0" documentId="8_{49F3E587-96A9-4D59-B82E-839D2A463F12}" xr6:coauthVersionLast="47" xr6:coauthVersionMax="47" xr10:uidLastSave="{00000000-0000-0000-0000-000000000000}"/>
  <bookViews>
    <workbookView xWindow="-108" yWindow="-108" windowWidth="23256" windowHeight="13176" xr2:uid="{BA704B4E-A79B-4884-858C-19659920DE19}"/>
  </bookViews>
  <sheets>
    <sheet name="Sheet1" sheetId="1" r:id="rId1"/>
  </sheets>
  <externalReferences>
    <externalReference r:id="rId2"/>
  </externalReferences>
  <definedNames>
    <definedName name="TENAGA">#REF!</definedName>
    <definedName name="upahbahan">'[1]Upah Bahan'!$F$9:$H$2852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33" i="1" l="1"/>
  <c r="H9331" i="1"/>
  <c r="G9328" i="1"/>
  <c r="H9328" i="1" s="1"/>
  <c r="G9327" i="1"/>
  <c r="H9327" i="1" s="1"/>
  <c r="G9326" i="1"/>
  <c r="H9326" i="1" s="1"/>
  <c r="G9325" i="1"/>
  <c r="H9325" i="1" s="1"/>
  <c r="G9322" i="1"/>
  <c r="H9322" i="1" s="1"/>
  <c r="G9321" i="1"/>
  <c r="H9321" i="1" s="1"/>
  <c r="H9320" i="1"/>
  <c r="G9320" i="1"/>
  <c r="H9319" i="1"/>
  <c r="H9323" i="1" s="1"/>
  <c r="G9319" i="1"/>
  <c r="G9313" i="1"/>
  <c r="H9311" i="1"/>
  <c r="G9308" i="1"/>
  <c r="H9308" i="1" s="1"/>
  <c r="G9307" i="1"/>
  <c r="H9307" i="1" s="1"/>
  <c r="G9306" i="1"/>
  <c r="H9306" i="1" s="1"/>
  <c r="G9305" i="1"/>
  <c r="H9305" i="1" s="1"/>
  <c r="G9302" i="1"/>
  <c r="H9302" i="1" s="1"/>
  <c r="G9301" i="1"/>
  <c r="H9301" i="1" s="1"/>
  <c r="H9300" i="1"/>
  <c r="G9300" i="1"/>
  <c r="G9299" i="1"/>
  <c r="H9299" i="1" s="1"/>
  <c r="H9303" i="1" s="1"/>
  <c r="G9292" i="1"/>
  <c r="H9290" i="1"/>
  <c r="G9287" i="1"/>
  <c r="H9287" i="1" s="1"/>
  <c r="H9286" i="1"/>
  <c r="G9286" i="1"/>
  <c r="H9285" i="1"/>
  <c r="G9285" i="1"/>
  <c r="G9284" i="1"/>
  <c r="H9284" i="1" s="1"/>
  <c r="G9281" i="1"/>
  <c r="H9281" i="1" s="1"/>
  <c r="G9280" i="1"/>
  <c r="H9280" i="1" s="1"/>
  <c r="G9279" i="1"/>
  <c r="H9279" i="1" s="1"/>
  <c r="H9278" i="1"/>
  <c r="G9278" i="1"/>
  <c r="G9271" i="1"/>
  <c r="H9269" i="1"/>
  <c r="G9266" i="1"/>
  <c r="H9266" i="1" s="1"/>
  <c r="H9267" i="1" s="1"/>
  <c r="G9263" i="1"/>
  <c r="H9263" i="1" s="1"/>
  <c r="H9262" i="1"/>
  <c r="G9262" i="1"/>
  <c r="H9261" i="1"/>
  <c r="G9261" i="1"/>
  <c r="G9260" i="1"/>
  <c r="H9260" i="1" s="1"/>
  <c r="H9264" i="1" s="1"/>
  <c r="G9254" i="1"/>
  <c r="H9253" i="1"/>
  <c r="H9252" i="1"/>
  <c r="H9250" i="1"/>
  <c r="G9249" i="1"/>
  <c r="H9249" i="1" s="1"/>
  <c r="G9246" i="1"/>
  <c r="H9246" i="1" s="1"/>
  <c r="G9245" i="1"/>
  <c r="H9245" i="1" s="1"/>
  <c r="H9244" i="1"/>
  <c r="G9244" i="1"/>
  <c r="G9243" i="1"/>
  <c r="H9243" i="1" s="1"/>
  <c r="H9247" i="1" s="1"/>
  <c r="G9237" i="1"/>
  <c r="H9235" i="1"/>
  <c r="G9232" i="1"/>
  <c r="H9232" i="1" s="1"/>
  <c r="H9233" i="1" s="1"/>
  <c r="G9229" i="1"/>
  <c r="H9229" i="1" s="1"/>
  <c r="H9228" i="1"/>
  <c r="G9228" i="1"/>
  <c r="H9227" i="1"/>
  <c r="G9227" i="1"/>
  <c r="G9226" i="1"/>
  <c r="H9226" i="1" s="1"/>
  <c r="G9220" i="1"/>
  <c r="H9218" i="1"/>
  <c r="H9216" i="1"/>
  <c r="G9215" i="1"/>
  <c r="H9215" i="1" s="1"/>
  <c r="G9212" i="1"/>
  <c r="H9212" i="1" s="1"/>
  <c r="G9211" i="1"/>
  <c r="H9211" i="1" s="1"/>
  <c r="H9210" i="1"/>
  <c r="G9210" i="1"/>
  <c r="H9209" i="1"/>
  <c r="G9209" i="1"/>
  <c r="G9203" i="1"/>
  <c r="H9201" i="1"/>
  <c r="G9198" i="1"/>
  <c r="H9198" i="1" s="1"/>
  <c r="H9199" i="1" s="1"/>
  <c r="G9195" i="1"/>
  <c r="H9195" i="1" s="1"/>
  <c r="H9194" i="1"/>
  <c r="G9194" i="1"/>
  <c r="H9193" i="1"/>
  <c r="H9196" i="1" s="1"/>
  <c r="G9193" i="1"/>
  <c r="G9192" i="1"/>
  <c r="H9192" i="1" s="1"/>
  <c r="G9186" i="1"/>
  <c r="H9184" i="1"/>
  <c r="G9181" i="1"/>
  <c r="H9181" i="1" s="1"/>
  <c r="H9182" i="1" s="1"/>
  <c r="G9178" i="1"/>
  <c r="H9178" i="1" s="1"/>
  <c r="G9177" i="1"/>
  <c r="H9177" i="1" s="1"/>
  <c r="G9176" i="1"/>
  <c r="H9176" i="1" s="1"/>
  <c r="H9175" i="1"/>
  <c r="G9175" i="1"/>
  <c r="G9169" i="1"/>
  <c r="H9167" i="1"/>
  <c r="G9164" i="1"/>
  <c r="H9164" i="1" s="1"/>
  <c r="H9165" i="1" s="1"/>
  <c r="H9161" i="1"/>
  <c r="G9161" i="1"/>
  <c r="H9160" i="1"/>
  <c r="G9160" i="1"/>
  <c r="H9159" i="1"/>
  <c r="G9159" i="1"/>
  <c r="G9158" i="1"/>
  <c r="H9158" i="1" s="1"/>
  <c r="H9162" i="1" s="1"/>
  <c r="G9152" i="1"/>
  <c r="H9150" i="1"/>
  <c r="G9147" i="1"/>
  <c r="H9147" i="1" s="1"/>
  <c r="H9148" i="1" s="1"/>
  <c r="H9151" i="1" s="1"/>
  <c r="G9144" i="1"/>
  <c r="H9144" i="1" s="1"/>
  <c r="G9143" i="1"/>
  <c r="H9143" i="1" s="1"/>
  <c r="H9142" i="1"/>
  <c r="G9142" i="1"/>
  <c r="G9141" i="1"/>
  <c r="H9141" i="1" s="1"/>
  <c r="H9145" i="1" s="1"/>
  <c r="G9135" i="1"/>
  <c r="H9133" i="1"/>
  <c r="G9130" i="1"/>
  <c r="H9130" i="1" s="1"/>
  <c r="H9131" i="1" s="1"/>
  <c r="H9128" i="1"/>
  <c r="H9127" i="1"/>
  <c r="G9127" i="1"/>
  <c r="H9126" i="1"/>
  <c r="G9126" i="1"/>
  <c r="H9125" i="1"/>
  <c r="G9125" i="1"/>
  <c r="G9124" i="1"/>
  <c r="H9124" i="1" s="1"/>
  <c r="G9118" i="1"/>
  <c r="H9116" i="1"/>
  <c r="H9117" i="1" s="1"/>
  <c r="H9114" i="1"/>
  <c r="G9113" i="1"/>
  <c r="H9113" i="1" s="1"/>
  <c r="G9110" i="1"/>
  <c r="H9110" i="1" s="1"/>
  <c r="G9109" i="1"/>
  <c r="H9109" i="1" s="1"/>
  <c r="H9108" i="1"/>
  <c r="G9108" i="1"/>
  <c r="H9107" i="1"/>
  <c r="H9111" i="1" s="1"/>
  <c r="G9107" i="1"/>
  <c r="G9101" i="1"/>
  <c r="H9099" i="1"/>
  <c r="H9096" i="1"/>
  <c r="H9097" i="1" s="1"/>
  <c r="G9096" i="1"/>
  <c r="H9093" i="1"/>
  <c r="G9093" i="1"/>
  <c r="H9092" i="1"/>
  <c r="G9092" i="1"/>
  <c r="H9091" i="1"/>
  <c r="G9091" i="1"/>
  <c r="G9090" i="1"/>
  <c r="H9090" i="1" s="1"/>
  <c r="H9094" i="1" s="1"/>
  <c r="G9084" i="1"/>
  <c r="H9082" i="1"/>
  <c r="G9079" i="1"/>
  <c r="H9079" i="1" s="1"/>
  <c r="H9080" i="1" s="1"/>
  <c r="G9076" i="1"/>
  <c r="H9076" i="1" s="1"/>
  <c r="G9075" i="1"/>
  <c r="H9075" i="1" s="1"/>
  <c r="G9074" i="1"/>
  <c r="H9074" i="1" s="1"/>
  <c r="G9073" i="1"/>
  <c r="H9073" i="1" s="1"/>
  <c r="H9077" i="1" s="1"/>
  <c r="G9067" i="1"/>
  <c r="H9065" i="1"/>
  <c r="G9062" i="1"/>
  <c r="H9062" i="1" s="1"/>
  <c r="H9063" i="1" s="1"/>
  <c r="H9059" i="1"/>
  <c r="G9059" i="1"/>
  <c r="H9058" i="1"/>
  <c r="G9058" i="1"/>
  <c r="H9057" i="1"/>
  <c r="G9057" i="1"/>
  <c r="G9056" i="1"/>
  <c r="H9056" i="1" s="1"/>
  <c r="G9049" i="1"/>
  <c r="H9047" i="1"/>
  <c r="H9045" i="1"/>
  <c r="G9044" i="1"/>
  <c r="H9044" i="1" s="1"/>
  <c r="G9041" i="1"/>
  <c r="H9041" i="1" s="1"/>
  <c r="G9040" i="1"/>
  <c r="H9040" i="1" s="1"/>
  <c r="H9039" i="1"/>
  <c r="G9039" i="1"/>
  <c r="H9038" i="1"/>
  <c r="G9038" i="1"/>
  <c r="G9032" i="1"/>
  <c r="H9030" i="1"/>
  <c r="H9027" i="1"/>
  <c r="H9028" i="1" s="1"/>
  <c r="G9027" i="1"/>
  <c r="H9025" i="1"/>
  <c r="G9024" i="1"/>
  <c r="H9024" i="1" s="1"/>
  <c r="H9023" i="1"/>
  <c r="G9023" i="1"/>
  <c r="H9022" i="1"/>
  <c r="G9022" i="1"/>
  <c r="G9021" i="1"/>
  <c r="H9021" i="1" s="1"/>
  <c r="G9015" i="1"/>
  <c r="H9013" i="1"/>
  <c r="G9010" i="1"/>
  <c r="H9010" i="1" s="1"/>
  <c r="H9011" i="1" s="1"/>
  <c r="G9007" i="1"/>
  <c r="H9007" i="1" s="1"/>
  <c r="G9006" i="1"/>
  <c r="H9006" i="1" s="1"/>
  <c r="H9005" i="1"/>
  <c r="G9005" i="1"/>
  <c r="G9004" i="1"/>
  <c r="H9004" i="1" s="1"/>
  <c r="H9008" i="1" s="1"/>
  <c r="G8998" i="1"/>
  <c r="H8996" i="1"/>
  <c r="H8997" i="1" s="1"/>
  <c r="G8993" i="1"/>
  <c r="H8993" i="1" s="1"/>
  <c r="H8994" i="1" s="1"/>
  <c r="H8990" i="1"/>
  <c r="G8990" i="1"/>
  <c r="H8989" i="1"/>
  <c r="G8989" i="1"/>
  <c r="H8988" i="1"/>
  <c r="G8988" i="1"/>
  <c r="G8987" i="1"/>
  <c r="H8987" i="1" s="1"/>
  <c r="H8991" i="1" s="1"/>
  <c r="G8980" i="1"/>
  <c r="H8978" i="1"/>
  <c r="H8976" i="1"/>
  <c r="G8975" i="1"/>
  <c r="H8975" i="1" s="1"/>
  <c r="G8972" i="1"/>
  <c r="H8972" i="1" s="1"/>
  <c r="G8971" i="1"/>
  <c r="H8971" i="1" s="1"/>
  <c r="H8970" i="1"/>
  <c r="G8970" i="1"/>
  <c r="H8969" i="1"/>
  <c r="H8973" i="1" s="1"/>
  <c r="H8979" i="1" s="1"/>
  <c r="G8969" i="1"/>
  <c r="G8962" i="1"/>
  <c r="H8960" i="1"/>
  <c r="H8957" i="1"/>
  <c r="H8958" i="1" s="1"/>
  <c r="G8957" i="1"/>
  <c r="G8954" i="1"/>
  <c r="H8954" i="1" s="1"/>
  <c r="H8953" i="1"/>
  <c r="G8953" i="1"/>
  <c r="H8952" i="1"/>
  <c r="G8952" i="1"/>
  <c r="G8951" i="1"/>
  <c r="H8951" i="1" s="1"/>
  <c r="H8955" i="1" s="1"/>
  <c r="G8945" i="1"/>
  <c r="H8943" i="1"/>
  <c r="G8940" i="1"/>
  <c r="H8940" i="1" s="1"/>
  <c r="H8941" i="1" s="1"/>
  <c r="G8937" i="1"/>
  <c r="H8937" i="1" s="1"/>
  <c r="G8936" i="1"/>
  <c r="H8936" i="1" s="1"/>
  <c r="G8935" i="1"/>
  <c r="H8935" i="1" s="1"/>
  <c r="G8934" i="1"/>
  <c r="H8934" i="1" s="1"/>
  <c r="G8927" i="1"/>
  <c r="H8925" i="1"/>
  <c r="G8922" i="1"/>
  <c r="H8922" i="1" s="1"/>
  <c r="H8923" i="1" s="1"/>
  <c r="H8919" i="1"/>
  <c r="G8919" i="1"/>
  <c r="H8918" i="1"/>
  <c r="G8918" i="1"/>
  <c r="H8917" i="1"/>
  <c r="G8917" i="1"/>
  <c r="G8916" i="1"/>
  <c r="H8916" i="1" s="1"/>
  <c r="G8910" i="1"/>
  <c r="H8908" i="1"/>
  <c r="H8906" i="1"/>
  <c r="G8905" i="1"/>
  <c r="H8905" i="1" s="1"/>
  <c r="H8903" i="1"/>
  <c r="G8902" i="1"/>
  <c r="H8902" i="1" s="1"/>
  <c r="G8901" i="1"/>
  <c r="H8901" i="1" s="1"/>
  <c r="G8900" i="1"/>
  <c r="H8900" i="1" s="1"/>
  <c r="H8899" i="1"/>
  <c r="G8899" i="1"/>
  <c r="G8893" i="1"/>
  <c r="H8891" i="1"/>
  <c r="G8888" i="1"/>
  <c r="H8888" i="1" s="1"/>
  <c r="H8889" i="1" s="1"/>
  <c r="H8885" i="1"/>
  <c r="G8885" i="1"/>
  <c r="H8884" i="1"/>
  <c r="G8884" i="1"/>
  <c r="G8883" i="1"/>
  <c r="H8883" i="1" s="1"/>
  <c r="G8882" i="1"/>
  <c r="H8882" i="1" s="1"/>
  <c r="G8876" i="1"/>
  <c r="H8874" i="1"/>
  <c r="H8872" i="1"/>
  <c r="H8875" i="1" s="1"/>
  <c r="G8871" i="1"/>
  <c r="H8871" i="1" s="1"/>
  <c r="G8868" i="1"/>
  <c r="H8868" i="1" s="1"/>
  <c r="G8867" i="1"/>
  <c r="H8867" i="1" s="1"/>
  <c r="G8866" i="1"/>
  <c r="H8866" i="1" s="1"/>
  <c r="G8865" i="1"/>
  <c r="H8865" i="1" s="1"/>
  <c r="H8869" i="1" s="1"/>
  <c r="G8859" i="1"/>
  <c r="H8857" i="1"/>
  <c r="G8854" i="1"/>
  <c r="H8854" i="1" s="1"/>
  <c r="H8855" i="1" s="1"/>
  <c r="G8851" i="1"/>
  <c r="H8851" i="1" s="1"/>
  <c r="H8850" i="1"/>
  <c r="G8850" i="1"/>
  <c r="H8849" i="1"/>
  <c r="G8849" i="1"/>
  <c r="G8848" i="1"/>
  <c r="H8848" i="1" s="1"/>
  <c r="H8852" i="1" s="1"/>
  <c r="G8842" i="1"/>
  <c r="H8840" i="1"/>
  <c r="G8837" i="1"/>
  <c r="H8837" i="1" s="1"/>
  <c r="H8838" i="1" s="1"/>
  <c r="G8834" i="1"/>
  <c r="H8834" i="1" s="1"/>
  <c r="G8833" i="1"/>
  <c r="H8833" i="1" s="1"/>
  <c r="G8832" i="1"/>
  <c r="H8832" i="1" s="1"/>
  <c r="G8831" i="1"/>
  <c r="H8831" i="1" s="1"/>
  <c r="H8835" i="1" s="1"/>
  <c r="G8824" i="1"/>
  <c r="H8822" i="1"/>
  <c r="G8819" i="1"/>
  <c r="H8819" i="1" s="1"/>
  <c r="H8820" i="1" s="1"/>
  <c r="H8816" i="1"/>
  <c r="G8816" i="1"/>
  <c r="H8815" i="1"/>
  <c r="G8815" i="1"/>
  <c r="H8814" i="1"/>
  <c r="G8814" i="1"/>
  <c r="G8813" i="1"/>
  <c r="H8813" i="1" s="1"/>
  <c r="G8807" i="1"/>
  <c r="H8805" i="1"/>
  <c r="H8803" i="1"/>
  <c r="G8802" i="1"/>
  <c r="H8802" i="1" s="1"/>
  <c r="G8799" i="1"/>
  <c r="H8799" i="1" s="1"/>
  <c r="G8798" i="1"/>
  <c r="H8798" i="1" s="1"/>
  <c r="G8797" i="1"/>
  <c r="H8797" i="1" s="1"/>
  <c r="H8800" i="1" s="1"/>
  <c r="H8796" i="1"/>
  <c r="G8796" i="1"/>
  <c r="G8790" i="1"/>
  <c r="H8788" i="1"/>
  <c r="G8785" i="1"/>
  <c r="H8785" i="1" s="1"/>
  <c r="H8786" i="1" s="1"/>
  <c r="H8782" i="1"/>
  <c r="G8782" i="1"/>
  <c r="H8781" i="1"/>
  <c r="G8781" i="1"/>
  <c r="G8780" i="1"/>
  <c r="H8780" i="1" s="1"/>
  <c r="G8779" i="1"/>
  <c r="H8779" i="1" s="1"/>
  <c r="G8773" i="1"/>
  <c r="H8771" i="1"/>
  <c r="G8768" i="1"/>
  <c r="H8768" i="1" s="1"/>
  <c r="H8769" i="1" s="1"/>
  <c r="H8772" i="1" s="1"/>
  <c r="G8765" i="1"/>
  <c r="H8765" i="1" s="1"/>
  <c r="G8764" i="1"/>
  <c r="H8764" i="1" s="1"/>
  <c r="H8763" i="1"/>
  <c r="G8763" i="1"/>
  <c r="H8762" i="1"/>
  <c r="H8766" i="1" s="1"/>
  <c r="G8762" i="1"/>
  <c r="G8756" i="1"/>
  <c r="H8754" i="1"/>
  <c r="G8751" i="1"/>
  <c r="H8751" i="1" s="1"/>
  <c r="H8752" i="1" s="1"/>
  <c r="H8748" i="1"/>
  <c r="G8748" i="1"/>
  <c r="H8747" i="1"/>
  <c r="G8747" i="1"/>
  <c r="H8746" i="1"/>
  <c r="G8746" i="1"/>
  <c r="G8745" i="1"/>
  <c r="H8745" i="1" s="1"/>
  <c r="H8749" i="1" s="1"/>
  <c r="G8739" i="1"/>
  <c r="H8737" i="1"/>
  <c r="G8734" i="1"/>
  <c r="H8734" i="1" s="1"/>
  <c r="H8735" i="1" s="1"/>
  <c r="H8738" i="1" s="1"/>
  <c r="G8731" i="1"/>
  <c r="H8731" i="1" s="1"/>
  <c r="H8732" i="1" s="1"/>
  <c r="G8730" i="1"/>
  <c r="H8730" i="1" s="1"/>
  <c r="H8729" i="1"/>
  <c r="G8729" i="1"/>
  <c r="H8728" i="1"/>
  <c r="G8728" i="1"/>
  <c r="G8722" i="1"/>
  <c r="H8720" i="1"/>
  <c r="G8717" i="1"/>
  <c r="H8717" i="1" s="1"/>
  <c r="H8718" i="1" s="1"/>
  <c r="H8714" i="1"/>
  <c r="G8714" i="1"/>
  <c r="H8713" i="1"/>
  <c r="G8713" i="1"/>
  <c r="H8712" i="1"/>
  <c r="G8712" i="1"/>
  <c r="G8711" i="1"/>
  <c r="H8711" i="1" s="1"/>
  <c r="H8715" i="1" s="1"/>
  <c r="G8705" i="1"/>
  <c r="H8703" i="1"/>
  <c r="G8700" i="1"/>
  <c r="H8700" i="1" s="1"/>
  <c r="H8701" i="1" s="1"/>
  <c r="G8697" i="1"/>
  <c r="H8697" i="1" s="1"/>
  <c r="G8696" i="1"/>
  <c r="H8696" i="1" s="1"/>
  <c r="H8695" i="1"/>
  <c r="G8695" i="1"/>
  <c r="G8694" i="1"/>
  <c r="H8694" i="1" s="1"/>
  <c r="H8698" i="1" s="1"/>
  <c r="G8688" i="1"/>
  <c r="H8686" i="1"/>
  <c r="G8683" i="1"/>
  <c r="H8683" i="1" s="1"/>
  <c r="H8684" i="1" s="1"/>
  <c r="H8680" i="1"/>
  <c r="G8680" i="1"/>
  <c r="G8679" i="1"/>
  <c r="H8679" i="1" s="1"/>
  <c r="H8678" i="1"/>
  <c r="G8678" i="1"/>
  <c r="G8677" i="1"/>
  <c r="H8677" i="1" s="1"/>
  <c r="G8671" i="1"/>
  <c r="H8669" i="1"/>
  <c r="G8666" i="1"/>
  <c r="H8666" i="1" s="1"/>
  <c r="H8667" i="1" s="1"/>
  <c r="H8670" i="1" s="1"/>
  <c r="G8663" i="1"/>
  <c r="H8663" i="1" s="1"/>
  <c r="H8664" i="1" s="1"/>
  <c r="G8662" i="1"/>
  <c r="H8662" i="1" s="1"/>
  <c r="H8661" i="1"/>
  <c r="G8661" i="1"/>
  <c r="H8660" i="1"/>
  <c r="G8660" i="1"/>
  <c r="G8653" i="1"/>
  <c r="H8651" i="1"/>
  <c r="G8648" i="1"/>
  <c r="H8648" i="1" s="1"/>
  <c r="H8649" i="1" s="1"/>
  <c r="H8645" i="1"/>
  <c r="G8645" i="1"/>
  <c r="H8644" i="1"/>
  <c r="G8644" i="1"/>
  <c r="H8643" i="1"/>
  <c r="G8643" i="1"/>
  <c r="G8642" i="1"/>
  <c r="H8642" i="1" s="1"/>
  <c r="H8646" i="1" s="1"/>
  <c r="G8636" i="1"/>
  <c r="H8634" i="1"/>
  <c r="H8632" i="1"/>
  <c r="G8631" i="1"/>
  <c r="H8631" i="1" s="1"/>
  <c r="G8628" i="1"/>
  <c r="H8628" i="1" s="1"/>
  <c r="G8627" i="1"/>
  <c r="H8627" i="1" s="1"/>
  <c r="H8626" i="1"/>
  <c r="G8626" i="1"/>
  <c r="G8625" i="1"/>
  <c r="H8625" i="1" s="1"/>
  <c r="H8629" i="1" s="1"/>
  <c r="G8619" i="1"/>
  <c r="H8617" i="1"/>
  <c r="G8614" i="1"/>
  <c r="H8614" i="1" s="1"/>
  <c r="H8615" i="1" s="1"/>
  <c r="H8611" i="1"/>
  <c r="G8611" i="1"/>
  <c r="H8610" i="1"/>
  <c r="G8610" i="1"/>
  <c r="H8609" i="1"/>
  <c r="H8612" i="1" s="1"/>
  <c r="G8609" i="1"/>
  <c r="G8608" i="1"/>
  <c r="H8608" i="1" s="1"/>
  <c r="G8602" i="1"/>
  <c r="H8600" i="1"/>
  <c r="H8601" i="1" s="1"/>
  <c r="G8597" i="1"/>
  <c r="H8597" i="1" s="1"/>
  <c r="H8598" i="1" s="1"/>
  <c r="G8594" i="1"/>
  <c r="H8594" i="1" s="1"/>
  <c r="G8593" i="1"/>
  <c r="H8593" i="1" s="1"/>
  <c r="H8592" i="1"/>
  <c r="G8592" i="1"/>
  <c r="G8591" i="1"/>
  <c r="H8591" i="1" s="1"/>
  <c r="H8595" i="1" s="1"/>
  <c r="G8585" i="1"/>
  <c r="H8583" i="1"/>
  <c r="H8580" i="1"/>
  <c r="H8581" i="1" s="1"/>
  <c r="G8580" i="1"/>
  <c r="H8577" i="1"/>
  <c r="G8577" i="1"/>
  <c r="G8576" i="1"/>
  <c r="H8576" i="1" s="1"/>
  <c r="G8575" i="1"/>
  <c r="H8575" i="1" s="1"/>
  <c r="G8574" i="1"/>
  <c r="H8574" i="1" s="1"/>
  <c r="G8567" i="1"/>
  <c r="H8565" i="1"/>
  <c r="H8563" i="1"/>
  <c r="H8562" i="1"/>
  <c r="G8562" i="1"/>
  <c r="G8559" i="1"/>
  <c r="H8559" i="1" s="1"/>
  <c r="G8558" i="1"/>
  <c r="H8558" i="1" s="1"/>
  <c r="H8557" i="1"/>
  <c r="G8557" i="1"/>
  <c r="G8556" i="1"/>
  <c r="H8556" i="1" s="1"/>
  <c r="H8560" i="1" s="1"/>
  <c r="G8550" i="1"/>
  <c r="H8548" i="1"/>
  <c r="G8545" i="1"/>
  <c r="H8545" i="1" s="1"/>
  <c r="H8546" i="1" s="1"/>
  <c r="H8542" i="1"/>
  <c r="G8542" i="1"/>
  <c r="H8541" i="1"/>
  <c r="G8541" i="1"/>
  <c r="H8540" i="1"/>
  <c r="G8540" i="1"/>
  <c r="G8539" i="1"/>
  <c r="H8539" i="1" s="1"/>
  <c r="H8543" i="1" s="1"/>
  <c r="G8532" i="1"/>
  <c r="H8530" i="1"/>
  <c r="G8527" i="1"/>
  <c r="H8527" i="1" s="1"/>
  <c r="H8528" i="1" s="1"/>
  <c r="G8524" i="1"/>
  <c r="H8524" i="1" s="1"/>
  <c r="G8523" i="1"/>
  <c r="H8523" i="1" s="1"/>
  <c r="G8522" i="1"/>
  <c r="H8522" i="1" s="1"/>
  <c r="H8525" i="1" s="1"/>
  <c r="G8521" i="1"/>
  <c r="H8521" i="1" s="1"/>
  <c r="G8514" i="1"/>
  <c r="H8512" i="1"/>
  <c r="H8509" i="1"/>
  <c r="H8510" i="1" s="1"/>
  <c r="G8509" i="1"/>
  <c r="H8506" i="1"/>
  <c r="G8506" i="1"/>
  <c r="G8505" i="1"/>
  <c r="H8505" i="1" s="1"/>
  <c r="G8504" i="1"/>
  <c r="H8504" i="1" s="1"/>
  <c r="G8503" i="1"/>
  <c r="H8503" i="1" s="1"/>
  <c r="G8496" i="1"/>
  <c r="H8494" i="1"/>
  <c r="H8491" i="1"/>
  <c r="H8492" i="1" s="1"/>
  <c r="G8491" i="1"/>
  <c r="H8490" i="1"/>
  <c r="G8490" i="1"/>
  <c r="G8487" i="1"/>
  <c r="H8487" i="1" s="1"/>
  <c r="G8486" i="1"/>
  <c r="H8486" i="1" s="1"/>
  <c r="G8485" i="1"/>
  <c r="H8485" i="1" s="1"/>
  <c r="G8484" i="1"/>
  <c r="H8484" i="1" s="1"/>
  <c r="G8478" i="1"/>
  <c r="H8476" i="1"/>
  <c r="G8473" i="1"/>
  <c r="H8473" i="1" s="1"/>
  <c r="H8474" i="1" s="1"/>
  <c r="H8470" i="1"/>
  <c r="G8470" i="1"/>
  <c r="G8469" i="1"/>
  <c r="H8469" i="1" s="1"/>
  <c r="G8468" i="1"/>
  <c r="H8468" i="1" s="1"/>
  <c r="G8467" i="1"/>
  <c r="H8467" i="1" s="1"/>
  <c r="H8471" i="1" s="1"/>
  <c r="G8460" i="1"/>
  <c r="H8458" i="1"/>
  <c r="H8455" i="1"/>
  <c r="H8456" i="1" s="1"/>
  <c r="G8455" i="1"/>
  <c r="G8452" i="1"/>
  <c r="H8452" i="1" s="1"/>
  <c r="G8451" i="1"/>
  <c r="H8451" i="1" s="1"/>
  <c r="H8450" i="1"/>
  <c r="G8450" i="1"/>
  <c r="H8449" i="1"/>
  <c r="H8453" i="1" s="1"/>
  <c r="G8449" i="1"/>
  <c r="G8443" i="1"/>
  <c r="H8441" i="1"/>
  <c r="G8438" i="1"/>
  <c r="H8438" i="1" s="1"/>
  <c r="H8439" i="1" s="1"/>
  <c r="G8435" i="1"/>
  <c r="H8435" i="1" s="1"/>
  <c r="H8434" i="1"/>
  <c r="G8434" i="1"/>
  <c r="G8433" i="1"/>
  <c r="H8433" i="1" s="1"/>
  <c r="H8436" i="1" s="1"/>
  <c r="G8432" i="1"/>
  <c r="H8432" i="1" s="1"/>
  <c r="G8425" i="1"/>
  <c r="H8423" i="1"/>
  <c r="G8420" i="1"/>
  <c r="H8420" i="1" s="1"/>
  <c r="H8421" i="1" s="1"/>
  <c r="H8424" i="1" s="1"/>
  <c r="G8417" i="1"/>
  <c r="H8417" i="1" s="1"/>
  <c r="H8416" i="1"/>
  <c r="G8416" i="1"/>
  <c r="G8415" i="1"/>
  <c r="H8415" i="1" s="1"/>
  <c r="G8414" i="1"/>
  <c r="H8414" i="1" s="1"/>
  <c r="H8418" i="1" s="1"/>
  <c r="G8408" i="1"/>
  <c r="H8406" i="1"/>
  <c r="H8404" i="1"/>
  <c r="H8403" i="1"/>
  <c r="G8403" i="1"/>
  <c r="G8400" i="1"/>
  <c r="H8400" i="1" s="1"/>
  <c r="H8399" i="1"/>
  <c r="G8399" i="1"/>
  <c r="H8398" i="1"/>
  <c r="G8398" i="1"/>
  <c r="G8397" i="1"/>
  <c r="H8397" i="1" s="1"/>
  <c r="G8391" i="1"/>
  <c r="H8389" i="1"/>
  <c r="H8387" i="1"/>
  <c r="H8386" i="1"/>
  <c r="G8386" i="1"/>
  <c r="G8383" i="1"/>
  <c r="H8383" i="1" s="1"/>
  <c r="G8382" i="1"/>
  <c r="H8382" i="1" s="1"/>
  <c r="H8384" i="1" s="1"/>
  <c r="H8381" i="1"/>
  <c r="G8381" i="1"/>
  <c r="G8380" i="1"/>
  <c r="H8380" i="1" s="1"/>
  <c r="G8374" i="1"/>
  <c r="H8372" i="1"/>
  <c r="G8369" i="1"/>
  <c r="H8369" i="1" s="1"/>
  <c r="H8370" i="1" s="1"/>
  <c r="H8366" i="1"/>
  <c r="G8366" i="1"/>
  <c r="G8365" i="1"/>
  <c r="H8365" i="1" s="1"/>
  <c r="G8364" i="1"/>
  <c r="H8364" i="1" s="1"/>
  <c r="H8367" i="1" s="1"/>
  <c r="G8363" i="1"/>
  <c r="H8363" i="1" s="1"/>
  <c r="G8354" i="1"/>
  <c r="H8352" i="1"/>
  <c r="G8349" i="1"/>
  <c r="H8349" i="1" s="1"/>
  <c r="H8348" i="1"/>
  <c r="G8348" i="1"/>
  <c r="G8345" i="1"/>
  <c r="H8345" i="1" s="1"/>
  <c r="G8344" i="1"/>
  <c r="H8344" i="1" s="1"/>
  <c r="H8343" i="1"/>
  <c r="G8343" i="1"/>
  <c r="G8342" i="1"/>
  <c r="H8342" i="1" s="1"/>
  <c r="H8346" i="1" s="1"/>
  <c r="G8335" i="1"/>
  <c r="H8333" i="1"/>
  <c r="G8330" i="1"/>
  <c r="H8330" i="1" s="1"/>
  <c r="G8329" i="1"/>
  <c r="H8329" i="1" s="1"/>
  <c r="H8331" i="1" s="1"/>
  <c r="G8326" i="1"/>
  <c r="H8326" i="1" s="1"/>
  <c r="G8325" i="1"/>
  <c r="H8325" i="1" s="1"/>
  <c r="G8324" i="1"/>
  <c r="H8324" i="1" s="1"/>
  <c r="G8323" i="1"/>
  <c r="H8323" i="1" s="1"/>
  <c r="G8317" i="1"/>
  <c r="H8315" i="1"/>
  <c r="G8312" i="1"/>
  <c r="H8312" i="1" s="1"/>
  <c r="H8313" i="1" s="1"/>
  <c r="G8309" i="1"/>
  <c r="H8309" i="1" s="1"/>
  <c r="H8308" i="1"/>
  <c r="G8308" i="1"/>
  <c r="G8307" i="1"/>
  <c r="H8307" i="1" s="1"/>
  <c r="H8306" i="1"/>
  <c r="G8306" i="1"/>
  <c r="G8299" i="1"/>
  <c r="H8297" i="1"/>
  <c r="H8295" i="1"/>
  <c r="G8294" i="1"/>
  <c r="H8294" i="1" s="1"/>
  <c r="G8291" i="1"/>
  <c r="H8291" i="1" s="1"/>
  <c r="G8290" i="1"/>
  <c r="H8290" i="1" s="1"/>
  <c r="H8289" i="1"/>
  <c r="G8289" i="1"/>
  <c r="G8288" i="1"/>
  <c r="H8288" i="1" s="1"/>
  <c r="G8282" i="1"/>
  <c r="H8280" i="1"/>
  <c r="G8277" i="1"/>
  <c r="H8277" i="1" s="1"/>
  <c r="H8278" i="1" s="1"/>
  <c r="H8274" i="1"/>
  <c r="G8274" i="1"/>
  <c r="H8273" i="1"/>
  <c r="G8273" i="1"/>
  <c r="G8272" i="1"/>
  <c r="H8272" i="1" s="1"/>
  <c r="H8275" i="1" s="1"/>
  <c r="H8271" i="1"/>
  <c r="G8271" i="1"/>
  <c r="G8265" i="1"/>
  <c r="H8263" i="1"/>
  <c r="G8260" i="1"/>
  <c r="H8260" i="1" s="1"/>
  <c r="G8259" i="1"/>
  <c r="H8259" i="1" s="1"/>
  <c r="H8258" i="1"/>
  <c r="G8258" i="1"/>
  <c r="G8257" i="1"/>
  <c r="H8257" i="1" s="1"/>
  <c r="G8256" i="1"/>
  <c r="H8256" i="1" s="1"/>
  <c r="G8255" i="1"/>
  <c r="H8255" i="1" s="1"/>
  <c r="H8261" i="1" s="1"/>
  <c r="H8252" i="1"/>
  <c r="G8252" i="1"/>
  <c r="G8251" i="1"/>
  <c r="H8251" i="1" s="1"/>
  <c r="G8250" i="1"/>
  <c r="H8250" i="1" s="1"/>
  <c r="H8249" i="1"/>
  <c r="G8249" i="1"/>
  <c r="G8241" i="1"/>
  <c r="H8239" i="1"/>
  <c r="H8236" i="1"/>
  <c r="H8237" i="1" s="1"/>
  <c r="H8240" i="1" s="1"/>
  <c r="G8236" i="1"/>
  <c r="H8233" i="1"/>
  <c r="G8233" i="1"/>
  <c r="G8232" i="1"/>
  <c r="H8232" i="1" s="1"/>
  <c r="H8231" i="1"/>
  <c r="G8231" i="1"/>
  <c r="H8230" i="1"/>
  <c r="H8234" i="1" s="1"/>
  <c r="G8230" i="1"/>
  <c r="G8224" i="1"/>
  <c r="H8222" i="1"/>
  <c r="G8219" i="1"/>
  <c r="H8219" i="1" s="1"/>
  <c r="H8220" i="1" s="1"/>
  <c r="G8216" i="1"/>
  <c r="H8216" i="1" s="1"/>
  <c r="H8215" i="1"/>
  <c r="G8215" i="1"/>
  <c r="G8214" i="1"/>
  <c r="H8214" i="1" s="1"/>
  <c r="G8213" i="1"/>
  <c r="H8213" i="1" s="1"/>
  <c r="G8206" i="1"/>
  <c r="H8204" i="1"/>
  <c r="H8201" i="1"/>
  <c r="H8202" i="1" s="1"/>
  <c r="G8201" i="1"/>
  <c r="G8198" i="1"/>
  <c r="H8198" i="1" s="1"/>
  <c r="G8197" i="1"/>
  <c r="H8197" i="1" s="1"/>
  <c r="H8196" i="1"/>
  <c r="G8196" i="1"/>
  <c r="G8195" i="1"/>
  <c r="H8195" i="1" s="1"/>
  <c r="H8199" i="1" s="1"/>
  <c r="G8188" i="1"/>
  <c r="H8186" i="1"/>
  <c r="G8183" i="1"/>
  <c r="H8183" i="1" s="1"/>
  <c r="H8184" i="1" s="1"/>
  <c r="G8180" i="1"/>
  <c r="H8180" i="1" s="1"/>
  <c r="G8179" i="1"/>
  <c r="H8179" i="1" s="1"/>
  <c r="G8178" i="1"/>
  <c r="H8178" i="1" s="1"/>
  <c r="H8177" i="1"/>
  <c r="H8181" i="1" s="1"/>
  <c r="G8177" i="1"/>
  <c r="G8171" i="1"/>
  <c r="H8169" i="1"/>
  <c r="H8166" i="1"/>
  <c r="H8167" i="1" s="1"/>
  <c r="G8166" i="1"/>
  <c r="H8163" i="1"/>
  <c r="G8163" i="1"/>
  <c r="G8162" i="1"/>
  <c r="H8162" i="1" s="1"/>
  <c r="H8164" i="1" s="1"/>
  <c r="H8161" i="1"/>
  <c r="G8161" i="1"/>
  <c r="H8160" i="1"/>
  <c r="G8160" i="1"/>
  <c r="G8154" i="1"/>
  <c r="H8153" i="1"/>
  <c r="H8152" i="1"/>
  <c r="G8149" i="1"/>
  <c r="H8149" i="1" s="1"/>
  <c r="H8150" i="1" s="1"/>
  <c r="H8146" i="1"/>
  <c r="G8146" i="1"/>
  <c r="H8145" i="1"/>
  <c r="G8145" i="1"/>
  <c r="G8144" i="1"/>
  <c r="H8144" i="1" s="1"/>
  <c r="G8143" i="1"/>
  <c r="H8143" i="1" s="1"/>
  <c r="H8147" i="1" s="1"/>
  <c r="G8137" i="1"/>
  <c r="H8135" i="1"/>
  <c r="H8132" i="1"/>
  <c r="G8132" i="1"/>
  <c r="G8131" i="1"/>
  <c r="H8131" i="1" s="1"/>
  <c r="G8130" i="1"/>
  <c r="H8130" i="1" s="1"/>
  <c r="H8129" i="1"/>
  <c r="G8129" i="1"/>
  <c r="G8126" i="1"/>
  <c r="H8126" i="1" s="1"/>
  <c r="H8125" i="1"/>
  <c r="G8125" i="1"/>
  <c r="G8124" i="1"/>
  <c r="H8124" i="1" s="1"/>
  <c r="G8123" i="1"/>
  <c r="H8123" i="1" s="1"/>
  <c r="H8127" i="1" s="1"/>
  <c r="G8116" i="1"/>
  <c r="H8114" i="1"/>
  <c r="H8111" i="1"/>
  <c r="H8112" i="1" s="1"/>
  <c r="G8111" i="1"/>
  <c r="G8108" i="1"/>
  <c r="H8108" i="1" s="1"/>
  <c r="G8107" i="1"/>
  <c r="H8107" i="1" s="1"/>
  <c r="H8106" i="1"/>
  <c r="G8106" i="1"/>
  <c r="H8105" i="1"/>
  <c r="G8105" i="1"/>
  <c r="G8098" i="1"/>
  <c r="H8096" i="1"/>
  <c r="G8093" i="1"/>
  <c r="H8093" i="1" s="1"/>
  <c r="H8094" i="1" s="1"/>
  <c r="G8090" i="1"/>
  <c r="H8090" i="1" s="1"/>
  <c r="H8089" i="1"/>
  <c r="G8089" i="1"/>
  <c r="G8088" i="1"/>
  <c r="H8088" i="1" s="1"/>
  <c r="G8087" i="1"/>
  <c r="H8087" i="1" s="1"/>
  <c r="G8080" i="1"/>
  <c r="H8078" i="1"/>
  <c r="H8079" i="1" s="1"/>
  <c r="H8076" i="1"/>
  <c r="H8075" i="1"/>
  <c r="G8075" i="1"/>
  <c r="G8072" i="1"/>
  <c r="H8072" i="1" s="1"/>
  <c r="H8071" i="1"/>
  <c r="G8071" i="1"/>
  <c r="H8070" i="1"/>
  <c r="G8070" i="1"/>
  <c r="G8069" i="1"/>
  <c r="H8069" i="1" s="1"/>
  <c r="H8073" i="1" s="1"/>
  <c r="G8063" i="1"/>
  <c r="H8061" i="1"/>
  <c r="H8058" i="1"/>
  <c r="G8058" i="1"/>
  <c r="G8057" i="1"/>
  <c r="H8057" i="1" s="1"/>
  <c r="G8056" i="1"/>
  <c r="H8056" i="1" s="1"/>
  <c r="H8055" i="1"/>
  <c r="G8055" i="1"/>
  <c r="H8054" i="1"/>
  <c r="G8054" i="1"/>
  <c r="G8053" i="1"/>
  <c r="H8053" i="1" s="1"/>
  <c r="G8052" i="1"/>
  <c r="H8052" i="1" s="1"/>
  <c r="G8049" i="1"/>
  <c r="H8049" i="1" s="1"/>
  <c r="G8048" i="1"/>
  <c r="H8048" i="1" s="1"/>
  <c r="G8047" i="1"/>
  <c r="H8047" i="1" s="1"/>
  <c r="H8046" i="1"/>
  <c r="H8050" i="1" s="1"/>
  <c r="G8046" i="1"/>
  <c r="G8040" i="1"/>
  <c r="H8038" i="1"/>
  <c r="H8035" i="1"/>
  <c r="H8036" i="1" s="1"/>
  <c r="G8035" i="1"/>
  <c r="H8032" i="1"/>
  <c r="G8032" i="1"/>
  <c r="G8031" i="1"/>
  <c r="H8031" i="1" s="1"/>
  <c r="H8033" i="1" s="1"/>
  <c r="H8030" i="1"/>
  <c r="G8030" i="1"/>
  <c r="H8029" i="1"/>
  <c r="G8029" i="1"/>
  <c r="G8023" i="1"/>
  <c r="H8021" i="1"/>
  <c r="H8022" i="1" s="1"/>
  <c r="G8018" i="1"/>
  <c r="H8018" i="1" s="1"/>
  <c r="H8019" i="1" s="1"/>
  <c r="G8015" i="1"/>
  <c r="H8015" i="1" s="1"/>
  <c r="H8014" i="1"/>
  <c r="G8014" i="1"/>
  <c r="G8013" i="1"/>
  <c r="H8013" i="1" s="1"/>
  <c r="G8012" i="1"/>
  <c r="H8012" i="1" s="1"/>
  <c r="H8016" i="1" s="1"/>
  <c r="G8006" i="1"/>
  <c r="H8004" i="1"/>
  <c r="H8001" i="1"/>
  <c r="H8002" i="1" s="1"/>
  <c r="G8001" i="1"/>
  <c r="G7998" i="1"/>
  <c r="H7998" i="1" s="1"/>
  <c r="G7997" i="1"/>
  <c r="H7997" i="1" s="1"/>
  <c r="H7996" i="1"/>
  <c r="G7996" i="1"/>
  <c r="G7995" i="1"/>
  <c r="H7995" i="1" s="1"/>
  <c r="G7989" i="1"/>
  <c r="H7987" i="1"/>
  <c r="H7984" i="1"/>
  <c r="H7985" i="1" s="1"/>
  <c r="G7984" i="1"/>
  <c r="H7981" i="1"/>
  <c r="G7981" i="1"/>
  <c r="G7980" i="1"/>
  <c r="H7980" i="1" s="1"/>
  <c r="G7979" i="1"/>
  <c r="H7979" i="1" s="1"/>
  <c r="H7978" i="1"/>
  <c r="G7978" i="1"/>
  <c r="G7972" i="1"/>
  <c r="H7970" i="1"/>
  <c r="H7967" i="1"/>
  <c r="H7968" i="1" s="1"/>
  <c r="H7971" i="1" s="1"/>
  <c r="G7967" i="1"/>
  <c r="H7964" i="1"/>
  <c r="G7964" i="1"/>
  <c r="G7963" i="1"/>
  <c r="H7963" i="1" s="1"/>
  <c r="H7962" i="1"/>
  <c r="G7962" i="1"/>
  <c r="H7961" i="1"/>
  <c r="H7965" i="1" s="1"/>
  <c r="G7961" i="1"/>
  <c r="G7955" i="1"/>
  <c r="H7953" i="1"/>
  <c r="G7950" i="1"/>
  <c r="H7950" i="1" s="1"/>
  <c r="H7951" i="1" s="1"/>
  <c r="G7947" i="1"/>
  <c r="H7947" i="1" s="1"/>
  <c r="H7946" i="1"/>
  <c r="G7946" i="1"/>
  <c r="G7945" i="1"/>
  <c r="H7945" i="1" s="1"/>
  <c r="G7944" i="1"/>
  <c r="H7944" i="1" s="1"/>
  <c r="G7937" i="1"/>
  <c r="H7935" i="1"/>
  <c r="H7932" i="1"/>
  <c r="G7932" i="1"/>
  <c r="G7931" i="1"/>
  <c r="H7931" i="1" s="1"/>
  <c r="G7930" i="1"/>
  <c r="H7930" i="1" s="1"/>
  <c r="H7933" i="1" s="1"/>
  <c r="H7929" i="1"/>
  <c r="G7929" i="1"/>
  <c r="G7928" i="1"/>
  <c r="H7928" i="1" s="1"/>
  <c r="G7927" i="1"/>
  <c r="H7927" i="1" s="1"/>
  <c r="H7926" i="1"/>
  <c r="G7926" i="1"/>
  <c r="G7923" i="1"/>
  <c r="H7923" i="1" s="1"/>
  <c r="G7922" i="1"/>
  <c r="H7922" i="1" s="1"/>
  <c r="H7921" i="1"/>
  <c r="G7921" i="1"/>
  <c r="G7920" i="1"/>
  <c r="H7920" i="1" s="1"/>
  <c r="H7924" i="1" s="1"/>
  <c r="G7914" i="1"/>
  <c r="H7912" i="1"/>
  <c r="G7909" i="1"/>
  <c r="H7909" i="1" s="1"/>
  <c r="H7910" i="1" s="1"/>
  <c r="H7906" i="1"/>
  <c r="G7906" i="1"/>
  <c r="G7905" i="1"/>
  <c r="H7905" i="1" s="1"/>
  <c r="G7904" i="1"/>
  <c r="H7904" i="1" s="1"/>
  <c r="H7903" i="1"/>
  <c r="H7907" i="1" s="1"/>
  <c r="G7903" i="1"/>
  <c r="G7897" i="1"/>
  <c r="H7895" i="1"/>
  <c r="H7893" i="1"/>
  <c r="H7892" i="1"/>
  <c r="G7892" i="1"/>
  <c r="H7889" i="1"/>
  <c r="H7890" i="1" s="1"/>
  <c r="H7896" i="1" s="1"/>
  <c r="G7889" i="1"/>
  <c r="H7888" i="1"/>
  <c r="G7888" i="1"/>
  <c r="H7887" i="1"/>
  <c r="G7887" i="1"/>
  <c r="H7886" i="1"/>
  <c r="G7886" i="1"/>
  <c r="G7879" i="1"/>
  <c r="H7877" i="1"/>
  <c r="H7875" i="1"/>
  <c r="H7874" i="1"/>
  <c r="G7874" i="1"/>
  <c r="G7871" i="1"/>
  <c r="H7871" i="1" s="1"/>
  <c r="G7870" i="1"/>
  <c r="H7870" i="1" s="1"/>
  <c r="G7869" i="1"/>
  <c r="H7869" i="1" s="1"/>
  <c r="G7868" i="1"/>
  <c r="H7868" i="1" s="1"/>
  <c r="G7862" i="1"/>
  <c r="H7860" i="1"/>
  <c r="H7857" i="1"/>
  <c r="H7858" i="1" s="1"/>
  <c r="G7857" i="1"/>
  <c r="G7854" i="1"/>
  <c r="H7854" i="1" s="1"/>
  <c r="G7853" i="1"/>
  <c r="H7853" i="1" s="1"/>
  <c r="H7852" i="1"/>
  <c r="G7852" i="1"/>
  <c r="G7851" i="1"/>
  <c r="H7851" i="1" s="1"/>
  <c r="G7845" i="1"/>
  <c r="H7843" i="1"/>
  <c r="G7840" i="1"/>
  <c r="H7840" i="1" s="1"/>
  <c r="H7841" i="1" s="1"/>
  <c r="H7837" i="1"/>
  <c r="G7837" i="1"/>
  <c r="G7836" i="1"/>
  <c r="H7836" i="1" s="1"/>
  <c r="G7835" i="1"/>
  <c r="H7835" i="1" s="1"/>
  <c r="G7834" i="1"/>
  <c r="H7834" i="1" s="1"/>
  <c r="H7838" i="1" s="1"/>
  <c r="G7828" i="1"/>
  <c r="H7826" i="1"/>
  <c r="H7824" i="1"/>
  <c r="H7823" i="1"/>
  <c r="G7823" i="1"/>
  <c r="G7820" i="1"/>
  <c r="H7820" i="1" s="1"/>
  <c r="H7819" i="1"/>
  <c r="G7819" i="1"/>
  <c r="H7818" i="1"/>
  <c r="G7818" i="1"/>
  <c r="H7817" i="1"/>
  <c r="H7821" i="1" s="1"/>
  <c r="G7817" i="1"/>
  <c r="G7809" i="1"/>
  <c r="H7807" i="1"/>
  <c r="G7804" i="1"/>
  <c r="H7804" i="1" s="1"/>
  <c r="G7803" i="1"/>
  <c r="H7803" i="1" s="1"/>
  <c r="G7802" i="1"/>
  <c r="H7802" i="1" s="1"/>
  <c r="H7801" i="1"/>
  <c r="G7801" i="1"/>
  <c r="G7800" i="1"/>
  <c r="H7800" i="1" s="1"/>
  <c r="G7799" i="1"/>
  <c r="H7799" i="1" s="1"/>
  <c r="H7798" i="1"/>
  <c r="G7798" i="1"/>
  <c r="G7797" i="1"/>
  <c r="H7797" i="1" s="1"/>
  <c r="G7796" i="1"/>
  <c r="H7796" i="1" s="1"/>
  <c r="G7793" i="1"/>
  <c r="H7793" i="1" s="1"/>
  <c r="H7794" i="1" s="1"/>
  <c r="H7792" i="1"/>
  <c r="G7792" i="1"/>
  <c r="G7791" i="1"/>
  <c r="H7791" i="1" s="1"/>
  <c r="H7790" i="1"/>
  <c r="G7790" i="1"/>
  <c r="G7784" i="1"/>
  <c r="H7782" i="1"/>
  <c r="H7780" i="1"/>
  <c r="H7779" i="1"/>
  <c r="G7779" i="1"/>
  <c r="G7778" i="1"/>
  <c r="H7778" i="1" s="1"/>
  <c r="G7777" i="1"/>
  <c r="H7777" i="1" s="1"/>
  <c r="H7776" i="1"/>
  <c r="G7776" i="1"/>
  <c r="H7775" i="1"/>
  <c r="G7775" i="1"/>
  <c r="G7774" i="1"/>
  <c r="H7774" i="1" s="1"/>
  <c r="H7773" i="1"/>
  <c r="G7773" i="1"/>
  <c r="H7770" i="1"/>
  <c r="G7770" i="1"/>
  <c r="G7769" i="1"/>
  <c r="H7769" i="1" s="1"/>
  <c r="G7768" i="1"/>
  <c r="H7768" i="1" s="1"/>
  <c r="G7767" i="1"/>
  <c r="H7767" i="1" s="1"/>
  <c r="H7771" i="1" s="1"/>
  <c r="G7760" i="1"/>
  <c r="H7758" i="1"/>
  <c r="G7755" i="1"/>
  <c r="H7755" i="1" s="1"/>
  <c r="H7756" i="1" s="1"/>
  <c r="H7754" i="1"/>
  <c r="G7754" i="1"/>
  <c r="G7751" i="1"/>
  <c r="H7751" i="1" s="1"/>
  <c r="H7750" i="1"/>
  <c r="G7750" i="1"/>
  <c r="H7749" i="1"/>
  <c r="G7749" i="1"/>
  <c r="G7748" i="1"/>
  <c r="H7748" i="1" s="1"/>
  <c r="G7742" i="1"/>
  <c r="H7740" i="1"/>
  <c r="H7737" i="1"/>
  <c r="H7738" i="1" s="1"/>
  <c r="G7737" i="1"/>
  <c r="G7734" i="1"/>
  <c r="H7734" i="1" s="1"/>
  <c r="G7733" i="1"/>
  <c r="H7733" i="1" s="1"/>
  <c r="G7732" i="1"/>
  <c r="H7732" i="1" s="1"/>
  <c r="G7731" i="1"/>
  <c r="H7731" i="1" s="1"/>
  <c r="G7725" i="1"/>
  <c r="H7723" i="1"/>
  <c r="H7720" i="1"/>
  <c r="H7721" i="1" s="1"/>
  <c r="G7720" i="1"/>
  <c r="G7717" i="1"/>
  <c r="H7717" i="1" s="1"/>
  <c r="G7716" i="1"/>
  <c r="H7716" i="1" s="1"/>
  <c r="H7715" i="1"/>
  <c r="G7715" i="1"/>
  <c r="H7714" i="1"/>
  <c r="G7714" i="1"/>
  <c r="G7707" i="1"/>
  <c r="H7705" i="1"/>
  <c r="G7702" i="1"/>
  <c r="H7702" i="1" s="1"/>
  <c r="H7703" i="1" s="1"/>
  <c r="G7699" i="1"/>
  <c r="H7699" i="1" s="1"/>
  <c r="H7698" i="1"/>
  <c r="G7698" i="1"/>
  <c r="G7697" i="1"/>
  <c r="H7697" i="1" s="1"/>
  <c r="G7696" i="1"/>
  <c r="H7696" i="1" s="1"/>
  <c r="G7690" i="1"/>
  <c r="H7688" i="1"/>
  <c r="H7689" i="1" s="1"/>
  <c r="H7686" i="1"/>
  <c r="H7685" i="1"/>
  <c r="G7685" i="1"/>
  <c r="G7682" i="1"/>
  <c r="H7682" i="1" s="1"/>
  <c r="H7681" i="1"/>
  <c r="G7681" i="1"/>
  <c r="H7680" i="1"/>
  <c r="G7680" i="1"/>
  <c r="G7679" i="1"/>
  <c r="H7679" i="1" s="1"/>
  <c r="H7683" i="1" s="1"/>
  <c r="G7672" i="1"/>
  <c r="H7670" i="1"/>
  <c r="H7668" i="1"/>
  <c r="H7667" i="1"/>
  <c r="G7667" i="1"/>
  <c r="G7664" i="1"/>
  <c r="H7664" i="1" s="1"/>
  <c r="G7663" i="1"/>
  <c r="H7663" i="1" s="1"/>
  <c r="G7662" i="1"/>
  <c r="H7662" i="1" s="1"/>
  <c r="H7661" i="1"/>
  <c r="G7661" i="1"/>
  <c r="G7655" i="1"/>
  <c r="H7653" i="1"/>
  <c r="H7650" i="1"/>
  <c r="H7651" i="1" s="1"/>
  <c r="G7650" i="1"/>
  <c r="H7647" i="1"/>
  <c r="G7647" i="1"/>
  <c r="G7646" i="1"/>
  <c r="H7646" i="1" s="1"/>
  <c r="H7645" i="1"/>
  <c r="G7645" i="1"/>
  <c r="G7644" i="1"/>
  <c r="H7644" i="1" s="1"/>
  <c r="H7648" i="1" s="1"/>
  <c r="G7637" i="1"/>
  <c r="H7635" i="1"/>
  <c r="G7632" i="1"/>
  <c r="H7632" i="1" s="1"/>
  <c r="H7633" i="1" s="1"/>
  <c r="H7636" i="1" s="1"/>
  <c r="H7629" i="1"/>
  <c r="G7629" i="1"/>
  <c r="G7628" i="1"/>
  <c r="H7628" i="1" s="1"/>
  <c r="G7627" i="1"/>
  <c r="H7627" i="1" s="1"/>
  <c r="G7626" i="1"/>
  <c r="H7626" i="1" s="1"/>
  <c r="H7630" i="1" s="1"/>
  <c r="G7619" i="1"/>
  <c r="H7617" i="1"/>
  <c r="H7615" i="1"/>
  <c r="H7614" i="1"/>
  <c r="G7614" i="1"/>
  <c r="G7611" i="1"/>
  <c r="H7611" i="1" s="1"/>
  <c r="H7610" i="1"/>
  <c r="G7610" i="1"/>
  <c r="H7609" i="1"/>
  <c r="G7609" i="1"/>
  <c r="G7608" i="1"/>
  <c r="H7608" i="1" s="1"/>
  <c r="G7602" i="1"/>
  <c r="H7600" i="1"/>
  <c r="H7597" i="1"/>
  <c r="H7598" i="1" s="1"/>
  <c r="G7597" i="1"/>
  <c r="G7594" i="1"/>
  <c r="H7594" i="1" s="1"/>
  <c r="G7593" i="1"/>
  <c r="H7593" i="1" s="1"/>
  <c r="G7592" i="1"/>
  <c r="H7592" i="1" s="1"/>
  <c r="G7591" i="1"/>
  <c r="H7591" i="1" s="1"/>
  <c r="G7585" i="1"/>
  <c r="H7583" i="1"/>
  <c r="H7580" i="1"/>
  <c r="H7581" i="1" s="1"/>
  <c r="G7580" i="1"/>
  <c r="G7577" i="1"/>
  <c r="H7577" i="1" s="1"/>
  <c r="G7576" i="1"/>
  <c r="H7576" i="1" s="1"/>
  <c r="H7575" i="1"/>
  <c r="H7578" i="1" s="1"/>
  <c r="G7575" i="1"/>
  <c r="H7574" i="1"/>
  <c r="G7574" i="1"/>
  <c r="G7568" i="1"/>
  <c r="H7566" i="1"/>
  <c r="G7563" i="1"/>
  <c r="H7563" i="1" s="1"/>
  <c r="H7564" i="1" s="1"/>
  <c r="H7560" i="1"/>
  <c r="G7560" i="1"/>
  <c r="G7559" i="1"/>
  <c r="H7559" i="1" s="1"/>
  <c r="G7558" i="1"/>
  <c r="H7558" i="1" s="1"/>
  <c r="G7557" i="1"/>
  <c r="H7557" i="1" s="1"/>
  <c r="G7551" i="1"/>
  <c r="H7549" i="1"/>
  <c r="H7547" i="1"/>
  <c r="H7546" i="1"/>
  <c r="G7546" i="1"/>
  <c r="G7543" i="1"/>
  <c r="H7543" i="1" s="1"/>
  <c r="H7542" i="1"/>
  <c r="G7542" i="1"/>
  <c r="G7541" i="1"/>
  <c r="H7541" i="1" s="1"/>
  <c r="G7540" i="1"/>
  <c r="H7540" i="1" s="1"/>
  <c r="H7544" i="1" s="1"/>
  <c r="G7534" i="1"/>
  <c r="H7532" i="1"/>
  <c r="H7530" i="1"/>
  <c r="H7529" i="1"/>
  <c r="G7529" i="1"/>
  <c r="G7526" i="1"/>
  <c r="H7526" i="1" s="1"/>
  <c r="G7525" i="1"/>
  <c r="H7525" i="1" s="1"/>
  <c r="G7524" i="1"/>
  <c r="H7524" i="1" s="1"/>
  <c r="G7523" i="1"/>
  <c r="H7523" i="1" s="1"/>
  <c r="G7517" i="1"/>
  <c r="H7515" i="1"/>
  <c r="H7512" i="1"/>
  <c r="H7513" i="1" s="1"/>
  <c r="G7512" i="1"/>
  <c r="G7509" i="1"/>
  <c r="H7509" i="1" s="1"/>
  <c r="G7508" i="1"/>
  <c r="H7508" i="1" s="1"/>
  <c r="H7507" i="1"/>
  <c r="G7507" i="1"/>
  <c r="G7506" i="1"/>
  <c r="H7506" i="1" s="1"/>
  <c r="G7500" i="1"/>
  <c r="H7498" i="1"/>
  <c r="G7495" i="1"/>
  <c r="H7495" i="1" s="1"/>
  <c r="H7496" i="1" s="1"/>
  <c r="G7492" i="1"/>
  <c r="H7492" i="1" s="1"/>
  <c r="G7491" i="1"/>
  <c r="H7491" i="1" s="1"/>
  <c r="G7490" i="1"/>
  <c r="H7490" i="1" s="1"/>
  <c r="H7489" i="1"/>
  <c r="G7489" i="1"/>
  <c r="G7483" i="1"/>
  <c r="H7481" i="1"/>
  <c r="H7478" i="1"/>
  <c r="H7479" i="1" s="1"/>
  <c r="G7478" i="1"/>
  <c r="H7475" i="1"/>
  <c r="G7475" i="1"/>
  <c r="G7474" i="1"/>
  <c r="H7474" i="1" s="1"/>
  <c r="G7473" i="1"/>
  <c r="H7473" i="1" s="1"/>
  <c r="H7476" i="1" s="1"/>
  <c r="H7472" i="1"/>
  <c r="G7472" i="1"/>
  <c r="G7465" i="1"/>
  <c r="H7463" i="1"/>
  <c r="G7460" i="1"/>
  <c r="H7460" i="1" s="1"/>
  <c r="G7459" i="1"/>
  <c r="H7459" i="1" s="1"/>
  <c r="H7458" i="1"/>
  <c r="G7458" i="1"/>
  <c r="H7457" i="1"/>
  <c r="G7457" i="1"/>
  <c r="G7456" i="1"/>
  <c r="H7456" i="1" s="1"/>
  <c r="H7455" i="1"/>
  <c r="G7455" i="1"/>
  <c r="G7454" i="1"/>
  <c r="H7454" i="1" s="1"/>
  <c r="H7461" i="1" s="1"/>
  <c r="H7451" i="1"/>
  <c r="G7451" i="1"/>
  <c r="G7450" i="1"/>
  <c r="H7450" i="1" s="1"/>
  <c r="G7449" i="1"/>
  <c r="H7449" i="1" s="1"/>
  <c r="G7448" i="1"/>
  <c r="H7448" i="1" s="1"/>
  <c r="G7441" i="1"/>
  <c r="H7439" i="1"/>
  <c r="H7437" i="1"/>
  <c r="H7436" i="1"/>
  <c r="G7436" i="1"/>
  <c r="G7433" i="1"/>
  <c r="H7433" i="1" s="1"/>
  <c r="H7432" i="1"/>
  <c r="G7432" i="1"/>
  <c r="G7431" i="1"/>
  <c r="H7431" i="1" s="1"/>
  <c r="G7430" i="1"/>
  <c r="H7430" i="1" s="1"/>
  <c r="G7424" i="1"/>
  <c r="H7422" i="1"/>
  <c r="H7420" i="1"/>
  <c r="H7419" i="1"/>
  <c r="G7419" i="1"/>
  <c r="H7416" i="1"/>
  <c r="G7416" i="1"/>
  <c r="H7415" i="1"/>
  <c r="G7415" i="1"/>
  <c r="G7414" i="1"/>
  <c r="H7414" i="1" s="1"/>
  <c r="G7413" i="1"/>
  <c r="H7413" i="1" s="1"/>
  <c r="G7406" i="1"/>
  <c r="H7404" i="1"/>
  <c r="H7401" i="1"/>
  <c r="H7402" i="1" s="1"/>
  <c r="G7401" i="1"/>
  <c r="G7398" i="1"/>
  <c r="H7398" i="1" s="1"/>
  <c r="G7397" i="1"/>
  <c r="H7397" i="1" s="1"/>
  <c r="H7396" i="1"/>
  <c r="G7396" i="1"/>
  <c r="G7395" i="1"/>
  <c r="H7395" i="1" s="1"/>
  <c r="G7389" i="1"/>
  <c r="H7387" i="1"/>
  <c r="G7384" i="1"/>
  <c r="H7384" i="1" s="1"/>
  <c r="H7383" i="1"/>
  <c r="H7385" i="1" s="1"/>
  <c r="G7383" i="1"/>
  <c r="H7380" i="1"/>
  <c r="G7380" i="1"/>
  <c r="G7379" i="1"/>
  <c r="H7379" i="1" s="1"/>
  <c r="H7378" i="1"/>
  <c r="G7378" i="1"/>
  <c r="G7377" i="1"/>
  <c r="H7377" i="1" s="1"/>
  <c r="G7370" i="1"/>
  <c r="H7368" i="1"/>
  <c r="G7365" i="1"/>
  <c r="H7365" i="1" s="1"/>
  <c r="H7364" i="1"/>
  <c r="H7366" i="1" s="1"/>
  <c r="G7364" i="1"/>
  <c r="G7361" i="1"/>
  <c r="H7361" i="1" s="1"/>
  <c r="H7360" i="1"/>
  <c r="G7360" i="1"/>
  <c r="H7359" i="1"/>
  <c r="G7359" i="1"/>
  <c r="H7358" i="1"/>
  <c r="G7358" i="1"/>
  <c r="G7351" i="1"/>
  <c r="H7349" i="1"/>
  <c r="H7347" i="1"/>
  <c r="H7346" i="1"/>
  <c r="G7346" i="1"/>
  <c r="H7343" i="1"/>
  <c r="G7343" i="1"/>
  <c r="G7342" i="1"/>
  <c r="H7342" i="1" s="1"/>
  <c r="G7341" i="1"/>
  <c r="H7341" i="1" s="1"/>
  <c r="G7340" i="1"/>
  <c r="H7340" i="1" s="1"/>
  <c r="G7333" i="1"/>
  <c r="H7331" i="1"/>
  <c r="H7328" i="1"/>
  <c r="H7329" i="1" s="1"/>
  <c r="G7328" i="1"/>
  <c r="G7327" i="1"/>
  <c r="H7327" i="1" s="1"/>
  <c r="G7324" i="1"/>
  <c r="H7324" i="1" s="1"/>
  <c r="H7323" i="1"/>
  <c r="G7323" i="1"/>
  <c r="H7322" i="1"/>
  <c r="G7322" i="1"/>
  <c r="H7321" i="1"/>
  <c r="G7321" i="1"/>
  <c r="G7315" i="1"/>
  <c r="H7313" i="1"/>
  <c r="H7311" i="1"/>
  <c r="H7310" i="1"/>
  <c r="G7307" i="1"/>
  <c r="H7307" i="1" s="1"/>
  <c r="H7306" i="1"/>
  <c r="G7306" i="1"/>
  <c r="G7305" i="1"/>
  <c r="H7305" i="1" s="1"/>
  <c r="H7304" i="1"/>
  <c r="H7308" i="1" s="1"/>
  <c r="H7314" i="1" s="1"/>
  <c r="H7315" i="1" s="1"/>
  <c r="G7304" i="1"/>
  <c r="G7297" i="1"/>
  <c r="H7295" i="1"/>
  <c r="G7292" i="1"/>
  <c r="H7292" i="1" s="1"/>
  <c r="H7293" i="1" s="1"/>
  <c r="G7289" i="1"/>
  <c r="H7289" i="1" s="1"/>
  <c r="H7288" i="1"/>
  <c r="G7288" i="1"/>
  <c r="G7287" i="1"/>
  <c r="H7287" i="1" s="1"/>
  <c r="G7286" i="1"/>
  <c r="H7286" i="1" s="1"/>
  <c r="H7290" i="1" s="1"/>
  <c r="G7280" i="1"/>
  <c r="H7278" i="1"/>
  <c r="H7276" i="1"/>
  <c r="H7275" i="1"/>
  <c r="G7275" i="1"/>
  <c r="G7272" i="1"/>
  <c r="H7272" i="1" s="1"/>
  <c r="H7271" i="1"/>
  <c r="G7271" i="1"/>
  <c r="G7270" i="1"/>
  <c r="H7270" i="1" s="1"/>
  <c r="G7269" i="1"/>
  <c r="H7269" i="1" s="1"/>
  <c r="G7262" i="1"/>
  <c r="H7260" i="1"/>
  <c r="G7257" i="1"/>
  <c r="H7257" i="1" s="1"/>
  <c r="H7258" i="1" s="1"/>
  <c r="H7254" i="1"/>
  <c r="G7254" i="1"/>
  <c r="H7253" i="1"/>
  <c r="G7253" i="1"/>
  <c r="G7252" i="1"/>
  <c r="H7252" i="1" s="1"/>
  <c r="G7251" i="1"/>
  <c r="H7251" i="1" s="1"/>
  <c r="H7255" i="1" s="1"/>
  <c r="G7245" i="1"/>
  <c r="H7243" i="1"/>
  <c r="H7241" i="1"/>
  <c r="H7240" i="1"/>
  <c r="G7240" i="1"/>
  <c r="G7237" i="1"/>
  <c r="H7237" i="1" s="1"/>
  <c r="H7236" i="1"/>
  <c r="G7236" i="1"/>
  <c r="G7235" i="1"/>
  <c r="H7235" i="1" s="1"/>
  <c r="G7234" i="1"/>
  <c r="H7234" i="1" s="1"/>
  <c r="H7238" i="1" s="1"/>
  <c r="G7227" i="1"/>
  <c r="H7225" i="1"/>
  <c r="H7223" i="1"/>
  <c r="G7222" i="1"/>
  <c r="H7222" i="1" s="1"/>
  <c r="G7219" i="1"/>
  <c r="H7219" i="1" s="1"/>
  <c r="H7218" i="1"/>
  <c r="G7218" i="1"/>
  <c r="G7217" i="1"/>
  <c r="H7217" i="1" s="1"/>
  <c r="G7216" i="1"/>
  <c r="H7216" i="1" s="1"/>
  <c r="H7220" i="1" s="1"/>
  <c r="G7210" i="1"/>
  <c r="H7208" i="1"/>
  <c r="G7205" i="1"/>
  <c r="H7205" i="1" s="1"/>
  <c r="H7206" i="1" s="1"/>
  <c r="G7202" i="1"/>
  <c r="H7202" i="1" s="1"/>
  <c r="H7201" i="1"/>
  <c r="G7201" i="1"/>
  <c r="G7200" i="1"/>
  <c r="H7200" i="1" s="1"/>
  <c r="H7199" i="1"/>
  <c r="G7199" i="1"/>
  <c r="G7193" i="1"/>
  <c r="H7191" i="1"/>
  <c r="G7188" i="1"/>
  <c r="H7188" i="1" s="1"/>
  <c r="H7189" i="1" s="1"/>
  <c r="G7185" i="1"/>
  <c r="H7185" i="1" s="1"/>
  <c r="H7184" i="1"/>
  <c r="G7184" i="1"/>
  <c r="G7183" i="1"/>
  <c r="H7183" i="1" s="1"/>
  <c r="G7182" i="1"/>
  <c r="H7182" i="1" s="1"/>
  <c r="G7176" i="1"/>
  <c r="H7174" i="1"/>
  <c r="G7171" i="1"/>
  <c r="H7171" i="1" s="1"/>
  <c r="H7172" i="1" s="1"/>
  <c r="G7168" i="1"/>
  <c r="H7168" i="1" s="1"/>
  <c r="H7167" i="1"/>
  <c r="G7167" i="1"/>
  <c r="H7166" i="1"/>
  <c r="G7166" i="1"/>
  <c r="G7165" i="1"/>
  <c r="H7165" i="1" s="1"/>
  <c r="H7169" i="1" s="1"/>
  <c r="G7159" i="1"/>
  <c r="H7157" i="1"/>
  <c r="G7154" i="1"/>
  <c r="H7154" i="1" s="1"/>
  <c r="H7155" i="1" s="1"/>
  <c r="H7151" i="1"/>
  <c r="H7152" i="1" s="1"/>
  <c r="G7151" i="1"/>
  <c r="H7150" i="1"/>
  <c r="G7150" i="1"/>
  <c r="G7149" i="1"/>
  <c r="H7149" i="1" s="1"/>
  <c r="G7148" i="1"/>
  <c r="H7148" i="1" s="1"/>
  <c r="G7142" i="1"/>
  <c r="H7140" i="1"/>
  <c r="G7137" i="1"/>
  <c r="H7137" i="1" s="1"/>
  <c r="H7138" i="1" s="1"/>
  <c r="G7134" i="1"/>
  <c r="H7134" i="1" s="1"/>
  <c r="G7133" i="1"/>
  <c r="H7133" i="1" s="1"/>
  <c r="H7135" i="1" s="1"/>
  <c r="H7132" i="1"/>
  <c r="G7132" i="1"/>
  <c r="H7131" i="1"/>
  <c r="G7131" i="1"/>
  <c r="G7125" i="1"/>
  <c r="H7123" i="1"/>
  <c r="H7124" i="1" s="1"/>
  <c r="H7121" i="1"/>
  <c r="H7120" i="1"/>
  <c r="G7120" i="1"/>
  <c r="H7117" i="1"/>
  <c r="G7117" i="1"/>
  <c r="H7116" i="1"/>
  <c r="G7116" i="1"/>
  <c r="G7115" i="1"/>
  <c r="H7115" i="1" s="1"/>
  <c r="G7114" i="1"/>
  <c r="H7114" i="1" s="1"/>
  <c r="H7118" i="1" s="1"/>
  <c r="G7108" i="1"/>
  <c r="H7106" i="1"/>
  <c r="G7103" i="1"/>
  <c r="H7103" i="1" s="1"/>
  <c r="H7104" i="1" s="1"/>
  <c r="G7100" i="1"/>
  <c r="H7100" i="1" s="1"/>
  <c r="H7099" i="1"/>
  <c r="G7099" i="1"/>
  <c r="H7098" i="1"/>
  <c r="G7098" i="1"/>
  <c r="H7097" i="1"/>
  <c r="G7097" i="1"/>
  <c r="G7090" i="1"/>
  <c r="H7088" i="1"/>
  <c r="H7085" i="1"/>
  <c r="H7086" i="1" s="1"/>
  <c r="G7085" i="1"/>
  <c r="H7082" i="1"/>
  <c r="G7082" i="1"/>
  <c r="G7081" i="1"/>
  <c r="H7081" i="1" s="1"/>
  <c r="H7083" i="1" s="1"/>
  <c r="H7080" i="1"/>
  <c r="G7080" i="1"/>
  <c r="G7079" i="1"/>
  <c r="H7079" i="1" s="1"/>
  <c r="G7073" i="1"/>
  <c r="H7071" i="1"/>
  <c r="G7068" i="1"/>
  <c r="H7068" i="1" s="1"/>
  <c r="H7069" i="1" s="1"/>
  <c r="G7065" i="1"/>
  <c r="H7065" i="1" s="1"/>
  <c r="H7064" i="1"/>
  <c r="G7064" i="1"/>
  <c r="G7063" i="1"/>
  <c r="H7063" i="1" s="1"/>
  <c r="G7062" i="1"/>
  <c r="H7062" i="1" s="1"/>
  <c r="H7066" i="1" s="1"/>
  <c r="G7055" i="1"/>
  <c r="H7053" i="1"/>
  <c r="H7050" i="1"/>
  <c r="H7051" i="1" s="1"/>
  <c r="G7050" i="1"/>
  <c r="H7047" i="1"/>
  <c r="G7047" i="1"/>
  <c r="G7046" i="1"/>
  <c r="H7046" i="1" s="1"/>
  <c r="H7048" i="1" s="1"/>
  <c r="H7045" i="1"/>
  <c r="G7045" i="1"/>
  <c r="H7044" i="1"/>
  <c r="G7044" i="1"/>
  <c r="G7038" i="1"/>
  <c r="H7036" i="1"/>
  <c r="H7033" i="1"/>
  <c r="H7034" i="1" s="1"/>
  <c r="H7037" i="1" s="1"/>
  <c r="G7033" i="1"/>
  <c r="G7030" i="1"/>
  <c r="H7030" i="1" s="1"/>
  <c r="G7029" i="1"/>
  <c r="H7029" i="1" s="1"/>
  <c r="G7028" i="1"/>
  <c r="H7028" i="1" s="1"/>
  <c r="H7027" i="1"/>
  <c r="H7031" i="1" s="1"/>
  <c r="G7027" i="1"/>
  <c r="G7021" i="1"/>
  <c r="H7019" i="1"/>
  <c r="H7016" i="1"/>
  <c r="H7017" i="1" s="1"/>
  <c r="G7016" i="1"/>
  <c r="H7013" i="1"/>
  <c r="G7013" i="1"/>
  <c r="H7012" i="1"/>
  <c r="G7012" i="1"/>
  <c r="H7011" i="1"/>
  <c r="G7011" i="1"/>
  <c r="G7010" i="1"/>
  <c r="H7010" i="1" s="1"/>
  <c r="G7003" i="1"/>
  <c r="H7001" i="1"/>
  <c r="H6998" i="1"/>
  <c r="H6999" i="1" s="1"/>
  <c r="G6998" i="1"/>
  <c r="G6995" i="1"/>
  <c r="H6995" i="1" s="1"/>
  <c r="G6994" i="1"/>
  <c r="H6994" i="1" s="1"/>
  <c r="G6993" i="1"/>
  <c r="H6993" i="1" s="1"/>
  <c r="G6992" i="1"/>
  <c r="H6992" i="1" s="1"/>
  <c r="H6996" i="1" s="1"/>
  <c r="G6986" i="1"/>
  <c r="H6984" i="1"/>
  <c r="H6981" i="1"/>
  <c r="H6982" i="1" s="1"/>
  <c r="G6981" i="1"/>
  <c r="G6978" i="1"/>
  <c r="H6978" i="1" s="1"/>
  <c r="H6977" i="1"/>
  <c r="G6977" i="1"/>
  <c r="H6976" i="1"/>
  <c r="G6976" i="1"/>
  <c r="G6975" i="1"/>
  <c r="H6975" i="1" s="1"/>
  <c r="G6969" i="1"/>
  <c r="H6967" i="1"/>
  <c r="H6968" i="1" s="1"/>
  <c r="H6964" i="1"/>
  <c r="G6964" i="1"/>
  <c r="G6963" i="1"/>
  <c r="H6963" i="1" s="1"/>
  <c r="H6962" i="1"/>
  <c r="G6962" i="1"/>
  <c r="H6961" i="1"/>
  <c r="G6961" i="1"/>
  <c r="G6960" i="1"/>
  <c r="H6960" i="1" s="1"/>
  <c r="G6959" i="1"/>
  <c r="H6959" i="1" s="1"/>
  <c r="H6965" i="1" s="1"/>
  <c r="H6958" i="1"/>
  <c r="G6958" i="1"/>
  <c r="G6955" i="1"/>
  <c r="H6955" i="1" s="1"/>
  <c r="G6954" i="1"/>
  <c r="H6954" i="1" s="1"/>
  <c r="G6953" i="1"/>
  <c r="H6953" i="1" s="1"/>
  <c r="H6952" i="1"/>
  <c r="H6956" i="1" s="1"/>
  <c r="G6952" i="1"/>
  <c r="G6945" i="1"/>
  <c r="H6943" i="1"/>
  <c r="H6940" i="1"/>
  <c r="G6940" i="1"/>
  <c r="G6939" i="1"/>
  <c r="H6939" i="1" s="1"/>
  <c r="H6938" i="1"/>
  <c r="G6938" i="1"/>
  <c r="H6937" i="1"/>
  <c r="G6937" i="1"/>
  <c r="G6936" i="1"/>
  <c r="H6936" i="1" s="1"/>
  <c r="H6935" i="1"/>
  <c r="G6935" i="1"/>
  <c r="H6934" i="1"/>
  <c r="G6934" i="1"/>
  <c r="G6931" i="1"/>
  <c r="H6931" i="1" s="1"/>
  <c r="G6930" i="1"/>
  <c r="H6930" i="1" s="1"/>
  <c r="H6929" i="1"/>
  <c r="G6929" i="1"/>
  <c r="G6928" i="1"/>
  <c r="H6928" i="1" s="1"/>
  <c r="G6921" i="1"/>
  <c r="H6919" i="1"/>
  <c r="H6916" i="1"/>
  <c r="G6916" i="1"/>
  <c r="G6915" i="1"/>
  <c r="H6915" i="1" s="1"/>
  <c r="H6914" i="1"/>
  <c r="G6914" i="1"/>
  <c r="H6913" i="1"/>
  <c r="G6913" i="1"/>
  <c r="G6912" i="1"/>
  <c r="H6912" i="1" s="1"/>
  <c r="G6911" i="1"/>
  <c r="H6911" i="1" s="1"/>
  <c r="H6910" i="1"/>
  <c r="G6910" i="1"/>
  <c r="G6907" i="1"/>
  <c r="H6907" i="1" s="1"/>
  <c r="G6906" i="1"/>
  <c r="H6906" i="1" s="1"/>
  <c r="G6905" i="1"/>
  <c r="H6905" i="1" s="1"/>
  <c r="G6904" i="1"/>
  <c r="H6904" i="1" s="1"/>
  <c r="H6908" i="1" s="1"/>
  <c r="G6898" i="1"/>
  <c r="H6896" i="1"/>
  <c r="H6893" i="1"/>
  <c r="G6893" i="1"/>
  <c r="G6892" i="1"/>
  <c r="H6892" i="1" s="1"/>
  <c r="G6891" i="1"/>
  <c r="H6891" i="1" s="1"/>
  <c r="H6890" i="1"/>
  <c r="G6890" i="1"/>
  <c r="G6889" i="1"/>
  <c r="H6889" i="1" s="1"/>
  <c r="H6888" i="1"/>
  <c r="G6888" i="1"/>
  <c r="H6887" i="1"/>
  <c r="G6887" i="1"/>
  <c r="G6884" i="1"/>
  <c r="H6884" i="1" s="1"/>
  <c r="H6883" i="1"/>
  <c r="G6883" i="1"/>
  <c r="H6882" i="1"/>
  <c r="G6882" i="1"/>
  <c r="G6881" i="1"/>
  <c r="H6881" i="1" s="1"/>
  <c r="G6875" i="1"/>
  <c r="H6873" i="1"/>
  <c r="H6870" i="1"/>
  <c r="G6870" i="1"/>
  <c r="G6869" i="1"/>
  <c r="H6869" i="1" s="1"/>
  <c r="H6868" i="1"/>
  <c r="G6868" i="1"/>
  <c r="H6867" i="1"/>
  <c r="G6867" i="1"/>
  <c r="G6866" i="1"/>
  <c r="H6866" i="1" s="1"/>
  <c r="G6865" i="1"/>
  <c r="H6865" i="1" s="1"/>
  <c r="H6864" i="1"/>
  <c r="G6864" i="1"/>
  <c r="G6861" i="1"/>
  <c r="H6861" i="1" s="1"/>
  <c r="G6860" i="1"/>
  <c r="H6860" i="1" s="1"/>
  <c r="G6859" i="1"/>
  <c r="H6859" i="1" s="1"/>
  <c r="G6858" i="1"/>
  <c r="H6858" i="1" s="1"/>
  <c r="H6862" i="1" s="1"/>
  <c r="G6852" i="1"/>
  <c r="H6850" i="1"/>
  <c r="H6847" i="1"/>
  <c r="G6847" i="1"/>
  <c r="G6846" i="1"/>
  <c r="H6846" i="1" s="1"/>
  <c r="H6845" i="1"/>
  <c r="G6845" i="1"/>
  <c r="H6844" i="1"/>
  <c r="G6844" i="1"/>
  <c r="G6843" i="1"/>
  <c r="H6843" i="1" s="1"/>
  <c r="H6842" i="1"/>
  <c r="G6842" i="1"/>
  <c r="H6841" i="1"/>
  <c r="G6841" i="1"/>
  <c r="G6838" i="1"/>
  <c r="H6838" i="1" s="1"/>
  <c r="G6837" i="1"/>
  <c r="H6837" i="1" s="1"/>
  <c r="H6836" i="1"/>
  <c r="G6836" i="1"/>
  <c r="H6835" i="1"/>
  <c r="G6835" i="1"/>
  <c r="G6828" i="1"/>
  <c r="H6826" i="1"/>
  <c r="H6823" i="1"/>
  <c r="G6823" i="1"/>
  <c r="G6822" i="1"/>
  <c r="H6822" i="1" s="1"/>
  <c r="H6821" i="1"/>
  <c r="G6821" i="1"/>
  <c r="H6820" i="1"/>
  <c r="G6820" i="1"/>
  <c r="G6819" i="1"/>
  <c r="H6819" i="1" s="1"/>
  <c r="G6818" i="1"/>
  <c r="H6818" i="1" s="1"/>
  <c r="G6817" i="1"/>
  <c r="H6817" i="1" s="1"/>
  <c r="H6814" i="1"/>
  <c r="G6814" i="1"/>
  <c r="G6813" i="1"/>
  <c r="H6813" i="1" s="1"/>
  <c r="G6812" i="1"/>
  <c r="H6812" i="1" s="1"/>
  <c r="H6811" i="1"/>
  <c r="G6811" i="1"/>
  <c r="G6805" i="1"/>
  <c r="H6803" i="1"/>
  <c r="H6800" i="1"/>
  <c r="G6800" i="1"/>
  <c r="G6799" i="1"/>
  <c r="H6799" i="1" s="1"/>
  <c r="H6798" i="1"/>
  <c r="G6798" i="1"/>
  <c r="G6797" i="1"/>
  <c r="H6797" i="1" s="1"/>
  <c r="G6796" i="1"/>
  <c r="H6796" i="1" s="1"/>
  <c r="H6795" i="1"/>
  <c r="G6795" i="1"/>
  <c r="H6794" i="1"/>
  <c r="G6794" i="1"/>
  <c r="H6791" i="1"/>
  <c r="G6791" i="1"/>
  <c r="G6790" i="1"/>
  <c r="H6790" i="1" s="1"/>
  <c r="H6789" i="1"/>
  <c r="G6789" i="1"/>
  <c r="G6788" i="1"/>
  <c r="H6788" i="1" s="1"/>
  <c r="G6782" i="1"/>
  <c r="H6780" i="1"/>
  <c r="G6777" i="1"/>
  <c r="H6777" i="1" s="1"/>
  <c r="H6778" i="1" s="1"/>
  <c r="H6774" i="1"/>
  <c r="G6774" i="1"/>
  <c r="G6773" i="1"/>
  <c r="H6773" i="1" s="1"/>
  <c r="G6772" i="1"/>
  <c r="H6772" i="1" s="1"/>
  <c r="G6771" i="1"/>
  <c r="H6771" i="1" s="1"/>
  <c r="G6765" i="1"/>
  <c r="H6763" i="1"/>
  <c r="H6760" i="1"/>
  <c r="H6761" i="1" s="1"/>
  <c r="G6760" i="1"/>
  <c r="G6757" i="1"/>
  <c r="H6757" i="1" s="1"/>
  <c r="G6756" i="1"/>
  <c r="H6756" i="1" s="1"/>
  <c r="H6755" i="1"/>
  <c r="G6755" i="1"/>
  <c r="H6754" i="1"/>
  <c r="H6758" i="1" s="1"/>
  <c r="G6754" i="1"/>
  <c r="G6748" i="1"/>
  <c r="H6746" i="1"/>
  <c r="G6743" i="1"/>
  <c r="H6743" i="1" s="1"/>
  <c r="H6744" i="1" s="1"/>
  <c r="H6740" i="1"/>
  <c r="G6740" i="1"/>
  <c r="G6739" i="1"/>
  <c r="H6739" i="1" s="1"/>
  <c r="G6738" i="1"/>
  <c r="H6738" i="1" s="1"/>
  <c r="G6737" i="1"/>
  <c r="H6737" i="1" s="1"/>
  <c r="H6741" i="1" s="1"/>
  <c r="G6731" i="1"/>
  <c r="H6729" i="1"/>
  <c r="H6726" i="1"/>
  <c r="H6727" i="1" s="1"/>
  <c r="G6726" i="1"/>
  <c r="H6723" i="1"/>
  <c r="G6723" i="1"/>
  <c r="G6722" i="1"/>
  <c r="H6722" i="1" s="1"/>
  <c r="H6721" i="1"/>
  <c r="G6721" i="1"/>
  <c r="G6720" i="1"/>
  <c r="H6720" i="1" s="1"/>
  <c r="G6714" i="1"/>
  <c r="H6712" i="1"/>
  <c r="G6709" i="1"/>
  <c r="H6709" i="1" s="1"/>
  <c r="H6710" i="1" s="1"/>
  <c r="H6706" i="1"/>
  <c r="G6706" i="1"/>
  <c r="G6705" i="1"/>
  <c r="H6705" i="1" s="1"/>
  <c r="G6704" i="1"/>
  <c r="H6704" i="1" s="1"/>
  <c r="G6703" i="1"/>
  <c r="H6703" i="1" s="1"/>
  <c r="G6697" i="1"/>
  <c r="H6695" i="1"/>
  <c r="H6692" i="1"/>
  <c r="H6693" i="1" s="1"/>
  <c r="G6692" i="1"/>
  <c r="G6689" i="1"/>
  <c r="H6689" i="1" s="1"/>
  <c r="G6688" i="1"/>
  <c r="H6688" i="1" s="1"/>
  <c r="H6687" i="1"/>
  <c r="G6687" i="1"/>
  <c r="H6686" i="1"/>
  <c r="G6686" i="1"/>
  <c r="G6680" i="1"/>
  <c r="H6678" i="1"/>
  <c r="G6675" i="1"/>
  <c r="H6675" i="1" s="1"/>
  <c r="H6676" i="1" s="1"/>
  <c r="H6672" i="1"/>
  <c r="G6672" i="1"/>
  <c r="G6671" i="1"/>
  <c r="H6671" i="1" s="1"/>
  <c r="G6670" i="1"/>
  <c r="H6670" i="1" s="1"/>
  <c r="G6669" i="1"/>
  <c r="H6669" i="1" s="1"/>
  <c r="H6673" i="1" s="1"/>
  <c r="G6663" i="1"/>
  <c r="H6661" i="1"/>
  <c r="H6658" i="1"/>
  <c r="H6659" i="1" s="1"/>
  <c r="G6658" i="1"/>
  <c r="H6655" i="1"/>
  <c r="G6655" i="1"/>
  <c r="G6654" i="1"/>
  <c r="H6654" i="1" s="1"/>
  <c r="H6653" i="1"/>
  <c r="G6653" i="1"/>
  <c r="G6652" i="1"/>
  <c r="H6652" i="1" s="1"/>
  <c r="G6646" i="1"/>
  <c r="H6644" i="1"/>
  <c r="G6641" i="1"/>
  <c r="H6641" i="1" s="1"/>
  <c r="H6642" i="1" s="1"/>
  <c r="H6638" i="1"/>
  <c r="G6638" i="1"/>
  <c r="G6637" i="1"/>
  <c r="H6637" i="1" s="1"/>
  <c r="G6636" i="1"/>
  <c r="H6636" i="1" s="1"/>
  <c r="H6635" i="1"/>
  <c r="G6635" i="1"/>
  <c r="G6629" i="1"/>
  <c r="H6628" i="1"/>
  <c r="H6627" i="1"/>
  <c r="G6624" i="1"/>
  <c r="H6624" i="1" s="1"/>
  <c r="H6625" i="1" s="1"/>
  <c r="G6621" i="1"/>
  <c r="H6621" i="1" s="1"/>
  <c r="G6620" i="1"/>
  <c r="H6620" i="1" s="1"/>
  <c r="H6619" i="1"/>
  <c r="G6619" i="1"/>
  <c r="G6618" i="1"/>
  <c r="H6618" i="1" s="1"/>
  <c r="H6622" i="1" s="1"/>
  <c r="G6612" i="1"/>
  <c r="H6610" i="1"/>
  <c r="G6607" i="1"/>
  <c r="H6607" i="1" s="1"/>
  <c r="H6608" i="1" s="1"/>
  <c r="H6604" i="1"/>
  <c r="G6604" i="1"/>
  <c r="G6603" i="1"/>
  <c r="H6603" i="1" s="1"/>
  <c r="H6602" i="1"/>
  <c r="G6602" i="1"/>
  <c r="G6601" i="1"/>
  <c r="H6601" i="1" s="1"/>
  <c r="G6594" i="1"/>
  <c r="H6592" i="1"/>
  <c r="G6589" i="1"/>
  <c r="H6589" i="1" s="1"/>
  <c r="H6590" i="1" s="1"/>
  <c r="H6586" i="1"/>
  <c r="G6586" i="1"/>
  <c r="G6585" i="1"/>
  <c r="H6585" i="1" s="1"/>
  <c r="H6587" i="1" s="1"/>
  <c r="H6584" i="1"/>
  <c r="G6584" i="1"/>
  <c r="G6583" i="1"/>
  <c r="H6583" i="1" s="1"/>
  <c r="G6577" i="1"/>
  <c r="H6575" i="1"/>
  <c r="G6572" i="1"/>
  <c r="H6572" i="1" s="1"/>
  <c r="H6573" i="1" s="1"/>
  <c r="H6576" i="1" s="1"/>
  <c r="G6569" i="1"/>
  <c r="H6569" i="1" s="1"/>
  <c r="G6568" i="1"/>
  <c r="H6568" i="1" s="1"/>
  <c r="G6567" i="1"/>
  <c r="H6567" i="1" s="1"/>
  <c r="G6566" i="1"/>
  <c r="H6566" i="1" s="1"/>
  <c r="H6570" i="1" s="1"/>
  <c r="G6560" i="1"/>
  <c r="H6558" i="1"/>
  <c r="H6555" i="1"/>
  <c r="H6556" i="1" s="1"/>
  <c r="G6555" i="1"/>
  <c r="H6552" i="1"/>
  <c r="G6552" i="1"/>
  <c r="G6551" i="1"/>
  <c r="H6551" i="1" s="1"/>
  <c r="H6550" i="1"/>
  <c r="G6550" i="1"/>
  <c r="G6549" i="1"/>
  <c r="H6549" i="1" s="1"/>
  <c r="G6543" i="1"/>
  <c r="H6541" i="1"/>
  <c r="G6538" i="1"/>
  <c r="H6538" i="1" s="1"/>
  <c r="H6539" i="1" s="1"/>
  <c r="H6535" i="1"/>
  <c r="G6535" i="1"/>
  <c r="G6534" i="1"/>
  <c r="H6534" i="1" s="1"/>
  <c r="G6533" i="1"/>
  <c r="H6533" i="1" s="1"/>
  <c r="H6532" i="1"/>
  <c r="G6532" i="1"/>
  <c r="G6526" i="1"/>
  <c r="H6524" i="1"/>
  <c r="G6521" i="1"/>
  <c r="H6521" i="1" s="1"/>
  <c r="H6522" i="1" s="1"/>
  <c r="G6518" i="1"/>
  <c r="H6518" i="1" s="1"/>
  <c r="G6517" i="1"/>
  <c r="H6517" i="1" s="1"/>
  <c r="H6516" i="1"/>
  <c r="G6516" i="1"/>
  <c r="G6515" i="1"/>
  <c r="H6515" i="1" s="1"/>
  <c r="H6519" i="1" s="1"/>
  <c r="H6525" i="1" s="1"/>
  <c r="G6507" i="1"/>
  <c r="H6505" i="1"/>
  <c r="G6502" i="1"/>
  <c r="H6502" i="1" s="1"/>
  <c r="H6503" i="1" s="1"/>
  <c r="H6499" i="1"/>
  <c r="G6499" i="1"/>
  <c r="G6498" i="1"/>
  <c r="H6498" i="1" s="1"/>
  <c r="H6497" i="1"/>
  <c r="G6497" i="1"/>
  <c r="G6496" i="1"/>
  <c r="H6496" i="1" s="1"/>
  <c r="G6488" i="1"/>
  <c r="H6486" i="1"/>
  <c r="G6483" i="1"/>
  <c r="H6483" i="1" s="1"/>
  <c r="H6484" i="1" s="1"/>
  <c r="H6480" i="1"/>
  <c r="G6480" i="1"/>
  <c r="G6479" i="1"/>
  <c r="H6479" i="1" s="1"/>
  <c r="H6481" i="1" s="1"/>
  <c r="H6478" i="1"/>
  <c r="G6478" i="1"/>
  <c r="G6477" i="1"/>
  <c r="H6477" i="1" s="1"/>
  <c r="G6471" i="1"/>
  <c r="H6469" i="1"/>
  <c r="G6466" i="1"/>
  <c r="H6466" i="1" s="1"/>
  <c r="H6467" i="1" s="1"/>
  <c r="G6463" i="1"/>
  <c r="H6463" i="1" s="1"/>
  <c r="G6462" i="1"/>
  <c r="H6462" i="1" s="1"/>
  <c r="G6461" i="1"/>
  <c r="H6461" i="1" s="1"/>
  <c r="G6460" i="1"/>
  <c r="H6460" i="1" s="1"/>
  <c r="H6464" i="1" s="1"/>
  <c r="H6470" i="1" s="1"/>
  <c r="G6453" i="1"/>
  <c r="H6451" i="1"/>
  <c r="H6448" i="1"/>
  <c r="H6449" i="1" s="1"/>
  <c r="G6448" i="1"/>
  <c r="H6445" i="1"/>
  <c r="G6445" i="1"/>
  <c r="G6444" i="1"/>
  <c r="H6444" i="1" s="1"/>
  <c r="H6443" i="1"/>
  <c r="G6443" i="1"/>
  <c r="G6442" i="1"/>
  <c r="H6442" i="1" s="1"/>
  <c r="G6435" i="1"/>
  <c r="H6433" i="1"/>
  <c r="H6430" i="1"/>
  <c r="H6431" i="1" s="1"/>
  <c r="G6430" i="1"/>
  <c r="H6429" i="1"/>
  <c r="G6429" i="1"/>
  <c r="G6426" i="1"/>
  <c r="H6426" i="1" s="1"/>
  <c r="G6425" i="1"/>
  <c r="H6425" i="1" s="1"/>
  <c r="G6424" i="1"/>
  <c r="H6424" i="1" s="1"/>
  <c r="H6423" i="1"/>
  <c r="G6423" i="1"/>
  <c r="G6417" i="1"/>
  <c r="H6415" i="1"/>
  <c r="H6413" i="1"/>
  <c r="H6410" i="1"/>
  <c r="G6410" i="1"/>
  <c r="G6409" i="1"/>
  <c r="H6409" i="1" s="1"/>
  <c r="G6408" i="1"/>
  <c r="H6408" i="1" s="1"/>
  <c r="H6411" i="1" s="1"/>
  <c r="G6401" i="1"/>
  <c r="H6399" i="1"/>
  <c r="H6396" i="1"/>
  <c r="H6397" i="1" s="1"/>
  <c r="G6396" i="1"/>
  <c r="H6393" i="1"/>
  <c r="G6393" i="1"/>
  <c r="G6392" i="1"/>
  <c r="H6392" i="1" s="1"/>
  <c r="G6391" i="1"/>
  <c r="H6391" i="1" s="1"/>
  <c r="G6390" i="1"/>
  <c r="H6390" i="1" s="1"/>
  <c r="G6384" i="1"/>
  <c r="G6381" i="1"/>
  <c r="H6381" i="1" s="1"/>
  <c r="H6382" i="1" s="1"/>
  <c r="H6378" i="1"/>
  <c r="G6378" i="1"/>
  <c r="G6377" i="1"/>
  <c r="H6377" i="1" s="1"/>
  <c r="H6379" i="1" s="1"/>
  <c r="G6374" i="1"/>
  <c r="H6374" i="1" s="1"/>
  <c r="G6373" i="1"/>
  <c r="H6373" i="1" s="1"/>
  <c r="H6372" i="1"/>
  <c r="G6372" i="1"/>
  <c r="G6371" i="1"/>
  <c r="H6371" i="1" s="1"/>
  <c r="G6364" i="1"/>
  <c r="H6362" i="1"/>
  <c r="G6359" i="1"/>
  <c r="H6359" i="1" s="1"/>
  <c r="G6358" i="1"/>
  <c r="H6358" i="1" s="1"/>
  <c r="G6357" i="1"/>
  <c r="H6357" i="1" s="1"/>
  <c r="H6360" i="1" s="1"/>
  <c r="G6354" i="1"/>
  <c r="H6354" i="1" s="1"/>
  <c r="H6353" i="1"/>
  <c r="G6353" i="1"/>
  <c r="H6352" i="1"/>
  <c r="G6352" i="1"/>
  <c r="G6351" i="1"/>
  <c r="H6351" i="1" s="1"/>
  <c r="G6344" i="1"/>
  <c r="H6342" i="1"/>
  <c r="G6339" i="1"/>
  <c r="H6339" i="1" s="1"/>
  <c r="G6338" i="1"/>
  <c r="H6338" i="1" s="1"/>
  <c r="G6337" i="1"/>
  <c r="H6337" i="1" s="1"/>
  <c r="H6340" i="1" s="1"/>
  <c r="H6335" i="1"/>
  <c r="H6334" i="1"/>
  <c r="G6334" i="1"/>
  <c r="G6333" i="1"/>
  <c r="H6333" i="1" s="1"/>
  <c r="H6332" i="1"/>
  <c r="G6332" i="1"/>
  <c r="H6331" i="1"/>
  <c r="G6331" i="1"/>
  <c r="G6325" i="1"/>
  <c r="H6323" i="1"/>
  <c r="G6320" i="1"/>
  <c r="H6320" i="1" s="1"/>
  <c r="G6319" i="1"/>
  <c r="H6319" i="1" s="1"/>
  <c r="G6318" i="1"/>
  <c r="H6318" i="1" s="1"/>
  <c r="G6317" i="1"/>
  <c r="H6317" i="1" s="1"/>
  <c r="G6316" i="1"/>
  <c r="H6316" i="1" s="1"/>
  <c r="H6315" i="1"/>
  <c r="G6315" i="1"/>
  <c r="G6314" i="1"/>
  <c r="H6314" i="1" s="1"/>
  <c r="H6311" i="1"/>
  <c r="G6311" i="1"/>
  <c r="G6310" i="1"/>
  <c r="H6310" i="1" s="1"/>
  <c r="G6309" i="1"/>
  <c r="H6309" i="1" s="1"/>
  <c r="H6308" i="1"/>
  <c r="H6312" i="1" s="1"/>
  <c r="G6308" i="1"/>
  <c r="G6302" i="1"/>
  <c r="H6300" i="1"/>
  <c r="G6297" i="1"/>
  <c r="H6297" i="1" s="1"/>
  <c r="G6296" i="1"/>
  <c r="H6296" i="1" s="1"/>
  <c r="H6295" i="1"/>
  <c r="G6295" i="1"/>
  <c r="G6294" i="1"/>
  <c r="H6294" i="1" s="1"/>
  <c r="H6291" i="1"/>
  <c r="G6291" i="1"/>
  <c r="G6290" i="1"/>
  <c r="H6290" i="1" s="1"/>
  <c r="G6289" i="1"/>
  <c r="H6289" i="1" s="1"/>
  <c r="H6288" i="1"/>
  <c r="G6288" i="1"/>
  <c r="G6282" i="1"/>
  <c r="H6280" i="1"/>
  <c r="G6277" i="1"/>
  <c r="H6277" i="1" s="1"/>
  <c r="H6276" i="1"/>
  <c r="H6278" i="1" s="1"/>
  <c r="H6281" i="1" s="1"/>
  <c r="G6276" i="1"/>
  <c r="H6275" i="1"/>
  <c r="G6275" i="1"/>
  <c r="H6272" i="1"/>
  <c r="G6272" i="1"/>
  <c r="H6271" i="1"/>
  <c r="G6271" i="1"/>
  <c r="G6270" i="1"/>
  <c r="H6270" i="1" s="1"/>
  <c r="G6269" i="1"/>
  <c r="H6269" i="1" s="1"/>
  <c r="H6273" i="1" s="1"/>
  <c r="G6263" i="1"/>
  <c r="H6261" i="1"/>
  <c r="G6258" i="1"/>
  <c r="H6258" i="1" s="1"/>
  <c r="G6257" i="1"/>
  <c r="H6257" i="1" s="1"/>
  <c r="G6256" i="1"/>
  <c r="H6256" i="1" s="1"/>
  <c r="H6255" i="1"/>
  <c r="G6255" i="1"/>
  <c r="G6254" i="1"/>
  <c r="H6254" i="1" s="1"/>
  <c r="G6253" i="1"/>
  <c r="H6253" i="1" s="1"/>
  <c r="G6252" i="1"/>
  <c r="H6252" i="1" s="1"/>
  <c r="G6249" i="1"/>
  <c r="H6249" i="1" s="1"/>
  <c r="H6248" i="1"/>
  <c r="G6248" i="1"/>
  <c r="G6247" i="1"/>
  <c r="H6247" i="1" s="1"/>
  <c r="H6250" i="1" s="1"/>
  <c r="H6246" i="1"/>
  <c r="G6246" i="1"/>
  <c r="G6239" i="1"/>
  <c r="H6237" i="1"/>
  <c r="H6234" i="1"/>
  <c r="G6234" i="1"/>
  <c r="G6233" i="1"/>
  <c r="H6233" i="1" s="1"/>
  <c r="G6232" i="1"/>
  <c r="H6232" i="1" s="1"/>
  <c r="G6231" i="1"/>
  <c r="H6231" i="1" s="1"/>
  <c r="H6235" i="1" s="1"/>
  <c r="H6238" i="1" s="1"/>
  <c r="G6228" i="1"/>
  <c r="H6228" i="1" s="1"/>
  <c r="H6227" i="1"/>
  <c r="G6227" i="1"/>
  <c r="G6226" i="1"/>
  <c r="H6226" i="1" s="1"/>
  <c r="H6229" i="1" s="1"/>
  <c r="H6225" i="1"/>
  <c r="G6225" i="1"/>
  <c r="G6218" i="1"/>
  <c r="H6216" i="1"/>
  <c r="H6214" i="1"/>
  <c r="H6213" i="1"/>
  <c r="G6213" i="1"/>
  <c r="H6210" i="1"/>
  <c r="G6210" i="1"/>
  <c r="H6209" i="1"/>
  <c r="G6209" i="1"/>
  <c r="G6208" i="1"/>
  <c r="H6208" i="1" s="1"/>
  <c r="G6207" i="1"/>
  <c r="H6207" i="1" s="1"/>
  <c r="H6211" i="1" s="1"/>
  <c r="H6217" i="1" s="1"/>
  <c r="G6200" i="1"/>
  <c r="H6198" i="1"/>
  <c r="G6195" i="1"/>
  <c r="H6195" i="1" s="1"/>
  <c r="H6196" i="1" s="1"/>
  <c r="G6192" i="1"/>
  <c r="H6192" i="1" s="1"/>
  <c r="H6191" i="1"/>
  <c r="H6193" i="1" s="1"/>
  <c r="G6191" i="1"/>
  <c r="G6190" i="1"/>
  <c r="H6190" i="1" s="1"/>
  <c r="H6189" i="1"/>
  <c r="G6189" i="1"/>
  <c r="G6182" i="1"/>
  <c r="H6180" i="1"/>
  <c r="H6178" i="1"/>
  <c r="H6177" i="1"/>
  <c r="G6177" i="1"/>
  <c r="H6174" i="1"/>
  <c r="G6174" i="1"/>
  <c r="H6173" i="1"/>
  <c r="G6173" i="1"/>
  <c r="G6172" i="1"/>
  <c r="H6172" i="1" s="1"/>
  <c r="G6171" i="1"/>
  <c r="H6171" i="1" s="1"/>
  <c r="G6165" i="1"/>
  <c r="H6163" i="1"/>
  <c r="G6160" i="1"/>
  <c r="H6160" i="1" s="1"/>
  <c r="H6161" i="1" s="1"/>
  <c r="H6157" i="1"/>
  <c r="H6158" i="1" s="1"/>
  <c r="G6157" i="1"/>
  <c r="H6156" i="1"/>
  <c r="G6156" i="1"/>
  <c r="G6155" i="1"/>
  <c r="H6155" i="1" s="1"/>
  <c r="G6154" i="1"/>
  <c r="H6154" i="1" s="1"/>
  <c r="G6148" i="1"/>
  <c r="H6146" i="1"/>
  <c r="H6144" i="1"/>
  <c r="H6143" i="1"/>
  <c r="G6143" i="1"/>
  <c r="G6142" i="1"/>
  <c r="H6142" i="1" s="1"/>
  <c r="H6139" i="1"/>
  <c r="G6139" i="1"/>
  <c r="H6138" i="1"/>
  <c r="G6138" i="1"/>
  <c r="G6137" i="1"/>
  <c r="H6137" i="1" s="1"/>
  <c r="H6136" i="1"/>
  <c r="G6136" i="1"/>
  <c r="G6130" i="1"/>
  <c r="H6128" i="1"/>
  <c r="H6125" i="1"/>
  <c r="G6125" i="1"/>
  <c r="G6124" i="1"/>
  <c r="H6124" i="1" s="1"/>
  <c r="H6126" i="1" s="1"/>
  <c r="H6123" i="1"/>
  <c r="G6123" i="1"/>
  <c r="G6120" i="1"/>
  <c r="H6120" i="1" s="1"/>
  <c r="H6119" i="1"/>
  <c r="G6119" i="1"/>
  <c r="G6118" i="1"/>
  <c r="H6118" i="1" s="1"/>
  <c r="H6117" i="1"/>
  <c r="G6117" i="1"/>
  <c r="G6111" i="1"/>
  <c r="H6109" i="1"/>
  <c r="G6106" i="1"/>
  <c r="H6106" i="1" s="1"/>
  <c r="G6105" i="1"/>
  <c r="H6105" i="1" s="1"/>
  <c r="G6104" i="1"/>
  <c r="H6104" i="1" s="1"/>
  <c r="G6101" i="1"/>
  <c r="H6101" i="1" s="1"/>
  <c r="G6100" i="1"/>
  <c r="H6100" i="1" s="1"/>
  <c r="H6099" i="1"/>
  <c r="G6099" i="1"/>
  <c r="G6098" i="1"/>
  <c r="H6098" i="1" s="1"/>
  <c r="H6102" i="1" s="1"/>
  <c r="G6092" i="1"/>
  <c r="H6090" i="1"/>
  <c r="G6087" i="1"/>
  <c r="H6087" i="1" s="1"/>
  <c r="G6086" i="1"/>
  <c r="H6086" i="1" s="1"/>
  <c r="G6085" i="1"/>
  <c r="H6085" i="1" s="1"/>
  <c r="H6088" i="1" s="1"/>
  <c r="H6082" i="1"/>
  <c r="G6082" i="1"/>
  <c r="G6081" i="1"/>
  <c r="H6081" i="1" s="1"/>
  <c r="H6083" i="1" s="1"/>
  <c r="G6080" i="1"/>
  <c r="H6080" i="1" s="1"/>
  <c r="H6079" i="1"/>
  <c r="G6079" i="1"/>
  <c r="G6072" i="1"/>
  <c r="H6070" i="1"/>
  <c r="G6067" i="1"/>
  <c r="H6067" i="1" s="1"/>
  <c r="G6066" i="1"/>
  <c r="H6066" i="1" s="1"/>
  <c r="H6068" i="1" s="1"/>
  <c r="H6063" i="1"/>
  <c r="G6063" i="1"/>
  <c r="G6062" i="1"/>
  <c r="H6062" i="1" s="1"/>
  <c r="H6061" i="1"/>
  <c r="G6061" i="1"/>
  <c r="G6060" i="1"/>
  <c r="H6060" i="1" s="1"/>
  <c r="G6054" i="1"/>
  <c r="H6052" i="1"/>
  <c r="H6049" i="1"/>
  <c r="G6049" i="1"/>
  <c r="H6048" i="1"/>
  <c r="G6048" i="1"/>
  <c r="G6047" i="1"/>
  <c r="H6047" i="1" s="1"/>
  <c r="H6050" i="1" s="1"/>
  <c r="H6044" i="1"/>
  <c r="G6044" i="1"/>
  <c r="G6043" i="1"/>
  <c r="H6043" i="1" s="1"/>
  <c r="H6042" i="1"/>
  <c r="G6042" i="1"/>
  <c r="H6041" i="1"/>
  <c r="G6041" i="1"/>
  <c r="G6035" i="1"/>
  <c r="H6033" i="1"/>
  <c r="G6030" i="1"/>
  <c r="H6030" i="1" s="1"/>
  <c r="G6029" i="1"/>
  <c r="H6029" i="1" s="1"/>
  <c r="H6031" i="1" s="1"/>
  <c r="H6034" i="1" s="1"/>
  <c r="G6026" i="1"/>
  <c r="H6026" i="1" s="1"/>
  <c r="G6025" i="1"/>
  <c r="H6025" i="1" s="1"/>
  <c r="H6024" i="1"/>
  <c r="G6024" i="1"/>
  <c r="G6023" i="1"/>
  <c r="H6023" i="1" s="1"/>
  <c r="H6027" i="1" s="1"/>
  <c r="G6016" i="1"/>
  <c r="H6014" i="1"/>
  <c r="H6011" i="1"/>
  <c r="H6012" i="1" s="1"/>
  <c r="G6011" i="1"/>
  <c r="G6008" i="1"/>
  <c r="H6008" i="1" s="1"/>
  <c r="H6007" i="1"/>
  <c r="G6007" i="1"/>
  <c r="H6006" i="1"/>
  <c r="G6006" i="1"/>
  <c r="G6005" i="1"/>
  <c r="H6005" i="1" s="1"/>
  <c r="G5999" i="1"/>
  <c r="H5997" i="1"/>
  <c r="G5994" i="1"/>
  <c r="H5994" i="1" s="1"/>
  <c r="H5995" i="1" s="1"/>
  <c r="H5993" i="1"/>
  <c r="G5993" i="1"/>
  <c r="G5990" i="1"/>
  <c r="H5990" i="1" s="1"/>
  <c r="H5989" i="1"/>
  <c r="G5989" i="1"/>
  <c r="G5988" i="1"/>
  <c r="H5988" i="1" s="1"/>
  <c r="H5987" i="1"/>
  <c r="G5987" i="1"/>
  <c r="G5981" i="1"/>
  <c r="H5979" i="1"/>
  <c r="G5976" i="1"/>
  <c r="H5976" i="1" s="1"/>
  <c r="G5975" i="1"/>
  <c r="H5975" i="1" s="1"/>
  <c r="G5972" i="1"/>
  <c r="H5972" i="1" s="1"/>
  <c r="H5973" i="1" s="1"/>
  <c r="G5971" i="1"/>
  <c r="H5971" i="1" s="1"/>
  <c r="G5970" i="1"/>
  <c r="H5970" i="1" s="1"/>
  <c r="H5969" i="1"/>
  <c r="G5969" i="1"/>
  <c r="G5963" i="1"/>
  <c r="H5961" i="1"/>
  <c r="G5958" i="1"/>
  <c r="H5958" i="1" s="1"/>
  <c r="H5957" i="1"/>
  <c r="H5959" i="1" s="1"/>
  <c r="G5957" i="1"/>
  <c r="G5954" i="1"/>
  <c r="H5954" i="1" s="1"/>
  <c r="H5953" i="1"/>
  <c r="G5953" i="1"/>
  <c r="G5952" i="1"/>
  <c r="H5952" i="1" s="1"/>
  <c r="G5951" i="1"/>
  <c r="H5951" i="1" s="1"/>
  <c r="G5945" i="1"/>
  <c r="H5943" i="1"/>
  <c r="H5940" i="1"/>
  <c r="H5941" i="1" s="1"/>
  <c r="G5940" i="1"/>
  <c r="G5937" i="1"/>
  <c r="H5937" i="1" s="1"/>
  <c r="G5936" i="1"/>
  <c r="H5936" i="1" s="1"/>
  <c r="H5935" i="1"/>
  <c r="G5935" i="1"/>
  <c r="H5934" i="1"/>
  <c r="G5934" i="1"/>
  <c r="G5927" i="1"/>
  <c r="H5925" i="1"/>
  <c r="G5922" i="1"/>
  <c r="H5922" i="1" s="1"/>
  <c r="H5923" i="1" s="1"/>
  <c r="G5921" i="1"/>
  <c r="H5921" i="1" s="1"/>
  <c r="H5918" i="1"/>
  <c r="G5918" i="1"/>
  <c r="G5917" i="1"/>
  <c r="H5917" i="1" s="1"/>
  <c r="G5916" i="1"/>
  <c r="H5916" i="1" s="1"/>
  <c r="G5915" i="1"/>
  <c r="H5915" i="1" s="1"/>
  <c r="H5919" i="1" s="1"/>
  <c r="G5909" i="1"/>
  <c r="H5907" i="1"/>
  <c r="H5905" i="1"/>
  <c r="H5904" i="1"/>
  <c r="G5904" i="1"/>
  <c r="G5901" i="1"/>
  <c r="H5901" i="1" s="1"/>
  <c r="H5900" i="1"/>
  <c r="G5900" i="1"/>
  <c r="H5899" i="1"/>
  <c r="G5899" i="1"/>
  <c r="G5898" i="1"/>
  <c r="H5898" i="1" s="1"/>
  <c r="H5902" i="1" s="1"/>
  <c r="G5891" i="1"/>
  <c r="H5889" i="1"/>
  <c r="H5887" i="1"/>
  <c r="G5886" i="1"/>
  <c r="H5886" i="1" s="1"/>
  <c r="H5883" i="1"/>
  <c r="G5883" i="1"/>
  <c r="G5882" i="1"/>
  <c r="H5882" i="1" s="1"/>
  <c r="G5881" i="1"/>
  <c r="H5881" i="1" s="1"/>
  <c r="H5880" i="1"/>
  <c r="H5884" i="1" s="1"/>
  <c r="G5880" i="1"/>
  <c r="G5874" i="1"/>
  <c r="H5872" i="1"/>
  <c r="H5870" i="1"/>
  <c r="H5869" i="1"/>
  <c r="G5869" i="1"/>
  <c r="G5866" i="1"/>
  <c r="H5866" i="1" s="1"/>
  <c r="H5865" i="1"/>
  <c r="G5865" i="1"/>
  <c r="G5864" i="1"/>
  <c r="H5864" i="1" s="1"/>
  <c r="H5863" i="1"/>
  <c r="G5863" i="1"/>
  <c r="G5857" i="1"/>
  <c r="H5855" i="1"/>
  <c r="G5852" i="1"/>
  <c r="H5852" i="1" s="1"/>
  <c r="H5853" i="1" s="1"/>
  <c r="G5849" i="1"/>
  <c r="H5849" i="1" s="1"/>
  <c r="H5848" i="1"/>
  <c r="G5848" i="1"/>
  <c r="G5847" i="1"/>
  <c r="H5847" i="1" s="1"/>
  <c r="H5846" i="1"/>
  <c r="H5850" i="1" s="1"/>
  <c r="G5846" i="1"/>
  <c r="G5840" i="1"/>
  <c r="H5838" i="1"/>
  <c r="H5835" i="1"/>
  <c r="G5835" i="1"/>
  <c r="G5834" i="1"/>
  <c r="H5834" i="1" s="1"/>
  <c r="H5836" i="1" s="1"/>
  <c r="H5831" i="1"/>
  <c r="G5831" i="1"/>
  <c r="G5830" i="1"/>
  <c r="H5830" i="1" s="1"/>
  <c r="G5829" i="1"/>
  <c r="H5829" i="1" s="1"/>
  <c r="H5828" i="1"/>
  <c r="G5828" i="1"/>
  <c r="G5822" i="1"/>
  <c r="H5820" i="1"/>
  <c r="G5817" i="1"/>
  <c r="H5817" i="1" s="1"/>
  <c r="H5818" i="1" s="1"/>
  <c r="H5821" i="1" s="1"/>
  <c r="G5814" i="1"/>
  <c r="H5814" i="1" s="1"/>
  <c r="G5813" i="1"/>
  <c r="H5813" i="1" s="1"/>
  <c r="G5812" i="1"/>
  <c r="H5812" i="1" s="1"/>
  <c r="H5815" i="1" s="1"/>
  <c r="H5811" i="1"/>
  <c r="G5811" i="1"/>
  <c r="G5805" i="1"/>
  <c r="H5803" i="1"/>
  <c r="G5800" i="1"/>
  <c r="H5800" i="1" s="1"/>
  <c r="H5801" i="1" s="1"/>
  <c r="H5797" i="1"/>
  <c r="G5797" i="1"/>
  <c r="H5796" i="1"/>
  <c r="G5796" i="1"/>
  <c r="G5795" i="1"/>
  <c r="H5795" i="1" s="1"/>
  <c r="G5794" i="1"/>
  <c r="H5794" i="1" s="1"/>
  <c r="H5798" i="1" s="1"/>
  <c r="G5787" i="1"/>
  <c r="H5785" i="1"/>
  <c r="G5782" i="1"/>
  <c r="H5782" i="1" s="1"/>
  <c r="H5781" i="1"/>
  <c r="G5781" i="1"/>
  <c r="H5780" i="1"/>
  <c r="H5783" i="1" s="1"/>
  <c r="G5780" i="1"/>
  <c r="G5777" i="1"/>
  <c r="H5777" i="1" s="1"/>
  <c r="H5776" i="1"/>
  <c r="G5776" i="1"/>
  <c r="H5775" i="1"/>
  <c r="G5775" i="1"/>
  <c r="G5774" i="1"/>
  <c r="H5774" i="1" s="1"/>
  <c r="G5767" i="1"/>
  <c r="H5765" i="1"/>
  <c r="G5762" i="1"/>
  <c r="H5762" i="1" s="1"/>
  <c r="H5761" i="1"/>
  <c r="H5763" i="1" s="1"/>
  <c r="G5761" i="1"/>
  <c r="G5758" i="1"/>
  <c r="H5758" i="1" s="1"/>
  <c r="G5757" i="1"/>
  <c r="H5757" i="1" s="1"/>
  <c r="G5756" i="1"/>
  <c r="H5756" i="1" s="1"/>
  <c r="H5755" i="1"/>
  <c r="G5755" i="1"/>
  <c r="G5749" i="1"/>
  <c r="H5747" i="1"/>
  <c r="H5744" i="1"/>
  <c r="G5744" i="1"/>
  <c r="G5743" i="1"/>
  <c r="H5743" i="1" s="1"/>
  <c r="G5742" i="1"/>
  <c r="H5742" i="1" s="1"/>
  <c r="G5739" i="1"/>
  <c r="H5739" i="1" s="1"/>
  <c r="H5738" i="1"/>
  <c r="G5738" i="1"/>
  <c r="G5737" i="1"/>
  <c r="H5737" i="1" s="1"/>
  <c r="G5736" i="1"/>
  <c r="H5736" i="1" s="1"/>
  <c r="G5730" i="1"/>
  <c r="H5728" i="1"/>
  <c r="H5725" i="1"/>
  <c r="G5725" i="1"/>
  <c r="G5724" i="1"/>
  <c r="H5724" i="1" s="1"/>
  <c r="H5726" i="1" s="1"/>
  <c r="H5721" i="1"/>
  <c r="G5721" i="1"/>
  <c r="H5720" i="1"/>
  <c r="G5720" i="1"/>
  <c r="G5719" i="1"/>
  <c r="H5719" i="1" s="1"/>
  <c r="G5718" i="1"/>
  <c r="H5718" i="1" s="1"/>
  <c r="G5712" i="1"/>
  <c r="H5710" i="1"/>
  <c r="H5707" i="1"/>
  <c r="H5708" i="1" s="1"/>
  <c r="G5707" i="1"/>
  <c r="G5704" i="1"/>
  <c r="H5704" i="1" s="1"/>
  <c r="G5703" i="1"/>
  <c r="H5703" i="1" s="1"/>
  <c r="H5702" i="1"/>
  <c r="G5702" i="1"/>
  <c r="G5701" i="1"/>
  <c r="H5701" i="1" s="1"/>
  <c r="H5705" i="1" s="1"/>
  <c r="G5695" i="1"/>
  <c r="H5693" i="1"/>
  <c r="G5690" i="1"/>
  <c r="H5690" i="1" s="1"/>
  <c r="H5689" i="1"/>
  <c r="G5689" i="1"/>
  <c r="G5688" i="1"/>
  <c r="H5688" i="1" s="1"/>
  <c r="H5687" i="1"/>
  <c r="G5687" i="1"/>
  <c r="H5686" i="1"/>
  <c r="G5686" i="1"/>
  <c r="H5685" i="1"/>
  <c r="G5685" i="1"/>
  <c r="G5684" i="1"/>
  <c r="H5684" i="1" s="1"/>
  <c r="H5683" i="1"/>
  <c r="G5683" i="1"/>
  <c r="G5682" i="1"/>
  <c r="H5682" i="1" s="1"/>
  <c r="H5681" i="1"/>
  <c r="G5681" i="1"/>
  <c r="G5678" i="1"/>
  <c r="H5678" i="1" s="1"/>
  <c r="G5677" i="1"/>
  <c r="H5677" i="1" s="1"/>
  <c r="G5676" i="1"/>
  <c r="H5676" i="1" s="1"/>
  <c r="H5679" i="1" s="1"/>
  <c r="H5675" i="1"/>
  <c r="G5675" i="1"/>
  <c r="G5669" i="1"/>
  <c r="H5667" i="1"/>
  <c r="G5664" i="1"/>
  <c r="H5664" i="1" s="1"/>
  <c r="G5663" i="1"/>
  <c r="H5663" i="1" s="1"/>
  <c r="H5662" i="1"/>
  <c r="G5662" i="1"/>
  <c r="G5661" i="1"/>
  <c r="H5661" i="1" s="1"/>
  <c r="H5660" i="1"/>
  <c r="G5660" i="1"/>
  <c r="H5659" i="1"/>
  <c r="G5659" i="1"/>
  <c r="G5658" i="1"/>
  <c r="H5658" i="1" s="1"/>
  <c r="G5657" i="1"/>
  <c r="H5657" i="1" s="1"/>
  <c r="H5656" i="1"/>
  <c r="G5656" i="1"/>
  <c r="G5655" i="1"/>
  <c r="H5655" i="1" s="1"/>
  <c r="G5652" i="1"/>
  <c r="H5652" i="1" s="1"/>
  <c r="G5651" i="1"/>
  <c r="H5651" i="1" s="1"/>
  <c r="G5650" i="1"/>
  <c r="H5650" i="1" s="1"/>
  <c r="G5649" i="1"/>
  <c r="H5649" i="1" s="1"/>
  <c r="H5653" i="1" s="1"/>
  <c r="G5641" i="1"/>
  <c r="H5639" i="1"/>
  <c r="H5636" i="1"/>
  <c r="H5637" i="1" s="1"/>
  <c r="G5636" i="1"/>
  <c r="G5633" i="1"/>
  <c r="H5633" i="1" s="1"/>
  <c r="H5632" i="1"/>
  <c r="G5632" i="1"/>
  <c r="G5631" i="1"/>
  <c r="H5631" i="1" s="1"/>
  <c r="H5630" i="1"/>
  <c r="G5630" i="1"/>
  <c r="G5624" i="1"/>
  <c r="H5622" i="1"/>
  <c r="H5619" i="1"/>
  <c r="H5620" i="1" s="1"/>
  <c r="G5619" i="1"/>
  <c r="G5616" i="1"/>
  <c r="H5616" i="1" s="1"/>
  <c r="G5615" i="1"/>
  <c r="H5615" i="1" s="1"/>
  <c r="G5614" i="1"/>
  <c r="H5614" i="1" s="1"/>
  <c r="G5613" i="1"/>
  <c r="H5613" i="1" s="1"/>
  <c r="G5607" i="1"/>
  <c r="H5605" i="1"/>
  <c r="H5602" i="1"/>
  <c r="H5603" i="1" s="1"/>
  <c r="G5602" i="1"/>
  <c r="H5599" i="1"/>
  <c r="G5599" i="1"/>
  <c r="G5598" i="1"/>
  <c r="H5598" i="1" s="1"/>
  <c r="G5597" i="1"/>
  <c r="H5597" i="1" s="1"/>
  <c r="H5596" i="1"/>
  <c r="G5596" i="1"/>
  <c r="G5590" i="1"/>
  <c r="H5588" i="1"/>
  <c r="G5585" i="1"/>
  <c r="H5585" i="1" s="1"/>
  <c r="H5586" i="1" s="1"/>
  <c r="H5582" i="1"/>
  <c r="G5582" i="1"/>
  <c r="G5581" i="1"/>
  <c r="H5581" i="1" s="1"/>
  <c r="G5580" i="1"/>
  <c r="H5580" i="1" s="1"/>
  <c r="H5583" i="1" s="1"/>
  <c r="H5579" i="1"/>
  <c r="G5579" i="1"/>
  <c r="G5573" i="1"/>
  <c r="H5571" i="1"/>
  <c r="H5568" i="1"/>
  <c r="H5569" i="1" s="1"/>
  <c r="G5568" i="1"/>
  <c r="H5565" i="1"/>
  <c r="G5565" i="1"/>
  <c r="G5564" i="1"/>
  <c r="H5564" i="1" s="1"/>
  <c r="G5563" i="1"/>
  <c r="H5563" i="1" s="1"/>
  <c r="G5562" i="1"/>
  <c r="H5562" i="1" s="1"/>
  <c r="H5566" i="1" s="1"/>
  <c r="G5556" i="1"/>
  <c r="H5554" i="1"/>
  <c r="H5551" i="1"/>
  <c r="H5552" i="1" s="1"/>
  <c r="G5551" i="1"/>
  <c r="G5548" i="1"/>
  <c r="H5548" i="1" s="1"/>
  <c r="H5547" i="1"/>
  <c r="G5547" i="1"/>
  <c r="H5546" i="1"/>
  <c r="G5546" i="1"/>
  <c r="H5545" i="1"/>
  <c r="G5545" i="1"/>
  <c r="G5538" i="1"/>
  <c r="H5536" i="1"/>
  <c r="H5534" i="1"/>
  <c r="G5533" i="1"/>
  <c r="H5533" i="1" s="1"/>
  <c r="H5530" i="1"/>
  <c r="G5530" i="1"/>
  <c r="G5529" i="1"/>
  <c r="H5529" i="1" s="1"/>
  <c r="G5528" i="1"/>
  <c r="H5528" i="1" s="1"/>
  <c r="G5527" i="1"/>
  <c r="H5527" i="1" s="1"/>
  <c r="H5531" i="1" s="1"/>
  <c r="G5521" i="1"/>
  <c r="H5519" i="1"/>
  <c r="H5516" i="1"/>
  <c r="H5517" i="1" s="1"/>
  <c r="G5516" i="1"/>
  <c r="G5513" i="1"/>
  <c r="H5513" i="1" s="1"/>
  <c r="H5512" i="1"/>
  <c r="G5512" i="1"/>
  <c r="H5511" i="1"/>
  <c r="G5511" i="1"/>
  <c r="H5510" i="1"/>
  <c r="G5510" i="1"/>
  <c r="G5503" i="1"/>
  <c r="H5501" i="1"/>
  <c r="G5498" i="1"/>
  <c r="H5498" i="1" s="1"/>
  <c r="H5499" i="1" s="1"/>
  <c r="H5495" i="1"/>
  <c r="G5495" i="1"/>
  <c r="G5494" i="1"/>
  <c r="H5494" i="1" s="1"/>
  <c r="G5493" i="1"/>
  <c r="H5493" i="1" s="1"/>
  <c r="G5492" i="1"/>
  <c r="H5492" i="1" s="1"/>
  <c r="G5486" i="1"/>
  <c r="H5484" i="1"/>
  <c r="H5481" i="1"/>
  <c r="H5482" i="1" s="1"/>
  <c r="H5485" i="1" s="1"/>
  <c r="G5481" i="1"/>
  <c r="G5478" i="1"/>
  <c r="H5478" i="1" s="1"/>
  <c r="H5477" i="1"/>
  <c r="G5477" i="1"/>
  <c r="H5476" i="1"/>
  <c r="G5476" i="1"/>
  <c r="H5475" i="1"/>
  <c r="H5479" i="1" s="1"/>
  <c r="G5475" i="1"/>
  <c r="G5469" i="1"/>
  <c r="H5467" i="1"/>
  <c r="G5464" i="1"/>
  <c r="H5464" i="1" s="1"/>
  <c r="H5465" i="1" s="1"/>
  <c r="H5461" i="1"/>
  <c r="G5461" i="1"/>
  <c r="G5460" i="1"/>
  <c r="H5460" i="1" s="1"/>
  <c r="H5459" i="1"/>
  <c r="G5459" i="1"/>
  <c r="G5458" i="1"/>
  <c r="H5458" i="1" s="1"/>
  <c r="H5462" i="1" s="1"/>
  <c r="G5452" i="1"/>
  <c r="H5450" i="1"/>
  <c r="H5447" i="1"/>
  <c r="H5448" i="1" s="1"/>
  <c r="G5447" i="1"/>
  <c r="G5444" i="1"/>
  <c r="H5444" i="1" s="1"/>
  <c r="H5443" i="1"/>
  <c r="G5443" i="1"/>
  <c r="H5442" i="1"/>
  <c r="G5442" i="1"/>
  <c r="H5441" i="1"/>
  <c r="G5441" i="1"/>
  <c r="G5435" i="1"/>
  <c r="H5433" i="1"/>
  <c r="G5430" i="1"/>
  <c r="H5430" i="1" s="1"/>
  <c r="H5431" i="1" s="1"/>
  <c r="H5427" i="1"/>
  <c r="G5427" i="1"/>
  <c r="G5426" i="1"/>
  <c r="H5426" i="1" s="1"/>
  <c r="H5425" i="1"/>
  <c r="G5425" i="1"/>
  <c r="G5424" i="1"/>
  <c r="H5424" i="1" s="1"/>
  <c r="H5428" i="1" s="1"/>
  <c r="G5418" i="1"/>
  <c r="H5416" i="1"/>
  <c r="H5413" i="1"/>
  <c r="H5414" i="1" s="1"/>
  <c r="G5413" i="1"/>
  <c r="G5410" i="1"/>
  <c r="H5410" i="1" s="1"/>
  <c r="H5409" i="1"/>
  <c r="G5409" i="1"/>
  <c r="H5408" i="1"/>
  <c r="G5408" i="1"/>
  <c r="H5407" i="1"/>
  <c r="G5407" i="1"/>
  <c r="G5401" i="1"/>
  <c r="H5399" i="1"/>
  <c r="G5396" i="1"/>
  <c r="H5396" i="1" s="1"/>
  <c r="H5397" i="1" s="1"/>
  <c r="H5393" i="1"/>
  <c r="G5393" i="1"/>
  <c r="G5392" i="1"/>
  <c r="H5392" i="1" s="1"/>
  <c r="H5391" i="1"/>
  <c r="G5391" i="1"/>
  <c r="G5390" i="1"/>
  <c r="H5390" i="1" s="1"/>
  <c r="H5394" i="1" s="1"/>
  <c r="G5384" i="1"/>
  <c r="H5382" i="1"/>
  <c r="H5379" i="1"/>
  <c r="H5380" i="1" s="1"/>
  <c r="G5379" i="1"/>
  <c r="G5376" i="1"/>
  <c r="H5376" i="1" s="1"/>
  <c r="H5375" i="1"/>
  <c r="G5375" i="1"/>
  <c r="H5374" i="1"/>
  <c r="G5374" i="1"/>
  <c r="H5373" i="1"/>
  <c r="G5373" i="1"/>
  <c r="G5367" i="1"/>
  <c r="H5365" i="1"/>
  <c r="G5362" i="1"/>
  <c r="H5362" i="1" s="1"/>
  <c r="H5363" i="1" s="1"/>
  <c r="H5359" i="1"/>
  <c r="G5359" i="1"/>
  <c r="G5358" i="1"/>
  <c r="H5358" i="1" s="1"/>
  <c r="H5357" i="1"/>
  <c r="G5357" i="1"/>
  <c r="G5356" i="1"/>
  <c r="H5356" i="1" s="1"/>
  <c r="G5350" i="1"/>
  <c r="H5348" i="1"/>
  <c r="H5345" i="1"/>
  <c r="H5346" i="1" s="1"/>
  <c r="G5345" i="1"/>
  <c r="G5342" i="1"/>
  <c r="H5342" i="1" s="1"/>
  <c r="H5341" i="1"/>
  <c r="G5341" i="1"/>
  <c r="H5340" i="1"/>
  <c r="G5340" i="1"/>
  <c r="H5339" i="1"/>
  <c r="G5339" i="1"/>
  <c r="G5333" i="1"/>
  <c r="H5331" i="1"/>
  <c r="H5329" i="1"/>
  <c r="G5328" i="1"/>
  <c r="H5328" i="1" s="1"/>
  <c r="H5325" i="1"/>
  <c r="G5325" i="1"/>
  <c r="G5324" i="1"/>
  <c r="H5324" i="1" s="1"/>
  <c r="H5323" i="1"/>
  <c r="G5323" i="1"/>
  <c r="G5322" i="1"/>
  <c r="H5322" i="1" s="1"/>
  <c r="G5315" i="1"/>
  <c r="H5313" i="1"/>
  <c r="H5310" i="1"/>
  <c r="H5311" i="1" s="1"/>
  <c r="G5310" i="1"/>
  <c r="G5307" i="1"/>
  <c r="H5307" i="1" s="1"/>
  <c r="H5306" i="1"/>
  <c r="G5306" i="1"/>
  <c r="H5305" i="1"/>
  <c r="G5305" i="1"/>
  <c r="H5304" i="1"/>
  <c r="G5304" i="1"/>
  <c r="G5298" i="1"/>
  <c r="H5296" i="1"/>
  <c r="H5294" i="1"/>
  <c r="G5293" i="1"/>
  <c r="H5293" i="1" s="1"/>
  <c r="H5290" i="1"/>
  <c r="G5290" i="1"/>
  <c r="G5289" i="1"/>
  <c r="H5289" i="1" s="1"/>
  <c r="H5288" i="1"/>
  <c r="G5288" i="1"/>
  <c r="G5287" i="1"/>
  <c r="H5287" i="1" s="1"/>
  <c r="G5281" i="1"/>
  <c r="H5279" i="1"/>
  <c r="H5276" i="1"/>
  <c r="H5277" i="1" s="1"/>
  <c r="G5276" i="1"/>
  <c r="G5273" i="1"/>
  <c r="H5273" i="1" s="1"/>
  <c r="H5272" i="1"/>
  <c r="G5272" i="1"/>
  <c r="H5271" i="1"/>
  <c r="G5271" i="1"/>
  <c r="G5270" i="1"/>
  <c r="H5270" i="1" s="1"/>
  <c r="H5274" i="1" s="1"/>
  <c r="G5264" i="1"/>
  <c r="H5262" i="1"/>
  <c r="H5260" i="1"/>
  <c r="G5259" i="1"/>
  <c r="H5259" i="1" s="1"/>
  <c r="G5256" i="1"/>
  <c r="H5256" i="1" s="1"/>
  <c r="G5255" i="1"/>
  <c r="H5255" i="1" s="1"/>
  <c r="H5254" i="1"/>
  <c r="G5254" i="1"/>
  <c r="G5253" i="1"/>
  <c r="H5253" i="1" s="1"/>
  <c r="H5257" i="1" s="1"/>
  <c r="G5247" i="1"/>
  <c r="H5245" i="1"/>
  <c r="H5242" i="1"/>
  <c r="H5243" i="1" s="1"/>
  <c r="G5242" i="1"/>
  <c r="G5239" i="1"/>
  <c r="H5239" i="1" s="1"/>
  <c r="H5238" i="1"/>
  <c r="G5238" i="1"/>
  <c r="H5237" i="1"/>
  <c r="G5237" i="1"/>
  <c r="G5236" i="1"/>
  <c r="H5236" i="1" s="1"/>
  <c r="H5240" i="1" s="1"/>
  <c r="G5229" i="1"/>
  <c r="H5227" i="1"/>
  <c r="G5224" i="1"/>
  <c r="H5224" i="1" s="1"/>
  <c r="H5225" i="1" s="1"/>
  <c r="G5221" i="1"/>
  <c r="H5221" i="1" s="1"/>
  <c r="G5220" i="1"/>
  <c r="H5220" i="1" s="1"/>
  <c r="H5219" i="1"/>
  <c r="G5219" i="1"/>
  <c r="G5218" i="1"/>
  <c r="H5218" i="1" s="1"/>
  <c r="G5211" i="1"/>
  <c r="H5209" i="1"/>
  <c r="H5206" i="1"/>
  <c r="G5206" i="1"/>
  <c r="G5205" i="1"/>
  <c r="H5205" i="1" s="1"/>
  <c r="G5204" i="1"/>
  <c r="H5204" i="1" s="1"/>
  <c r="G5203" i="1"/>
  <c r="H5203" i="1" s="1"/>
  <c r="G5202" i="1"/>
  <c r="H5202" i="1" s="1"/>
  <c r="H5201" i="1"/>
  <c r="G5201" i="1"/>
  <c r="H5200" i="1"/>
  <c r="G5200" i="1"/>
  <c r="G5199" i="1"/>
  <c r="H5199" i="1" s="1"/>
  <c r="H5196" i="1"/>
  <c r="H5197" i="1" s="1"/>
  <c r="G5196" i="1"/>
  <c r="H5195" i="1"/>
  <c r="G5195" i="1"/>
  <c r="G5194" i="1"/>
  <c r="H5194" i="1" s="1"/>
  <c r="G5193" i="1"/>
  <c r="H5193" i="1" s="1"/>
  <c r="G5187" i="1"/>
  <c r="H5185" i="1"/>
  <c r="G5182" i="1"/>
  <c r="H5182" i="1" s="1"/>
  <c r="H5181" i="1"/>
  <c r="G5181" i="1"/>
  <c r="H5180" i="1"/>
  <c r="G5180" i="1"/>
  <c r="G5179" i="1"/>
  <c r="H5179" i="1" s="1"/>
  <c r="H5178" i="1"/>
  <c r="G5178" i="1"/>
  <c r="G5177" i="1"/>
  <c r="H5177" i="1" s="1"/>
  <c r="G5176" i="1"/>
  <c r="H5176" i="1" s="1"/>
  <c r="H5175" i="1"/>
  <c r="G5175" i="1"/>
  <c r="H5172" i="1"/>
  <c r="G5172" i="1"/>
  <c r="G5171" i="1"/>
  <c r="H5171" i="1" s="1"/>
  <c r="H5173" i="1" s="1"/>
  <c r="H5170" i="1"/>
  <c r="G5170" i="1"/>
  <c r="H5169" i="1"/>
  <c r="G5169" i="1"/>
  <c r="G5160" i="1"/>
  <c r="H5158" i="1"/>
  <c r="H5155" i="1"/>
  <c r="H5156" i="1" s="1"/>
  <c r="H5159" i="1" s="1"/>
  <c r="G5155" i="1"/>
  <c r="H5152" i="1"/>
  <c r="G5152" i="1"/>
  <c r="H5151" i="1"/>
  <c r="G5151" i="1"/>
  <c r="G5150" i="1"/>
  <c r="H5150" i="1" s="1"/>
  <c r="H5149" i="1"/>
  <c r="H5153" i="1" s="1"/>
  <c r="G5149" i="1"/>
  <c r="G5143" i="1"/>
  <c r="H5141" i="1"/>
  <c r="H5139" i="1"/>
  <c r="H5138" i="1"/>
  <c r="G5138" i="1"/>
  <c r="H5136" i="1"/>
  <c r="H5142" i="1" s="1"/>
  <c r="H5135" i="1"/>
  <c r="G5135" i="1"/>
  <c r="G5134" i="1"/>
  <c r="H5134" i="1" s="1"/>
  <c r="H5133" i="1"/>
  <c r="G5133" i="1"/>
  <c r="H5132" i="1"/>
  <c r="G5132" i="1"/>
  <c r="G5126" i="1"/>
  <c r="H5124" i="1"/>
  <c r="G5121" i="1"/>
  <c r="H5121" i="1" s="1"/>
  <c r="H5122" i="1" s="1"/>
  <c r="H5118" i="1"/>
  <c r="G5118" i="1"/>
  <c r="H5117" i="1"/>
  <c r="G5117" i="1"/>
  <c r="G5116" i="1"/>
  <c r="H5116" i="1" s="1"/>
  <c r="H5115" i="1"/>
  <c r="G5115" i="1"/>
  <c r="G5109" i="1"/>
  <c r="H5107" i="1"/>
  <c r="H5105" i="1"/>
  <c r="H5104" i="1"/>
  <c r="G5104" i="1"/>
  <c r="H5101" i="1"/>
  <c r="G5101" i="1"/>
  <c r="G5100" i="1"/>
  <c r="H5100" i="1" s="1"/>
  <c r="H5099" i="1"/>
  <c r="H5102" i="1" s="1"/>
  <c r="H5108" i="1" s="1"/>
  <c r="G5099" i="1"/>
  <c r="H5098" i="1"/>
  <c r="G5098" i="1"/>
  <c r="G5089" i="1"/>
  <c r="H5087" i="1"/>
  <c r="G5084" i="1"/>
  <c r="H5084" i="1" s="1"/>
  <c r="G5083" i="1"/>
  <c r="H5083" i="1" s="1"/>
  <c r="G5082" i="1"/>
  <c r="H5082" i="1" s="1"/>
  <c r="H5081" i="1"/>
  <c r="G5081" i="1"/>
  <c r="H5080" i="1"/>
  <c r="G5080" i="1"/>
  <c r="G5079" i="1"/>
  <c r="H5079" i="1" s="1"/>
  <c r="G5078" i="1"/>
  <c r="H5078" i="1" s="1"/>
  <c r="G5077" i="1"/>
  <c r="H5077" i="1" s="1"/>
  <c r="G5076" i="1"/>
  <c r="H5076" i="1" s="1"/>
  <c r="G5073" i="1"/>
  <c r="H5073" i="1" s="1"/>
  <c r="H5072" i="1"/>
  <c r="G5072" i="1"/>
  <c r="G5071" i="1"/>
  <c r="H5071" i="1" s="1"/>
  <c r="H5070" i="1"/>
  <c r="G5070" i="1"/>
  <c r="G5064" i="1"/>
  <c r="H5062" i="1"/>
  <c r="G5059" i="1"/>
  <c r="H5059" i="1" s="1"/>
  <c r="G5058" i="1"/>
  <c r="H5058" i="1" s="1"/>
  <c r="G5057" i="1"/>
  <c r="H5057" i="1" s="1"/>
  <c r="G5056" i="1"/>
  <c r="H5056" i="1" s="1"/>
  <c r="H5055" i="1"/>
  <c r="G5055" i="1"/>
  <c r="H5054" i="1"/>
  <c r="G5054" i="1"/>
  <c r="G5053" i="1"/>
  <c r="H5053" i="1" s="1"/>
  <c r="H5052" i="1"/>
  <c r="G5052" i="1"/>
  <c r="G5051" i="1"/>
  <c r="H5051" i="1" s="1"/>
  <c r="H5048" i="1"/>
  <c r="G5048" i="1"/>
  <c r="G5047" i="1"/>
  <c r="H5047" i="1" s="1"/>
  <c r="H5046" i="1"/>
  <c r="G5046" i="1"/>
  <c r="G5045" i="1"/>
  <c r="H5045" i="1" s="1"/>
  <c r="G5039" i="1"/>
  <c r="H5037" i="1"/>
  <c r="H5034" i="1"/>
  <c r="H5035" i="1" s="1"/>
  <c r="G5034" i="1"/>
  <c r="G5031" i="1"/>
  <c r="H5031" i="1" s="1"/>
  <c r="H5030" i="1"/>
  <c r="G5030" i="1"/>
  <c r="H5029" i="1"/>
  <c r="G5029" i="1"/>
  <c r="H5028" i="1"/>
  <c r="G5028" i="1"/>
  <c r="G5022" i="1"/>
  <c r="H5020" i="1"/>
  <c r="H5018" i="1"/>
  <c r="G5017" i="1"/>
  <c r="H5017" i="1" s="1"/>
  <c r="H5014" i="1"/>
  <c r="G5014" i="1"/>
  <c r="G5013" i="1"/>
  <c r="H5013" i="1" s="1"/>
  <c r="H5012" i="1"/>
  <c r="G5012" i="1"/>
  <c r="G5011" i="1"/>
  <c r="H5011" i="1" s="1"/>
  <c r="G5005" i="1"/>
  <c r="H5003" i="1"/>
  <c r="H5000" i="1"/>
  <c r="H5001" i="1" s="1"/>
  <c r="G5000" i="1"/>
  <c r="G4997" i="1"/>
  <c r="H4997" i="1" s="1"/>
  <c r="H4996" i="1"/>
  <c r="G4996" i="1"/>
  <c r="H4995" i="1"/>
  <c r="G4995" i="1"/>
  <c r="H4994" i="1"/>
  <c r="G4994" i="1"/>
  <c r="G4988" i="1"/>
  <c r="H4986" i="1"/>
  <c r="H4984" i="1"/>
  <c r="G4983" i="1"/>
  <c r="H4983" i="1" s="1"/>
  <c r="H4980" i="1"/>
  <c r="G4980" i="1"/>
  <c r="G4979" i="1"/>
  <c r="H4979" i="1" s="1"/>
  <c r="H4978" i="1"/>
  <c r="G4978" i="1"/>
  <c r="G4977" i="1"/>
  <c r="H4977" i="1" s="1"/>
  <c r="G4971" i="1"/>
  <c r="H4969" i="1"/>
  <c r="H4966" i="1"/>
  <c r="H4967" i="1" s="1"/>
  <c r="G4966" i="1"/>
  <c r="G4963" i="1"/>
  <c r="H4963" i="1" s="1"/>
  <c r="H4962" i="1"/>
  <c r="G4962" i="1"/>
  <c r="H4961" i="1"/>
  <c r="G4961" i="1"/>
  <c r="H4960" i="1"/>
  <c r="G4960" i="1"/>
  <c r="G4954" i="1"/>
  <c r="H4952" i="1"/>
  <c r="G4949" i="1"/>
  <c r="H4949" i="1" s="1"/>
  <c r="H4950" i="1" s="1"/>
  <c r="H4946" i="1"/>
  <c r="G4946" i="1"/>
  <c r="G4945" i="1"/>
  <c r="H4945" i="1" s="1"/>
  <c r="H4944" i="1"/>
  <c r="G4944" i="1"/>
  <c r="G4943" i="1"/>
  <c r="H4943" i="1" s="1"/>
  <c r="G4937" i="1"/>
  <c r="H4935" i="1"/>
  <c r="H4932" i="1"/>
  <c r="H4933" i="1" s="1"/>
  <c r="G4932" i="1"/>
  <c r="G4929" i="1"/>
  <c r="H4929" i="1" s="1"/>
  <c r="H4928" i="1"/>
  <c r="G4928" i="1"/>
  <c r="H4927" i="1"/>
  <c r="H4930" i="1" s="1"/>
  <c r="G4927" i="1"/>
  <c r="H4926" i="1"/>
  <c r="G4926" i="1"/>
  <c r="G4920" i="1"/>
  <c r="H4918" i="1"/>
  <c r="G4915" i="1"/>
  <c r="H4915" i="1" s="1"/>
  <c r="H4916" i="1" s="1"/>
  <c r="H4912" i="1"/>
  <c r="G4912" i="1"/>
  <c r="G4911" i="1"/>
  <c r="H4911" i="1" s="1"/>
  <c r="H4910" i="1"/>
  <c r="G4910" i="1"/>
  <c r="G4909" i="1"/>
  <c r="H4909" i="1" s="1"/>
  <c r="G4903" i="1"/>
  <c r="H4901" i="1"/>
  <c r="G4898" i="1"/>
  <c r="H4898" i="1" s="1"/>
  <c r="H4899" i="1" s="1"/>
  <c r="G4895" i="1"/>
  <c r="H4895" i="1" s="1"/>
  <c r="H4894" i="1"/>
  <c r="G4894" i="1"/>
  <c r="H4893" i="1"/>
  <c r="H4896" i="1" s="1"/>
  <c r="G4893" i="1"/>
  <c r="H4892" i="1"/>
  <c r="G4892" i="1"/>
  <c r="G4884" i="1"/>
  <c r="H4882" i="1"/>
  <c r="H4880" i="1"/>
  <c r="H4879" i="1"/>
  <c r="G4876" i="1"/>
  <c r="H4876" i="1" s="1"/>
  <c r="H4875" i="1"/>
  <c r="G4875" i="1"/>
  <c r="G4874" i="1"/>
  <c r="H4874" i="1" s="1"/>
  <c r="H4877" i="1" s="1"/>
  <c r="G4873" i="1"/>
  <c r="H4873" i="1" s="1"/>
  <c r="G4865" i="1"/>
  <c r="H4863" i="1"/>
  <c r="H4861" i="1"/>
  <c r="H4860" i="1"/>
  <c r="H4857" i="1"/>
  <c r="H4858" i="1" s="1"/>
  <c r="G4857" i="1"/>
  <c r="G4856" i="1"/>
  <c r="H4856" i="1" s="1"/>
  <c r="H4855" i="1"/>
  <c r="G4855" i="1"/>
  <c r="H4854" i="1"/>
  <c r="G4854" i="1"/>
  <c r="G4848" i="1"/>
  <c r="H4846" i="1"/>
  <c r="H4843" i="1"/>
  <c r="H4844" i="1" s="1"/>
  <c r="G4840" i="1"/>
  <c r="H4840" i="1" s="1"/>
  <c r="G4839" i="1"/>
  <c r="H4839" i="1" s="1"/>
  <c r="H4838" i="1"/>
  <c r="G4838" i="1"/>
  <c r="G4837" i="1"/>
  <c r="H4837" i="1" s="1"/>
  <c r="H4841" i="1" s="1"/>
  <c r="G4831" i="1"/>
  <c r="H4829" i="1"/>
  <c r="H4826" i="1"/>
  <c r="H4827" i="1" s="1"/>
  <c r="G4826" i="1"/>
  <c r="G4823" i="1"/>
  <c r="H4823" i="1" s="1"/>
  <c r="H4822" i="1"/>
  <c r="G4822" i="1"/>
  <c r="G4821" i="1"/>
  <c r="H4821" i="1" s="1"/>
  <c r="G4820" i="1"/>
  <c r="H4820" i="1" s="1"/>
  <c r="G4813" i="1"/>
  <c r="G4810" i="1"/>
  <c r="H4810" i="1" s="1"/>
  <c r="H4811" i="1" s="1"/>
  <c r="H4812" i="1" s="1"/>
  <c r="H4808" i="1"/>
  <c r="H4807" i="1"/>
  <c r="H4804" i="1"/>
  <c r="G4804" i="1"/>
  <c r="H4803" i="1"/>
  <c r="G4803" i="1"/>
  <c r="G4802" i="1"/>
  <c r="H4802" i="1" s="1"/>
  <c r="G4801" i="1"/>
  <c r="H4801" i="1" s="1"/>
  <c r="H4805" i="1" s="1"/>
  <c r="G4795" i="1"/>
  <c r="H4792" i="1"/>
  <c r="H4793" i="1" s="1"/>
  <c r="G4792" i="1"/>
  <c r="G4789" i="1"/>
  <c r="H4789" i="1" s="1"/>
  <c r="H4790" i="1" s="1"/>
  <c r="G4786" i="1"/>
  <c r="H4786" i="1" s="1"/>
  <c r="H4785" i="1"/>
  <c r="G4785" i="1"/>
  <c r="H4784" i="1"/>
  <c r="G4784" i="1"/>
  <c r="H4783" i="1"/>
  <c r="G4783" i="1"/>
  <c r="G4771" i="1"/>
  <c r="H4768" i="1"/>
  <c r="H4769" i="1" s="1"/>
  <c r="G4768" i="1"/>
  <c r="G4765" i="1"/>
  <c r="H4765" i="1" s="1"/>
  <c r="H4766" i="1" s="1"/>
  <c r="G4762" i="1"/>
  <c r="H4762" i="1" s="1"/>
  <c r="G4761" i="1"/>
  <c r="H4761" i="1" s="1"/>
  <c r="G4760" i="1"/>
  <c r="H4760" i="1" s="1"/>
  <c r="H4759" i="1"/>
  <c r="G4759" i="1"/>
  <c r="G4751" i="1"/>
  <c r="H4747" i="1"/>
  <c r="H4746" i="1"/>
  <c r="G4746" i="1"/>
  <c r="G4743" i="1"/>
  <c r="H4743" i="1" s="1"/>
  <c r="G4742" i="1"/>
  <c r="H4742" i="1" s="1"/>
  <c r="H4741" i="1"/>
  <c r="G4741" i="1"/>
  <c r="H4740" i="1"/>
  <c r="G4740" i="1"/>
  <c r="G4733" i="1"/>
  <c r="G4728" i="1"/>
  <c r="H4728" i="1" s="1"/>
  <c r="H4729" i="1" s="1"/>
  <c r="G4725" i="1"/>
  <c r="H4725" i="1" s="1"/>
  <c r="G4724" i="1"/>
  <c r="H4724" i="1" s="1"/>
  <c r="H4723" i="1"/>
  <c r="G4723" i="1"/>
  <c r="H4722" i="1"/>
  <c r="H4726" i="1" s="1"/>
  <c r="G4722" i="1"/>
  <c r="G4715" i="1"/>
  <c r="H4711" i="1"/>
  <c r="G4710" i="1"/>
  <c r="H4710" i="1" s="1"/>
  <c r="G4707" i="1"/>
  <c r="H4707" i="1" s="1"/>
  <c r="G4706" i="1"/>
  <c r="H4706" i="1" s="1"/>
  <c r="G4705" i="1"/>
  <c r="H4705" i="1" s="1"/>
  <c r="H4704" i="1"/>
  <c r="G4704" i="1"/>
  <c r="G4697" i="1"/>
  <c r="G4692" i="1"/>
  <c r="H4692" i="1" s="1"/>
  <c r="H4693" i="1" s="1"/>
  <c r="H4696" i="1" s="1"/>
  <c r="G4689" i="1"/>
  <c r="H4689" i="1" s="1"/>
  <c r="H4688" i="1"/>
  <c r="G4688" i="1"/>
  <c r="G4687" i="1"/>
  <c r="H4687" i="1" s="1"/>
  <c r="G4686" i="1"/>
  <c r="H4686" i="1" s="1"/>
  <c r="H4690" i="1" s="1"/>
  <c r="G4679" i="1"/>
  <c r="H4674" i="1"/>
  <c r="H4675" i="1" s="1"/>
  <c r="G4674" i="1"/>
  <c r="H4671" i="1"/>
  <c r="G4671" i="1"/>
  <c r="G4670" i="1"/>
  <c r="H4670" i="1" s="1"/>
  <c r="G4669" i="1"/>
  <c r="H4669" i="1" s="1"/>
  <c r="G4668" i="1"/>
  <c r="H4668" i="1" s="1"/>
  <c r="G4661" i="1"/>
  <c r="G4656" i="1"/>
  <c r="H4656" i="1" s="1"/>
  <c r="H4657" i="1" s="1"/>
  <c r="H4653" i="1"/>
  <c r="G4653" i="1"/>
  <c r="G4652" i="1"/>
  <c r="H4652" i="1" s="1"/>
  <c r="H4651" i="1"/>
  <c r="G4651" i="1"/>
  <c r="G4650" i="1"/>
  <c r="H4650" i="1" s="1"/>
  <c r="H4654" i="1" s="1"/>
  <c r="G4643" i="1"/>
  <c r="G4638" i="1"/>
  <c r="H4638" i="1" s="1"/>
  <c r="H4639" i="1" s="1"/>
  <c r="H4635" i="1"/>
  <c r="G4635" i="1"/>
  <c r="G4634" i="1"/>
  <c r="H4634" i="1" s="1"/>
  <c r="H4633" i="1"/>
  <c r="G4633" i="1"/>
  <c r="G4632" i="1"/>
  <c r="H4632" i="1" s="1"/>
  <c r="G4626" i="1"/>
  <c r="G4621" i="1"/>
  <c r="H4621" i="1" s="1"/>
  <c r="H4622" i="1" s="1"/>
  <c r="H4618" i="1"/>
  <c r="G4618" i="1"/>
  <c r="H4617" i="1"/>
  <c r="G4617" i="1"/>
  <c r="G4616" i="1"/>
  <c r="H4616" i="1" s="1"/>
  <c r="G4615" i="1"/>
  <c r="H4615" i="1" s="1"/>
  <c r="G4608" i="1"/>
  <c r="H4604" i="1"/>
  <c r="H4603" i="1"/>
  <c r="G4603" i="1"/>
  <c r="G4600" i="1"/>
  <c r="H4600" i="1" s="1"/>
  <c r="H4599" i="1"/>
  <c r="G4599" i="1"/>
  <c r="G4598" i="1"/>
  <c r="H4598" i="1" s="1"/>
  <c r="H4597" i="1"/>
  <c r="G4597" i="1"/>
  <c r="G4590" i="1"/>
  <c r="G4585" i="1"/>
  <c r="H4585" i="1" s="1"/>
  <c r="H4586" i="1" s="1"/>
  <c r="G4582" i="1"/>
  <c r="H4582" i="1" s="1"/>
  <c r="G4581" i="1"/>
  <c r="H4581" i="1" s="1"/>
  <c r="H4580" i="1"/>
  <c r="G4580" i="1"/>
  <c r="G4579" i="1"/>
  <c r="H4579" i="1" s="1"/>
  <c r="G4572" i="1"/>
  <c r="G4567" i="1"/>
  <c r="H4567" i="1" s="1"/>
  <c r="H4568" i="1" s="1"/>
  <c r="H4571" i="1" s="1"/>
  <c r="H4564" i="1"/>
  <c r="G4564" i="1"/>
  <c r="G4563" i="1"/>
  <c r="H4563" i="1" s="1"/>
  <c r="G4562" i="1"/>
  <c r="H4562" i="1" s="1"/>
  <c r="G4561" i="1"/>
  <c r="H4561" i="1" s="1"/>
  <c r="H4565" i="1" s="1"/>
  <c r="G4555" i="1"/>
  <c r="G4550" i="1"/>
  <c r="H4550" i="1" s="1"/>
  <c r="H4551" i="1" s="1"/>
  <c r="H4547" i="1"/>
  <c r="G4547" i="1"/>
  <c r="H4546" i="1"/>
  <c r="G4546" i="1"/>
  <c r="G4545" i="1"/>
  <c r="H4545" i="1" s="1"/>
  <c r="H4544" i="1"/>
  <c r="G4544" i="1"/>
  <c r="G4538" i="1"/>
  <c r="G4533" i="1"/>
  <c r="H4533" i="1" s="1"/>
  <c r="H4534" i="1" s="1"/>
  <c r="H4530" i="1"/>
  <c r="G4530" i="1"/>
  <c r="H4529" i="1"/>
  <c r="G4529" i="1"/>
  <c r="G4528" i="1"/>
  <c r="H4528" i="1" s="1"/>
  <c r="G4527" i="1"/>
  <c r="H4527" i="1" s="1"/>
  <c r="G4521" i="1"/>
  <c r="G4516" i="1"/>
  <c r="H4516" i="1" s="1"/>
  <c r="H4517" i="1" s="1"/>
  <c r="H4513" i="1"/>
  <c r="G4513" i="1"/>
  <c r="H4512" i="1"/>
  <c r="G4512" i="1"/>
  <c r="G4511" i="1"/>
  <c r="H4511" i="1" s="1"/>
  <c r="G4510" i="1"/>
  <c r="H4510" i="1" s="1"/>
  <c r="G4504" i="1"/>
  <c r="H4499" i="1"/>
  <c r="H4500" i="1" s="1"/>
  <c r="G4499" i="1"/>
  <c r="H4496" i="1"/>
  <c r="H4497" i="1" s="1"/>
  <c r="G4496" i="1"/>
  <c r="H4495" i="1"/>
  <c r="G4495" i="1"/>
  <c r="G4494" i="1"/>
  <c r="H4494" i="1" s="1"/>
  <c r="G4493" i="1"/>
  <c r="H4493" i="1" s="1"/>
  <c r="G4487" i="1"/>
  <c r="H4482" i="1"/>
  <c r="H4483" i="1" s="1"/>
  <c r="G4482" i="1"/>
  <c r="H4479" i="1"/>
  <c r="G4479" i="1"/>
  <c r="H4478" i="1"/>
  <c r="G4478" i="1"/>
  <c r="H4477" i="1"/>
  <c r="G4477" i="1"/>
  <c r="G4476" i="1"/>
  <c r="H4476" i="1" s="1"/>
  <c r="H4480" i="1" s="1"/>
  <c r="H4486" i="1" s="1"/>
  <c r="G4470" i="1"/>
  <c r="H4465" i="1"/>
  <c r="H4466" i="1" s="1"/>
  <c r="G4465" i="1"/>
  <c r="G4462" i="1"/>
  <c r="H4462" i="1" s="1"/>
  <c r="H4461" i="1"/>
  <c r="G4461" i="1"/>
  <c r="H4460" i="1"/>
  <c r="G4460" i="1"/>
  <c r="G4459" i="1"/>
  <c r="H4459" i="1" s="1"/>
  <c r="G4453" i="1"/>
  <c r="H4448" i="1"/>
  <c r="H4449" i="1" s="1"/>
  <c r="H4452" i="1" s="1"/>
  <c r="G4448" i="1"/>
  <c r="H4445" i="1"/>
  <c r="G4445" i="1"/>
  <c r="H4444" i="1"/>
  <c r="G4444" i="1"/>
  <c r="G4443" i="1"/>
  <c r="H4443" i="1" s="1"/>
  <c r="H4446" i="1" s="1"/>
  <c r="G4442" i="1"/>
  <c r="H4442" i="1" s="1"/>
  <c r="G4436" i="1"/>
  <c r="G4431" i="1"/>
  <c r="H4431" i="1" s="1"/>
  <c r="H4432" i="1" s="1"/>
  <c r="G4428" i="1"/>
  <c r="H4428" i="1" s="1"/>
  <c r="G4427" i="1"/>
  <c r="H4427" i="1" s="1"/>
  <c r="H4426" i="1"/>
  <c r="G4426" i="1"/>
  <c r="H4425" i="1"/>
  <c r="G4425" i="1"/>
  <c r="G4419" i="1"/>
  <c r="G4414" i="1"/>
  <c r="H4414" i="1" s="1"/>
  <c r="H4415" i="1" s="1"/>
  <c r="G4411" i="1"/>
  <c r="H4411" i="1" s="1"/>
  <c r="H4410" i="1"/>
  <c r="G4410" i="1"/>
  <c r="G4409" i="1"/>
  <c r="H4409" i="1" s="1"/>
  <c r="G4408" i="1"/>
  <c r="H4408" i="1" s="1"/>
  <c r="H4412" i="1" s="1"/>
  <c r="G4400" i="1"/>
  <c r="H4396" i="1"/>
  <c r="H4395" i="1"/>
  <c r="G4395" i="1"/>
  <c r="H4392" i="1"/>
  <c r="G4392" i="1"/>
  <c r="G4391" i="1"/>
  <c r="H4391" i="1" s="1"/>
  <c r="G4390" i="1"/>
  <c r="H4390" i="1" s="1"/>
  <c r="H4389" i="1"/>
  <c r="H4393" i="1" s="1"/>
  <c r="G4389" i="1"/>
  <c r="G4383" i="1"/>
  <c r="G4378" i="1"/>
  <c r="H4378" i="1" s="1"/>
  <c r="H4379" i="1" s="1"/>
  <c r="G4375" i="1"/>
  <c r="H4375" i="1" s="1"/>
  <c r="G4374" i="1"/>
  <c r="H4374" i="1" s="1"/>
  <c r="H4373" i="1"/>
  <c r="G4373" i="1"/>
  <c r="G4372" i="1"/>
  <c r="H4372" i="1" s="1"/>
  <c r="G4366" i="1"/>
  <c r="H4362" i="1"/>
  <c r="G4361" i="1"/>
  <c r="H4361" i="1" s="1"/>
  <c r="H4358" i="1"/>
  <c r="G4358" i="1"/>
  <c r="H4357" i="1"/>
  <c r="G4357" i="1"/>
  <c r="G4356" i="1"/>
  <c r="H4356" i="1" s="1"/>
  <c r="G4355" i="1"/>
  <c r="H4355" i="1" s="1"/>
  <c r="G4349" i="1"/>
  <c r="G4344" i="1"/>
  <c r="H4344" i="1" s="1"/>
  <c r="H4345" i="1" s="1"/>
  <c r="H4341" i="1"/>
  <c r="G4341" i="1"/>
  <c r="G4340" i="1"/>
  <c r="H4340" i="1" s="1"/>
  <c r="G4339" i="1"/>
  <c r="H4339" i="1" s="1"/>
  <c r="H4338" i="1"/>
  <c r="G4338" i="1"/>
  <c r="G4332" i="1"/>
  <c r="G4327" i="1"/>
  <c r="H4327" i="1" s="1"/>
  <c r="H4328" i="1" s="1"/>
  <c r="H4331" i="1" s="1"/>
  <c r="H4324" i="1"/>
  <c r="G4324" i="1"/>
  <c r="H4323" i="1"/>
  <c r="G4323" i="1"/>
  <c r="G4322" i="1"/>
  <c r="H4322" i="1" s="1"/>
  <c r="G4321" i="1"/>
  <c r="H4321" i="1" s="1"/>
  <c r="H4325" i="1" s="1"/>
  <c r="G4315" i="1"/>
  <c r="G4310" i="1"/>
  <c r="H4310" i="1" s="1"/>
  <c r="H4311" i="1" s="1"/>
  <c r="H4307" i="1"/>
  <c r="G4307" i="1"/>
  <c r="H4306" i="1"/>
  <c r="G4306" i="1"/>
  <c r="G4305" i="1"/>
  <c r="H4305" i="1" s="1"/>
  <c r="G4304" i="1"/>
  <c r="H4304" i="1" s="1"/>
  <c r="G4298" i="1"/>
  <c r="H4293" i="1"/>
  <c r="H4294" i="1" s="1"/>
  <c r="H4297" i="1" s="1"/>
  <c r="G4293" i="1"/>
  <c r="H4290" i="1"/>
  <c r="G4290" i="1"/>
  <c r="H4289" i="1"/>
  <c r="G4289" i="1"/>
  <c r="G4288" i="1"/>
  <c r="H4288" i="1" s="1"/>
  <c r="G4287" i="1"/>
  <c r="H4287" i="1" s="1"/>
  <c r="H4291" i="1" s="1"/>
  <c r="G4281" i="1"/>
  <c r="H4276" i="1"/>
  <c r="H4277" i="1" s="1"/>
  <c r="H4280" i="1" s="1"/>
  <c r="G4276" i="1"/>
  <c r="H4273" i="1"/>
  <c r="G4273" i="1"/>
  <c r="H4272" i="1"/>
  <c r="G4272" i="1"/>
  <c r="H4271" i="1"/>
  <c r="G4271" i="1"/>
  <c r="H4270" i="1"/>
  <c r="H4274" i="1" s="1"/>
  <c r="G4270" i="1"/>
  <c r="G4264" i="1"/>
  <c r="G4259" i="1"/>
  <c r="H4259" i="1" s="1"/>
  <c r="H4260" i="1" s="1"/>
  <c r="G4256" i="1"/>
  <c r="H4256" i="1" s="1"/>
  <c r="H4255" i="1"/>
  <c r="G4255" i="1"/>
  <c r="H4254" i="1"/>
  <c r="G4254" i="1"/>
  <c r="G4253" i="1"/>
  <c r="H4253" i="1" s="1"/>
  <c r="G4247" i="1"/>
  <c r="H4243" i="1"/>
  <c r="H4246" i="1" s="1"/>
  <c r="H4242" i="1"/>
  <c r="G4242" i="1"/>
  <c r="H4240" i="1"/>
  <c r="H4239" i="1"/>
  <c r="G4239" i="1"/>
  <c r="H4238" i="1"/>
  <c r="G4238" i="1"/>
  <c r="G4237" i="1"/>
  <c r="H4237" i="1" s="1"/>
  <c r="G4236" i="1"/>
  <c r="H4236" i="1" s="1"/>
  <c r="G4230" i="1"/>
  <c r="G4225" i="1"/>
  <c r="H4225" i="1" s="1"/>
  <c r="H4226" i="1" s="1"/>
  <c r="H4222" i="1"/>
  <c r="G4222" i="1"/>
  <c r="G4221" i="1"/>
  <c r="H4221" i="1" s="1"/>
  <c r="H4220" i="1"/>
  <c r="G4220" i="1"/>
  <c r="H4219" i="1"/>
  <c r="G4219" i="1"/>
  <c r="G4213" i="1"/>
  <c r="G4208" i="1"/>
  <c r="H4208" i="1" s="1"/>
  <c r="H4209" i="1" s="1"/>
  <c r="G4205" i="1"/>
  <c r="H4205" i="1" s="1"/>
  <c r="H4206" i="1" s="1"/>
  <c r="H4204" i="1"/>
  <c r="G4204" i="1"/>
  <c r="G4203" i="1"/>
  <c r="H4203" i="1" s="1"/>
  <c r="G4202" i="1"/>
  <c r="H4202" i="1" s="1"/>
  <c r="G4196" i="1"/>
  <c r="H4192" i="1"/>
  <c r="H4191" i="1"/>
  <c r="G4191" i="1"/>
  <c r="H4188" i="1"/>
  <c r="G4188" i="1"/>
  <c r="H4187" i="1"/>
  <c r="G4187" i="1"/>
  <c r="G4186" i="1"/>
  <c r="H4186" i="1" s="1"/>
  <c r="H4185" i="1"/>
  <c r="H4189" i="1" s="1"/>
  <c r="G4185" i="1"/>
  <c r="G4179" i="1"/>
  <c r="G4174" i="1"/>
  <c r="H4174" i="1" s="1"/>
  <c r="H4175" i="1" s="1"/>
  <c r="G4171" i="1"/>
  <c r="H4171" i="1" s="1"/>
  <c r="G4170" i="1"/>
  <c r="H4170" i="1" s="1"/>
  <c r="H4169" i="1"/>
  <c r="G4169" i="1"/>
  <c r="G4168" i="1"/>
  <c r="H4168" i="1" s="1"/>
  <c r="G4162" i="1"/>
  <c r="G4157" i="1"/>
  <c r="H4157" i="1" s="1"/>
  <c r="H4158" i="1" s="1"/>
  <c r="G4154" i="1"/>
  <c r="H4154" i="1" s="1"/>
  <c r="H4153" i="1"/>
  <c r="G4153" i="1"/>
  <c r="G4152" i="1"/>
  <c r="H4152" i="1" s="1"/>
  <c r="G4151" i="1"/>
  <c r="H4151" i="1" s="1"/>
  <c r="G4145" i="1"/>
  <c r="H4140" i="1"/>
  <c r="H4141" i="1" s="1"/>
  <c r="G4140" i="1"/>
  <c r="H4137" i="1"/>
  <c r="G4137" i="1"/>
  <c r="H4136" i="1"/>
  <c r="G4136" i="1"/>
  <c r="G4135" i="1"/>
  <c r="H4135" i="1" s="1"/>
  <c r="H4134" i="1"/>
  <c r="G4134" i="1"/>
  <c r="G4128" i="1"/>
  <c r="H4123" i="1"/>
  <c r="H4124" i="1" s="1"/>
  <c r="G4123" i="1"/>
  <c r="H4120" i="1"/>
  <c r="G4120" i="1"/>
  <c r="G4119" i="1"/>
  <c r="H4119" i="1" s="1"/>
  <c r="G4118" i="1"/>
  <c r="H4118" i="1" s="1"/>
  <c r="G4117" i="1"/>
  <c r="H4117" i="1" s="1"/>
  <c r="H4121" i="1" s="1"/>
  <c r="G4111" i="1"/>
  <c r="G4106" i="1"/>
  <c r="H4106" i="1" s="1"/>
  <c r="H4107" i="1" s="1"/>
  <c r="H4103" i="1"/>
  <c r="G4103" i="1"/>
  <c r="H4102" i="1"/>
  <c r="G4102" i="1"/>
  <c r="G4101" i="1"/>
  <c r="H4101" i="1" s="1"/>
  <c r="G4100" i="1"/>
  <c r="H4100" i="1" s="1"/>
  <c r="H4104" i="1" s="1"/>
  <c r="G4094" i="1"/>
  <c r="H4089" i="1"/>
  <c r="H4090" i="1" s="1"/>
  <c r="G4089" i="1"/>
  <c r="H4086" i="1"/>
  <c r="G4086" i="1"/>
  <c r="H4085" i="1"/>
  <c r="G4085" i="1"/>
  <c r="G4084" i="1"/>
  <c r="H4084" i="1" s="1"/>
  <c r="G4083" i="1"/>
  <c r="H4083" i="1" s="1"/>
  <c r="H4087" i="1" s="1"/>
  <c r="G4077" i="1"/>
  <c r="H4076" i="1"/>
  <c r="H4072" i="1"/>
  <c r="H4073" i="1" s="1"/>
  <c r="G4072" i="1"/>
  <c r="H4069" i="1"/>
  <c r="G4069" i="1"/>
  <c r="H4068" i="1"/>
  <c r="G4068" i="1"/>
  <c r="H4067" i="1"/>
  <c r="G4067" i="1"/>
  <c r="G4066" i="1"/>
  <c r="H4066" i="1" s="1"/>
  <c r="H4070" i="1" s="1"/>
  <c r="G4060" i="1"/>
  <c r="G4055" i="1"/>
  <c r="H4055" i="1" s="1"/>
  <c r="H4056" i="1" s="1"/>
  <c r="G4052" i="1"/>
  <c r="H4052" i="1" s="1"/>
  <c r="H4051" i="1"/>
  <c r="G4051" i="1"/>
  <c r="H4050" i="1"/>
  <c r="G4050" i="1"/>
  <c r="G4049" i="1"/>
  <c r="H4049" i="1" s="1"/>
  <c r="G4043" i="1"/>
  <c r="H4038" i="1"/>
  <c r="H4039" i="1" s="1"/>
  <c r="G4038" i="1"/>
  <c r="H4036" i="1"/>
  <c r="H4035" i="1"/>
  <c r="G4035" i="1"/>
  <c r="H4034" i="1"/>
  <c r="G4034" i="1"/>
  <c r="G4033" i="1"/>
  <c r="H4033" i="1" s="1"/>
  <c r="G4032" i="1"/>
  <c r="H4032" i="1" s="1"/>
  <c r="G4026" i="1"/>
  <c r="G4021" i="1"/>
  <c r="H4021" i="1" s="1"/>
  <c r="H4022" i="1" s="1"/>
  <c r="H4025" i="1" s="1"/>
  <c r="H4026" i="1" s="1"/>
  <c r="H4018" i="1"/>
  <c r="G4018" i="1"/>
  <c r="G4017" i="1"/>
  <c r="H4017" i="1" s="1"/>
  <c r="H4016" i="1"/>
  <c r="G4016" i="1"/>
  <c r="H4015" i="1"/>
  <c r="H4019" i="1" s="1"/>
  <c r="G4015" i="1"/>
  <c r="G4009" i="1"/>
  <c r="G4004" i="1"/>
  <c r="H4004" i="1" s="1"/>
  <c r="H4005" i="1" s="1"/>
  <c r="G4001" i="1"/>
  <c r="H4001" i="1" s="1"/>
  <c r="H4000" i="1"/>
  <c r="G4000" i="1"/>
  <c r="G3999" i="1"/>
  <c r="H3999" i="1" s="1"/>
  <c r="H4002" i="1" s="1"/>
  <c r="G3998" i="1"/>
  <c r="H3998" i="1" s="1"/>
  <c r="G3992" i="1"/>
  <c r="H3988" i="1"/>
  <c r="H3987" i="1"/>
  <c r="G3987" i="1"/>
  <c r="H3984" i="1"/>
  <c r="G3984" i="1"/>
  <c r="H3983" i="1"/>
  <c r="G3983" i="1"/>
  <c r="G3982" i="1"/>
  <c r="H3982" i="1" s="1"/>
  <c r="H3981" i="1"/>
  <c r="G3981" i="1"/>
  <c r="G3975" i="1"/>
  <c r="G3970" i="1"/>
  <c r="H3970" i="1" s="1"/>
  <c r="H3971" i="1" s="1"/>
  <c r="G3967" i="1"/>
  <c r="H3967" i="1" s="1"/>
  <c r="G3966" i="1"/>
  <c r="H3966" i="1" s="1"/>
  <c r="H3965" i="1"/>
  <c r="G3965" i="1"/>
  <c r="G3964" i="1"/>
  <c r="H3964" i="1" s="1"/>
  <c r="G3958" i="1"/>
  <c r="H3954" i="1"/>
  <c r="G3953" i="1"/>
  <c r="H3953" i="1" s="1"/>
  <c r="G3950" i="1"/>
  <c r="H3950" i="1" s="1"/>
  <c r="H3949" i="1"/>
  <c r="G3949" i="1"/>
  <c r="G3948" i="1"/>
  <c r="H3948" i="1" s="1"/>
  <c r="G3947" i="1"/>
  <c r="H3947" i="1" s="1"/>
  <c r="G3941" i="1"/>
  <c r="H3936" i="1"/>
  <c r="H3937" i="1" s="1"/>
  <c r="G3936" i="1"/>
  <c r="H3933" i="1"/>
  <c r="G3933" i="1"/>
  <c r="G3932" i="1"/>
  <c r="H3932" i="1" s="1"/>
  <c r="G3931" i="1"/>
  <c r="H3931" i="1" s="1"/>
  <c r="G3930" i="1"/>
  <c r="H3930" i="1" s="1"/>
  <c r="G3924" i="1"/>
  <c r="G3919" i="1"/>
  <c r="H3919" i="1" s="1"/>
  <c r="H3920" i="1" s="1"/>
  <c r="H3916" i="1"/>
  <c r="G3916" i="1"/>
  <c r="G3915" i="1"/>
  <c r="H3915" i="1" s="1"/>
  <c r="H3914" i="1"/>
  <c r="G3914" i="1"/>
  <c r="G3913" i="1"/>
  <c r="H3913" i="1" s="1"/>
  <c r="G3907" i="1"/>
  <c r="G3902" i="1"/>
  <c r="H3902" i="1" s="1"/>
  <c r="H3903" i="1" s="1"/>
  <c r="H3899" i="1"/>
  <c r="G3899" i="1"/>
  <c r="H3898" i="1"/>
  <c r="G3898" i="1"/>
  <c r="H3897" i="1"/>
  <c r="G3897" i="1"/>
  <c r="G3896" i="1"/>
  <c r="H3896" i="1" s="1"/>
  <c r="G3890" i="1"/>
  <c r="H3885" i="1"/>
  <c r="H3886" i="1" s="1"/>
  <c r="G3885" i="1"/>
  <c r="H3882" i="1"/>
  <c r="G3882" i="1"/>
  <c r="H3881" i="1"/>
  <c r="G3881" i="1"/>
  <c r="G3880" i="1"/>
  <c r="H3880" i="1" s="1"/>
  <c r="H3883" i="1" s="1"/>
  <c r="G3879" i="1"/>
  <c r="H3879" i="1" s="1"/>
  <c r="G3873" i="1"/>
  <c r="H3868" i="1"/>
  <c r="H3869" i="1" s="1"/>
  <c r="H3872" i="1" s="1"/>
  <c r="G3868" i="1"/>
  <c r="H3865" i="1"/>
  <c r="G3865" i="1"/>
  <c r="H3864" i="1"/>
  <c r="G3864" i="1"/>
  <c r="H3863" i="1"/>
  <c r="G3863" i="1"/>
  <c r="H3862" i="1"/>
  <c r="H3866" i="1" s="1"/>
  <c r="G3862" i="1"/>
  <c r="G3856" i="1"/>
  <c r="G3851" i="1"/>
  <c r="H3851" i="1" s="1"/>
  <c r="H3852" i="1" s="1"/>
  <c r="G3848" i="1"/>
  <c r="H3848" i="1" s="1"/>
  <c r="H3847" i="1"/>
  <c r="G3847" i="1"/>
  <c r="H3846" i="1"/>
  <c r="G3846" i="1"/>
  <c r="G3845" i="1"/>
  <c r="H3845" i="1" s="1"/>
  <c r="G3839" i="1"/>
  <c r="H3835" i="1"/>
  <c r="H3834" i="1"/>
  <c r="G3834" i="1"/>
  <c r="H3831" i="1"/>
  <c r="G3831" i="1"/>
  <c r="H3830" i="1"/>
  <c r="G3830" i="1"/>
  <c r="G3829" i="1"/>
  <c r="H3829" i="1" s="1"/>
  <c r="G3828" i="1"/>
  <c r="H3828" i="1" s="1"/>
  <c r="H3832" i="1" s="1"/>
  <c r="G3822" i="1"/>
  <c r="G3817" i="1"/>
  <c r="H3817" i="1" s="1"/>
  <c r="H3818" i="1" s="1"/>
  <c r="H3814" i="1"/>
  <c r="G3814" i="1"/>
  <c r="G3813" i="1"/>
  <c r="H3813" i="1" s="1"/>
  <c r="H3812" i="1"/>
  <c r="G3812" i="1"/>
  <c r="H3811" i="1"/>
  <c r="G3811" i="1"/>
  <c r="G3805" i="1"/>
  <c r="G3800" i="1"/>
  <c r="H3800" i="1" s="1"/>
  <c r="H3801" i="1" s="1"/>
  <c r="G3797" i="1"/>
  <c r="H3797" i="1" s="1"/>
  <c r="H3798" i="1" s="1"/>
  <c r="H3796" i="1"/>
  <c r="G3796" i="1"/>
  <c r="G3795" i="1"/>
  <c r="H3795" i="1" s="1"/>
  <c r="G3794" i="1"/>
  <c r="H3794" i="1" s="1"/>
  <c r="G3788" i="1"/>
  <c r="H3784" i="1"/>
  <c r="H3783" i="1"/>
  <c r="G3783" i="1"/>
  <c r="H3780" i="1"/>
  <c r="G3780" i="1"/>
  <c r="H3779" i="1"/>
  <c r="G3779" i="1"/>
  <c r="G3778" i="1"/>
  <c r="H3778" i="1" s="1"/>
  <c r="H3777" i="1"/>
  <c r="G3777" i="1"/>
  <c r="G3771" i="1"/>
  <c r="G3766" i="1"/>
  <c r="H3766" i="1" s="1"/>
  <c r="H3767" i="1" s="1"/>
  <c r="G3763" i="1"/>
  <c r="H3763" i="1" s="1"/>
  <c r="G3762" i="1"/>
  <c r="H3762" i="1" s="1"/>
  <c r="H3761" i="1"/>
  <c r="G3761" i="1"/>
  <c r="G3760" i="1"/>
  <c r="H3760" i="1" s="1"/>
  <c r="G3754" i="1"/>
  <c r="H3750" i="1"/>
  <c r="G3749" i="1"/>
  <c r="H3749" i="1" s="1"/>
  <c r="G3746" i="1"/>
  <c r="H3746" i="1" s="1"/>
  <c r="H3745" i="1"/>
  <c r="H3747" i="1" s="1"/>
  <c r="H3753" i="1" s="1"/>
  <c r="G3745" i="1"/>
  <c r="H3744" i="1"/>
  <c r="G3744" i="1"/>
  <c r="G3743" i="1"/>
  <c r="H3743" i="1" s="1"/>
  <c r="G3737" i="1"/>
  <c r="H3733" i="1"/>
  <c r="H3732" i="1"/>
  <c r="G3732" i="1"/>
  <c r="H3729" i="1"/>
  <c r="H3730" i="1" s="1"/>
  <c r="G3729" i="1"/>
  <c r="H3728" i="1"/>
  <c r="G3728" i="1"/>
  <c r="G3727" i="1"/>
  <c r="H3727" i="1" s="1"/>
  <c r="H3726" i="1"/>
  <c r="G3726" i="1"/>
  <c r="G3720" i="1"/>
  <c r="H3715" i="1"/>
  <c r="H3716" i="1" s="1"/>
  <c r="G3715" i="1"/>
  <c r="G3712" i="1"/>
  <c r="H3712" i="1" s="1"/>
  <c r="G3711" i="1"/>
  <c r="H3711" i="1" s="1"/>
  <c r="H3710" i="1"/>
  <c r="G3710" i="1"/>
  <c r="G3709" i="1"/>
  <c r="H3709" i="1" s="1"/>
  <c r="G3703" i="1"/>
  <c r="G3698" i="1"/>
  <c r="H3698" i="1" s="1"/>
  <c r="H3699" i="1" s="1"/>
  <c r="H3695" i="1"/>
  <c r="G3695" i="1"/>
  <c r="G3694" i="1"/>
  <c r="H3694" i="1" s="1"/>
  <c r="G3693" i="1"/>
  <c r="H3693" i="1" s="1"/>
  <c r="H3696" i="1" s="1"/>
  <c r="G3692" i="1"/>
  <c r="H3692" i="1" s="1"/>
  <c r="G3686" i="1"/>
  <c r="G3681" i="1"/>
  <c r="H3681" i="1" s="1"/>
  <c r="H3682" i="1" s="1"/>
  <c r="H3678" i="1"/>
  <c r="G3678" i="1"/>
  <c r="H3677" i="1"/>
  <c r="G3677" i="1"/>
  <c r="G3676" i="1"/>
  <c r="H3676" i="1" s="1"/>
  <c r="H3675" i="1"/>
  <c r="H3679" i="1" s="1"/>
  <c r="G3675" i="1"/>
  <c r="G3669" i="1"/>
  <c r="H3664" i="1"/>
  <c r="H3665" i="1" s="1"/>
  <c r="H3668" i="1" s="1"/>
  <c r="G3664" i="1"/>
  <c r="G3661" i="1"/>
  <c r="H3661" i="1" s="1"/>
  <c r="H3660" i="1"/>
  <c r="G3660" i="1"/>
  <c r="H3659" i="1"/>
  <c r="G3659" i="1"/>
  <c r="G3658" i="1"/>
  <c r="H3658" i="1" s="1"/>
  <c r="H3662" i="1" s="1"/>
  <c r="G3652" i="1"/>
  <c r="G3647" i="1"/>
  <c r="H3647" i="1" s="1"/>
  <c r="H3648" i="1" s="1"/>
  <c r="H3651" i="1" s="1"/>
  <c r="H3644" i="1"/>
  <c r="G3644" i="1"/>
  <c r="H3643" i="1"/>
  <c r="G3643" i="1"/>
  <c r="G3642" i="1"/>
  <c r="H3642" i="1" s="1"/>
  <c r="H3645" i="1" s="1"/>
  <c r="H3641" i="1"/>
  <c r="G3641" i="1"/>
  <c r="G3635" i="1"/>
  <c r="H3630" i="1"/>
  <c r="H3631" i="1" s="1"/>
  <c r="G3630" i="1"/>
  <c r="H3627" i="1"/>
  <c r="H3628" i="1" s="1"/>
  <c r="G3627" i="1"/>
  <c r="G3626" i="1"/>
  <c r="H3626" i="1" s="1"/>
  <c r="G3625" i="1"/>
  <c r="H3625" i="1" s="1"/>
  <c r="H3624" i="1"/>
  <c r="G3624" i="1"/>
  <c r="G3618" i="1"/>
  <c r="H3614" i="1"/>
  <c r="H3613" i="1"/>
  <c r="G3613" i="1"/>
  <c r="G3610" i="1"/>
  <c r="H3610" i="1" s="1"/>
  <c r="H3609" i="1"/>
  <c r="G3609" i="1"/>
  <c r="H3608" i="1"/>
  <c r="G3608" i="1"/>
  <c r="G3607" i="1"/>
  <c r="H3607" i="1" s="1"/>
  <c r="G3601" i="1"/>
  <c r="H3597" i="1"/>
  <c r="H3596" i="1"/>
  <c r="G3596" i="1"/>
  <c r="G3593" i="1"/>
  <c r="H3593" i="1" s="1"/>
  <c r="G3592" i="1"/>
  <c r="H3592" i="1" s="1"/>
  <c r="H3591" i="1"/>
  <c r="G3591" i="1"/>
  <c r="G3590" i="1"/>
  <c r="H3590" i="1" s="1"/>
  <c r="G3584" i="1"/>
  <c r="G3579" i="1"/>
  <c r="H3579" i="1" s="1"/>
  <c r="H3580" i="1" s="1"/>
  <c r="H3576" i="1"/>
  <c r="G3576" i="1"/>
  <c r="G3575" i="1"/>
  <c r="H3575" i="1" s="1"/>
  <c r="G3574" i="1"/>
  <c r="H3574" i="1" s="1"/>
  <c r="H3577" i="1" s="1"/>
  <c r="H3573" i="1"/>
  <c r="G3573" i="1"/>
  <c r="G3567" i="1"/>
  <c r="G3562" i="1"/>
  <c r="H3562" i="1" s="1"/>
  <c r="H3563" i="1" s="1"/>
  <c r="H3559" i="1"/>
  <c r="G3559" i="1"/>
  <c r="G3558" i="1"/>
  <c r="H3558" i="1" s="1"/>
  <c r="G3557" i="1"/>
  <c r="H3557" i="1" s="1"/>
  <c r="G3556" i="1"/>
  <c r="H3556" i="1" s="1"/>
  <c r="H3560" i="1" s="1"/>
  <c r="H3566" i="1" s="1"/>
  <c r="G3550" i="1"/>
  <c r="H3546" i="1"/>
  <c r="H3545" i="1"/>
  <c r="G3545" i="1"/>
  <c r="G3542" i="1"/>
  <c r="H3542" i="1" s="1"/>
  <c r="G3541" i="1"/>
  <c r="H3541" i="1" s="1"/>
  <c r="H3540" i="1"/>
  <c r="G3540" i="1"/>
  <c r="G3539" i="1"/>
  <c r="H3539" i="1" s="1"/>
  <c r="G3533" i="1"/>
  <c r="G3528" i="1"/>
  <c r="H3528" i="1" s="1"/>
  <c r="H3529" i="1" s="1"/>
  <c r="G3525" i="1"/>
  <c r="H3525" i="1" s="1"/>
  <c r="G3524" i="1"/>
  <c r="H3524" i="1" s="1"/>
  <c r="H3523" i="1"/>
  <c r="G3523" i="1"/>
  <c r="G3522" i="1"/>
  <c r="H3522" i="1" s="1"/>
  <c r="G3516" i="1"/>
  <c r="G3511" i="1"/>
  <c r="H3511" i="1" s="1"/>
  <c r="H3512" i="1" s="1"/>
  <c r="H3508" i="1"/>
  <c r="G3508" i="1"/>
  <c r="G3507" i="1"/>
  <c r="H3507" i="1" s="1"/>
  <c r="G3506" i="1"/>
  <c r="H3506" i="1" s="1"/>
  <c r="H3509" i="1" s="1"/>
  <c r="H3505" i="1"/>
  <c r="G3505" i="1"/>
  <c r="G3499" i="1"/>
  <c r="G3494" i="1"/>
  <c r="H3494" i="1" s="1"/>
  <c r="H3495" i="1" s="1"/>
  <c r="H3491" i="1"/>
  <c r="G3491" i="1"/>
  <c r="G3490" i="1"/>
  <c r="H3490" i="1" s="1"/>
  <c r="G3489" i="1"/>
  <c r="H3489" i="1" s="1"/>
  <c r="G3488" i="1"/>
  <c r="H3488" i="1" s="1"/>
  <c r="H3492" i="1" s="1"/>
  <c r="G3482" i="1"/>
  <c r="G3477" i="1"/>
  <c r="H3477" i="1" s="1"/>
  <c r="H3478" i="1" s="1"/>
  <c r="H3481" i="1" s="1"/>
  <c r="H3474" i="1"/>
  <c r="G3474" i="1"/>
  <c r="H3473" i="1"/>
  <c r="G3473" i="1"/>
  <c r="G3472" i="1"/>
  <c r="H3472" i="1" s="1"/>
  <c r="H3471" i="1"/>
  <c r="H3475" i="1" s="1"/>
  <c r="G3471" i="1"/>
  <c r="G3465" i="1"/>
  <c r="H3461" i="1"/>
  <c r="H3460" i="1"/>
  <c r="G3460" i="1"/>
  <c r="G3457" i="1"/>
  <c r="H3457" i="1" s="1"/>
  <c r="H3456" i="1"/>
  <c r="G3456" i="1"/>
  <c r="G3455" i="1"/>
  <c r="H3455" i="1" s="1"/>
  <c r="G3454" i="1"/>
  <c r="H3454" i="1" s="1"/>
  <c r="G3448" i="1"/>
  <c r="H3444" i="1"/>
  <c r="H3447" i="1" s="1"/>
  <c r="H3443" i="1"/>
  <c r="G3443" i="1"/>
  <c r="H3440" i="1"/>
  <c r="G3440" i="1"/>
  <c r="H3439" i="1"/>
  <c r="G3439" i="1"/>
  <c r="H3438" i="1"/>
  <c r="G3438" i="1"/>
  <c r="G3437" i="1"/>
  <c r="H3437" i="1" s="1"/>
  <c r="H3441" i="1" s="1"/>
  <c r="G3431" i="1"/>
  <c r="H3426" i="1"/>
  <c r="H3427" i="1" s="1"/>
  <c r="G3426" i="1"/>
  <c r="G3423" i="1"/>
  <c r="H3423" i="1" s="1"/>
  <c r="G3422" i="1"/>
  <c r="H3422" i="1" s="1"/>
  <c r="H3421" i="1"/>
  <c r="G3421" i="1"/>
  <c r="G3420" i="1"/>
  <c r="H3420" i="1" s="1"/>
  <c r="G3414" i="1"/>
  <c r="G3409" i="1"/>
  <c r="H3409" i="1" s="1"/>
  <c r="H3410" i="1" s="1"/>
  <c r="H3413" i="1" s="1"/>
  <c r="H3407" i="1"/>
  <c r="H3406" i="1"/>
  <c r="G3406" i="1"/>
  <c r="H3405" i="1"/>
  <c r="G3405" i="1"/>
  <c r="H3404" i="1"/>
  <c r="G3404" i="1"/>
  <c r="H3403" i="1"/>
  <c r="G3403" i="1"/>
  <c r="G3397" i="1"/>
  <c r="G3392" i="1"/>
  <c r="H3392" i="1" s="1"/>
  <c r="H3393" i="1" s="1"/>
  <c r="H3389" i="1"/>
  <c r="G3389" i="1"/>
  <c r="G3388" i="1"/>
  <c r="H3388" i="1" s="1"/>
  <c r="G3387" i="1"/>
  <c r="H3387" i="1" s="1"/>
  <c r="H3386" i="1"/>
  <c r="G3386" i="1"/>
  <c r="G3380" i="1"/>
  <c r="G3375" i="1"/>
  <c r="H3375" i="1" s="1"/>
  <c r="H3376" i="1" s="1"/>
  <c r="H3372" i="1"/>
  <c r="G3372" i="1"/>
  <c r="H3371" i="1"/>
  <c r="G3371" i="1"/>
  <c r="G3370" i="1"/>
  <c r="H3370" i="1" s="1"/>
  <c r="H3369" i="1"/>
  <c r="G3369" i="1"/>
  <c r="G3363" i="1"/>
  <c r="H3359" i="1"/>
  <c r="H3358" i="1"/>
  <c r="G3358" i="1"/>
  <c r="G3355" i="1"/>
  <c r="H3355" i="1" s="1"/>
  <c r="H3354" i="1"/>
  <c r="G3354" i="1"/>
  <c r="G3353" i="1"/>
  <c r="H3353" i="1" s="1"/>
  <c r="G3352" i="1"/>
  <c r="H3352" i="1" s="1"/>
  <c r="G3346" i="1"/>
  <c r="H3342" i="1"/>
  <c r="H3341" i="1"/>
  <c r="G3341" i="1"/>
  <c r="G3338" i="1"/>
  <c r="H3338" i="1" s="1"/>
  <c r="H3337" i="1"/>
  <c r="G3337" i="1"/>
  <c r="H3336" i="1"/>
  <c r="G3336" i="1"/>
  <c r="G3335" i="1"/>
  <c r="H3335" i="1" s="1"/>
  <c r="G3329" i="1"/>
  <c r="G3324" i="1"/>
  <c r="H3324" i="1" s="1"/>
  <c r="H3325" i="1" s="1"/>
  <c r="H3328" i="1" s="1"/>
  <c r="G3321" i="1"/>
  <c r="H3321" i="1" s="1"/>
  <c r="G3320" i="1"/>
  <c r="H3320" i="1" s="1"/>
  <c r="H3319" i="1"/>
  <c r="G3319" i="1"/>
  <c r="G3318" i="1"/>
  <c r="H3318" i="1" s="1"/>
  <c r="H3322" i="1" s="1"/>
  <c r="G3312" i="1"/>
  <c r="G3307" i="1"/>
  <c r="H3307" i="1" s="1"/>
  <c r="H3308" i="1" s="1"/>
  <c r="H3304" i="1"/>
  <c r="G3304" i="1"/>
  <c r="G3303" i="1"/>
  <c r="H3303" i="1" s="1"/>
  <c r="G3302" i="1"/>
  <c r="H3302" i="1" s="1"/>
  <c r="G3301" i="1"/>
  <c r="H3301" i="1" s="1"/>
  <c r="G3295" i="1"/>
  <c r="G3290" i="1"/>
  <c r="H3290" i="1" s="1"/>
  <c r="H3291" i="1" s="1"/>
  <c r="H3288" i="1"/>
  <c r="H3287" i="1"/>
  <c r="G3287" i="1"/>
  <c r="G3286" i="1"/>
  <c r="H3286" i="1" s="1"/>
  <c r="G3285" i="1"/>
  <c r="H3285" i="1" s="1"/>
  <c r="H3284" i="1"/>
  <c r="G3284" i="1"/>
  <c r="G3278" i="1"/>
  <c r="G3273" i="1"/>
  <c r="H3273" i="1" s="1"/>
  <c r="H3274" i="1" s="1"/>
  <c r="H3277" i="1" s="1"/>
  <c r="H3270" i="1"/>
  <c r="G3270" i="1"/>
  <c r="H3269" i="1"/>
  <c r="G3269" i="1"/>
  <c r="G3268" i="1"/>
  <c r="H3268" i="1" s="1"/>
  <c r="H3267" i="1"/>
  <c r="H3271" i="1" s="1"/>
  <c r="G3267" i="1"/>
  <c r="G3261" i="1"/>
  <c r="H3257" i="1"/>
  <c r="H3256" i="1"/>
  <c r="G3256" i="1"/>
  <c r="G3253" i="1"/>
  <c r="H3253" i="1" s="1"/>
  <c r="H3252" i="1"/>
  <c r="G3252" i="1"/>
  <c r="G3251" i="1"/>
  <c r="H3251" i="1" s="1"/>
  <c r="G3250" i="1"/>
  <c r="H3250" i="1" s="1"/>
  <c r="G3244" i="1"/>
  <c r="H3240" i="1"/>
  <c r="H3239" i="1"/>
  <c r="G3239" i="1"/>
  <c r="H3236" i="1"/>
  <c r="G3236" i="1"/>
  <c r="H3235" i="1"/>
  <c r="G3235" i="1"/>
  <c r="H3234" i="1"/>
  <c r="G3234" i="1"/>
  <c r="G3233" i="1"/>
  <c r="H3233" i="1" s="1"/>
  <c r="H3237" i="1" s="1"/>
  <c r="G3227" i="1"/>
  <c r="H3222" i="1"/>
  <c r="H3223" i="1" s="1"/>
  <c r="G3222" i="1"/>
  <c r="G3219" i="1"/>
  <c r="H3219" i="1" s="1"/>
  <c r="G3218" i="1"/>
  <c r="H3218" i="1" s="1"/>
  <c r="H3217" i="1"/>
  <c r="G3217" i="1"/>
  <c r="G3216" i="1"/>
  <c r="H3216" i="1" s="1"/>
  <c r="G3210" i="1"/>
  <c r="G3205" i="1"/>
  <c r="H3205" i="1" s="1"/>
  <c r="H3206" i="1" s="1"/>
  <c r="H3209" i="1" s="1"/>
  <c r="H3203" i="1"/>
  <c r="H3202" i="1"/>
  <c r="G3202" i="1"/>
  <c r="H3201" i="1"/>
  <c r="G3201" i="1"/>
  <c r="H3200" i="1"/>
  <c r="G3200" i="1"/>
  <c r="H3199" i="1"/>
  <c r="G3199" i="1"/>
  <c r="G3193" i="1"/>
  <c r="G3188" i="1"/>
  <c r="H3188" i="1" s="1"/>
  <c r="H3189" i="1" s="1"/>
  <c r="H3192" i="1" s="1"/>
  <c r="H3185" i="1"/>
  <c r="G3185" i="1"/>
  <c r="G3184" i="1"/>
  <c r="H3184" i="1" s="1"/>
  <c r="G3183" i="1"/>
  <c r="H3183" i="1" s="1"/>
  <c r="H3182" i="1"/>
  <c r="H3186" i="1" s="1"/>
  <c r="G3182" i="1"/>
  <c r="G3176" i="1"/>
  <c r="G3171" i="1"/>
  <c r="H3171" i="1" s="1"/>
  <c r="H3172" i="1" s="1"/>
  <c r="H3168" i="1"/>
  <c r="G3168" i="1"/>
  <c r="H3167" i="1"/>
  <c r="G3167" i="1"/>
  <c r="G3166" i="1"/>
  <c r="H3166" i="1" s="1"/>
  <c r="G3165" i="1"/>
  <c r="H3165" i="1" s="1"/>
  <c r="G3159" i="1"/>
  <c r="H3155" i="1"/>
  <c r="H3154" i="1"/>
  <c r="G3154" i="1"/>
  <c r="G3151" i="1"/>
  <c r="H3151" i="1" s="1"/>
  <c r="H3150" i="1"/>
  <c r="G3150" i="1"/>
  <c r="G3149" i="1"/>
  <c r="H3149" i="1" s="1"/>
  <c r="G3148" i="1"/>
  <c r="H3148" i="1" s="1"/>
  <c r="H3152" i="1" s="1"/>
  <c r="G3142" i="1"/>
  <c r="H3138" i="1"/>
  <c r="H3137" i="1"/>
  <c r="G3137" i="1"/>
  <c r="G3134" i="1"/>
  <c r="H3134" i="1" s="1"/>
  <c r="G3133" i="1"/>
  <c r="H3133" i="1" s="1"/>
  <c r="G3132" i="1"/>
  <c r="H3132" i="1" s="1"/>
  <c r="G3131" i="1"/>
  <c r="H3131" i="1" s="1"/>
  <c r="G3125" i="1"/>
  <c r="H3120" i="1"/>
  <c r="H3121" i="1" s="1"/>
  <c r="H3124" i="1" s="1"/>
  <c r="G3120" i="1"/>
  <c r="G3117" i="1"/>
  <c r="H3117" i="1" s="1"/>
  <c r="G3116" i="1"/>
  <c r="H3116" i="1" s="1"/>
  <c r="H3115" i="1"/>
  <c r="G3115" i="1"/>
  <c r="G3114" i="1"/>
  <c r="H3114" i="1" s="1"/>
  <c r="H3118" i="1" s="1"/>
  <c r="G3108" i="1"/>
  <c r="G3103" i="1"/>
  <c r="H3103" i="1" s="1"/>
  <c r="H3104" i="1" s="1"/>
  <c r="H3100" i="1"/>
  <c r="G3100" i="1"/>
  <c r="G3099" i="1"/>
  <c r="H3099" i="1" s="1"/>
  <c r="G3098" i="1"/>
  <c r="H3098" i="1" s="1"/>
  <c r="G3097" i="1"/>
  <c r="H3097" i="1" s="1"/>
  <c r="G3091" i="1"/>
  <c r="G3086" i="1"/>
  <c r="H3086" i="1" s="1"/>
  <c r="H3087" i="1" s="1"/>
  <c r="H3090" i="1" s="1"/>
  <c r="H3083" i="1"/>
  <c r="G3083" i="1"/>
  <c r="G3082" i="1"/>
  <c r="H3082" i="1" s="1"/>
  <c r="G3081" i="1"/>
  <c r="H3081" i="1" s="1"/>
  <c r="H3084" i="1" s="1"/>
  <c r="H3080" i="1"/>
  <c r="G3080" i="1"/>
  <c r="G3074" i="1"/>
  <c r="G3069" i="1"/>
  <c r="H3069" i="1" s="1"/>
  <c r="H3070" i="1" s="1"/>
  <c r="H3066" i="1"/>
  <c r="G3066" i="1"/>
  <c r="H3065" i="1"/>
  <c r="G3065" i="1"/>
  <c r="G3064" i="1"/>
  <c r="H3064" i="1" s="1"/>
  <c r="G3063" i="1"/>
  <c r="H3063" i="1" s="1"/>
  <c r="H3067" i="1" s="1"/>
  <c r="G3057" i="1"/>
  <c r="H3053" i="1"/>
  <c r="H3052" i="1"/>
  <c r="G3052" i="1"/>
  <c r="G3049" i="1"/>
  <c r="H3049" i="1" s="1"/>
  <c r="H3048" i="1"/>
  <c r="G3048" i="1"/>
  <c r="G3047" i="1"/>
  <c r="H3047" i="1" s="1"/>
  <c r="G3046" i="1"/>
  <c r="H3046" i="1" s="1"/>
  <c r="H3050" i="1" s="1"/>
  <c r="H3056" i="1" s="1"/>
  <c r="G3040" i="1"/>
  <c r="H3035" i="1"/>
  <c r="H3036" i="1" s="1"/>
  <c r="H3039" i="1" s="1"/>
  <c r="G3035" i="1"/>
  <c r="H3032" i="1"/>
  <c r="G3032" i="1"/>
  <c r="H3031" i="1"/>
  <c r="G3031" i="1"/>
  <c r="H3030" i="1"/>
  <c r="G3030" i="1"/>
  <c r="G3029" i="1"/>
  <c r="H3029" i="1" s="1"/>
  <c r="H3033" i="1" s="1"/>
  <c r="G3023" i="1"/>
  <c r="G3018" i="1"/>
  <c r="H3018" i="1" s="1"/>
  <c r="H3019" i="1" s="1"/>
  <c r="G3015" i="1"/>
  <c r="H3015" i="1" s="1"/>
  <c r="G3014" i="1"/>
  <c r="H3014" i="1" s="1"/>
  <c r="H3013" i="1"/>
  <c r="G3013" i="1"/>
  <c r="G3012" i="1"/>
  <c r="H3012" i="1" s="1"/>
  <c r="G3006" i="1"/>
  <c r="G3001" i="1"/>
  <c r="H3001" i="1" s="1"/>
  <c r="H3002" i="1" s="1"/>
  <c r="H2998" i="1"/>
  <c r="G2998" i="1"/>
  <c r="H2997" i="1"/>
  <c r="G2997" i="1"/>
  <c r="G2996" i="1"/>
  <c r="H2996" i="1" s="1"/>
  <c r="H2999" i="1" s="1"/>
  <c r="H2995" i="1"/>
  <c r="G2995" i="1"/>
  <c r="G2989" i="1"/>
  <c r="G2984" i="1"/>
  <c r="H2984" i="1" s="1"/>
  <c r="H2985" i="1" s="1"/>
  <c r="H2981" i="1"/>
  <c r="G2981" i="1"/>
  <c r="G2980" i="1"/>
  <c r="H2980" i="1" s="1"/>
  <c r="G2979" i="1"/>
  <c r="H2979" i="1" s="1"/>
  <c r="H2978" i="1"/>
  <c r="G2978" i="1"/>
  <c r="G2972" i="1"/>
  <c r="G2967" i="1"/>
  <c r="H2967" i="1" s="1"/>
  <c r="H2968" i="1" s="1"/>
  <c r="G2964" i="1"/>
  <c r="H2964" i="1" s="1"/>
  <c r="H2963" i="1"/>
  <c r="G2963" i="1"/>
  <c r="G2962" i="1"/>
  <c r="H2962" i="1" s="1"/>
  <c r="G2961" i="1"/>
  <c r="H2961" i="1" s="1"/>
  <c r="G2955" i="1"/>
  <c r="G2950" i="1"/>
  <c r="H2950" i="1" s="1"/>
  <c r="H2951" i="1" s="1"/>
  <c r="G2947" i="1"/>
  <c r="H2947" i="1" s="1"/>
  <c r="H2946" i="1"/>
  <c r="G2946" i="1"/>
  <c r="G2945" i="1"/>
  <c r="H2945" i="1" s="1"/>
  <c r="G2944" i="1"/>
  <c r="H2944" i="1" s="1"/>
  <c r="G2937" i="1"/>
  <c r="H2932" i="1"/>
  <c r="H2933" i="1" s="1"/>
  <c r="G2932" i="1"/>
  <c r="G2929" i="1"/>
  <c r="H2929" i="1" s="1"/>
  <c r="G2928" i="1"/>
  <c r="H2928" i="1" s="1"/>
  <c r="G2927" i="1"/>
  <c r="H2927" i="1" s="1"/>
  <c r="G2926" i="1"/>
  <c r="H2926" i="1" s="1"/>
  <c r="G2920" i="1"/>
  <c r="G2915" i="1"/>
  <c r="H2915" i="1" s="1"/>
  <c r="H2916" i="1" s="1"/>
  <c r="H2912" i="1"/>
  <c r="G2912" i="1"/>
  <c r="G2911" i="1"/>
  <c r="H2911" i="1" s="1"/>
  <c r="H2910" i="1"/>
  <c r="G2910" i="1"/>
  <c r="G2909" i="1"/>
  <c r="H2909" i="1" s="1"/>
  <c r="G2903" i="1"/>
  <c r="G2898" i="1"/>
  <c r="H2898" i="1" s="1"/>
  <c r="H2899" i="1" s="1"/>
  <c r="H2895" i="1"/>
  <c r="G2895" i="1"/>
  <c r="G2894" i="1"/>
  <c r="H2894" i="1" s="1"/>
  <c r="H2893" i="1"/>
  <c r="G2893" i="1"/>
  <c r="G2892" i="1"/>
  <c r="H2892" i="1" s="1"/>
  <c r="G2886" i="1"/>
  <c r="G2881" i="1"/>
  <c r="H2881" i="1" s="1"/>
  <c r="H2882" i="1" s="1"/>
  <c r="H2878" i="1"/>
  <c r="H2879" i="1" s="1"/>
  <c r="G2878" i="1"/>
  <c r="H2877" i="1"/>
  <c r="G2877" i="1"/>
  <c r="G2876" i="1"/>
  <c r="H2876" i="1" s="1"/>
  <c r="H2875" i="1"/>
  <c r="G2875" i="1"/>
  <c r="G2869" i="1"/>
  <c r="G2864" i="1"/>
  <c r="H2864" i="1" s="1"/>
  <c r="H2865" i="1" s="1"/>
  <c r="H2868" i="1" s="1"/>
  <c r="G2861" i="1"/>
  <c r="H2861" i="1" s="1"/>
  <c r="H2860" i="1"/>
  <c r="G2860" i="1"/>
  <c r="G2859" i="1"/>
  <c r="H2859" i="1" s="1"/>
  <c r="G2858" i="1"/>
  <c r="H2858" i="1" s="1"/>
  <c r="H2862" i="1" s="1"/>
  <c r="G2852" i="1"/>
  <c r="H2848" i="1"/>
  <c r="H2847" i="1"/>
  <c r="G2847" i="1"/>
  <c r="G2844" i="1"/>
  <c r="H2844" i="1" s="1"/>
  <c r="H2843" i="1"/>
  <c r="G2843" i="1"/>
  <c r="G2842" i="1"/>
  <c r="H2842" i="1" s="1"/>
  <c r="G2841" i="1"/>
  <c r="H2841" i="1" s="1"/>
  <c r="H2845" i="1" s="1"/>
  <c r="G2835" i="1"/>
  <c r="H2830" i="1"/>
  <c r="H2831" i="1" s="1"/>
  <c r="G2830" i="1"/>
  <c r="H2827" i="1"/>
  <c r="G2827" i="1"/>
  <c r="G2826" i="1"/>
  <c r="H2826" i="1" s="1"/>
  <c r="H2825" i="1"/>
  <c r="G2825" i="1"/>
  <c r="G2824" i="1"/>
  <c r="H2824" i="1" s="1"/>
  <c r="G2818" i="1"/>
  <c r="G2813" i="1"/>
  <c r="H2813" i="1" s="1"/>
  <c r="H2814" i="1" s="1"/>
  <c r="G2810" i="1"/>
  <c r="H2810" i="1" s="1"/>
  <c r="G2809" i="1"/>
  <c r="H2809" i="1" s="1"/>
  <c r="H2808" i="1"/>
  <c r="G2808" i="1"/>
  <c r="G2807" i="1"/>
  <c r="H2807" i="1" s="1"/>
  <c r="H2811" i="1" s="1"/>
  <c r="G2801" i="1"/>
  <c r="G2796" i="1"/>
  <c r="H2796" i="1" s="1"/>
  <c r="H2797" i="1" s="1"/>
  <c r="H2793" i="1"/>
  <c r="G2793" i="1"/>
  <c r="H2792" i="1"/>
  <c r="G2792" i="1"/>
  <c r="G2791" i="1"/>
  <c r="H2791" i="1" s="1"/>
  <c r="H2794" i="1" s="1"/>
  <c r="H2790" i="1"/>
  <c r="G2790" i="1"/>
  <c r="G2784" i="1"/>
  <c r="G2779" i="1"/>
  <c r="H2779" i="1" s="1"/>
  <c r="H2780" i="1" s="1"/>
  <c r="H2776" i="1"/>
  <c r="G2776" i="1"/>
  <c r="G2775" i="1"/>
  <c r="H2775" i="1" s="1"/>
  <c r="G2774" i="1"/>
  <c r="H2774" i="1" s="1"/>
  <c r="H2773" i="1"/>
  <c r="G2773" i="1"/>
  <c r="G2767" i="1"/>
  <c r="G2762" i="1"/>
  <c r="H2762" i="1" s="1"/>
  <c r="H2763" i="1" s="1"/>
  <c r="H2759" i="1"/>
  <c r="G2759" i="1"/>
  <c r="H2758" i="1"/>
  <c r="G2758" i="1"/>
  <c r="G2757" i="1"/>
  <c r="H2757" i="1" s="1"/>
  <c r="G2756" i="1"/>
  <c r="H2756" i="1" s="1"/>
  <c r="H2760" i="1" s="1"/>
  <c r="H2766" i="1" s="1"/>
  <c r="G2750" i="1"/>
  <c r="G2745" i="1"/>
  <c r="H2745" i="1" s="1"/>
  <c r="H2746" i="1" s="1"/>
  <c r="H2749" i="1" s="1"/>
  <c r="G2742" i="1"/>
  <c r="H2742" i="1" s="1"/>
  <c r="H2741" i="1"/>
  <c r="G2741" i="1"/>
  <c r="G2740" i="1"/>
  <c r="H2740" i="1" s="1"/>
  <c r="G2739" i="1"/>
  <c r="H2739" i="1" s="1"/>
  <c r="H2743" i="1" s="1"/>
  <c r="G2733" i="1"/>
  <c r="H2728" i="1"/>
  <c r="H2729" i="1" s="1"/>
  <c r="G2728" i="1"/>
  <c r="G2725" i="1"/>
  <c r="H2725" i="1" s="1"/>
  <c r="G2724" i="1"/>
  <c r="H2724" i="1" s="1"/>
  <c r="G2723" i="1"/>
  <c r="H2723" i="1" s="1"/>
  <c r="G2722" i="1"/>
  <c r="H2722" i="1" s="1"/>
  <c r="G2716" i="1"/>
  <c r="G2711" i="1"/>
  <c r="H2711" i="1" s="1"/>
  <c r="H2712" i="1" s="1"/>
  <c r="H2708" i="1"/>
  <c r="G2708" i="1"/>
  <c r="G2707" i="1"/>
  <c r="H2707" i="1" s="1"/>
  <c r="H2706" i="1"/>
  <c r="G2706" i="1"/>
  <c r="G2705" i="1"/>
  <c r="H2705" i="1" s="1"/>
  <c r="G2699" i="1"/>
  <c r="G2694" i="1"/>
  <c r="H2694" i="1" s="1"/>
  <c r="H2695" i="1" s="1"/>
  <c r="H2691" i="1"/>
  <c r="G2691" i="1"/>
  <c r="G2690" i="1"/>
  <c r="H2690" i="1" s="1"/>
  <c r="H2689" i="1"/>
  <c r="G2689" i="1"/>
  <c r="G2688" i="1"/>
  <c r="H2688" i="1" s="1"/>
  <c r="G2682" i="1"/>
  <c r="G2677" i="1"/>
  <c r="H2677" i="1" s="1"/>
  <c r="H2678" i="1" s="1"/>
  <c r="H2674" i="1"/>
  <c r="G2674" i="1"/>
  <c r="H2673" i="1"/>
  <c r="G2673" i="1"/>
  <c r="G2672" i="1"/>
  <c r="H2672" i="1" s="1"/>
  <c r="H2671" i="1"/>
  <c r="G2671" i="1"/>
  <c r="G2665" i="1"/>
  <c r="G2660" i="1"/>
  <c r="H2660" i="1" s="1"/>
  <c r="H2661" i="1" s="1"/>
  <c r="G2657" i="1"/>
  <c r="H2657" i="1" s="1"/>
  <c r="H2656" i="1"/>
  <c r="G2656" i="1"/>
  <c r="G2655" i="1"/>
  <c r="H2655" i="1" s="1"/>
  <c r="G2654" i="1"/>
  <c r="H2654" i="1" s="1"/>
  <c r="G2648" i="1"/>
  <c r="H2644" i="1"/>
  <c r="H2643" i="1"/>
  <c r="G2643" i="1"/>
  <c r="G2640" i="1"/>
  <c r="H2640" i="1" s="1"/>
  <c r="H2639" i="1"/>
  <c r="G2639" i="1"/>
  <c r="G2638" i="1"/>
  <c r="H2638" i="1" s="1"/>
  <c r="G2637" i="1"/>
  <c r="H2637" i="1" s="1"/>
  <c r="G2631" i="1"/>
  <c r="H2627" i="1"/>
  <c r="H2626" i="1"/>
  <c r="G2626" i="1"/>
  <c r="H2623" i="1"/>
  <c r="G2623" i="1"/>
  <c r="H2622" i="1"/>
  <c r="G2622" i="1"/>
  <c r="H2621" i="1"/>
  <c r="G2621" i="1"/>
  <c r="G2620" i="1"/>
  <c r="H2620" i="1" s="1"/>
  <c r="G2613" i="1"/>
  <c r="G2608" i="1"/>
  <c r="H2608" i="1" s="1"/>
  <c r="H2609" i="1" s="1"/>
  <c r="G2605" i="1"/>
  <c r="H2605" i="1" s="1"/>
  <c r="G2604" i="1"/>
  <c r="H2604" i="1" s="1"/>
  <c r="H2603" i="1"/>
  <c r="G2603" i="1"/>
  <c r="G2602" i="1"/>
  <c r="H2602" i="1" s="1"/>
  <c r="G2596" i="1"/>
  <c r="H2591" i="1"/>
  <c r="H2592" i="1" s="1"/>
  <c r="G2591" i="1"/>
  <c r="H2588" i="1"/>
  <c r="G2588" i="1"/>
  <c r="H2587" i="1"/>
  <c r="G2587" i="1"/>
  <c r="G2586" i="1"/>
  <c r="H2586" i="1" s="1"/>
  <c r="H2589" i="1" s="1"/>
  <c r="G2585" i="1"/>
  <c r="H2585" i="1" s="1"/>
  <c r="G2579" i="1"/>
  <c r="G2574" i="1"/>
  <c r="H2574" i="1" s="1"/>
  <c r="H2575" i="1" s="1"/>
  <c r="H2571" i="1"/>
  <c r="G2571" i="1"/>
  <c r="G2570" i="1"/>
  <c r="H2570" i="1" s="1"/>
  <c r="G2569" i="1"/>
  <c r="H2569" i="1" s="1"/>
  <c r="H2568" i="1"/>
  <c r="H2572" i="1" s="1"/>
  <c r="G2568" i="1"/>
  <c r="G2562" i="1"/>
  <c r="H2561" i="1"/>
  <c r="G2557" i="1"/>
  <c r="H2557" i="1" s="1"/>
  <c r="H2558" i="1" s="1"/>
  <c r="G2554" i="1"/>
  <c r="H2554" i="1" s="1"/>
  <c r="H2553" i="1"/>
  <c r="G2553" i="1"/>
  <c r="G2552" i="1"/>
  <c r="H2552" i="1" s="1"/>
  <c r="G2551" i="1"/>
  <c r="H2551" i="1" s="1"/>
  <c r="H2555" i="1" s="1"/>
  <c r="G2545" i="1"/>
  <c r="H2541" i="1"/>
  <c r="G2540" i="1"/>
  <c r="H2540" i="1" s="1"/>
  <c r="G2537" i="1"/>
  <c r="H2537" i="1" s="1"/>
  <c r="H2536" i="1"/>
  <c r="G2536" i="1"/>
  <c r="G2535" i="1"/>
  <c r="H2535" i="1" s="1"/>
  <c r="G2534" i="1"/>
  <c r="H2534" i="1" s="1"/>
  <c r="G2528" i="1"/>
  <c r="G2523" i="1"/>
  <c r="H2523" i="1" s="1"/>
  <c r="G2522" i="1"/>
  <c r="H2522" i="1" s="1"/>
  <c r="H2521" i="1"/>
  <c r="G2521" i="1"/>
  <c r="G2520" i="1"/>
  <c r="H2520" i="1" s="1"/>
  <c r="H2524" i="1" s="1"/>
  <c r="G2517" i="1"/>
  <c r="H2517" i="1" s="1"/>
  <c r="H2516" i="1"/>
  <c r="G2516" i="1"/>
  <c r="G2514" i="1"/>
  <c r="H2514" i="1" s="1"/>
  <c r="G2507" i="1"/>
  <c r="H2503" i="1"/>
  <c r="H2502" i="1"/>
  <c r="G2502" i="1"/>
  <c r="H2499" i="1"/>
  <c r="G2499" i="1"/>
  <c r="H2498" i="1"/>
  <c r="G2498" i="1"/>
  <c r="G2497" i="1"/>
  <c r="H2497" i="1" s="1"/>
  <c r="D2497" i="1"/>
  <c r="G2496" i="1"/>
  <c r="H2496" i="1" s="1"/>
  <c r="H2500" i="1" s="1"/>
  <c r="H2506" i="1" s="1"/>
  <c r="G2490" i="1"/>
  <c r="G2485" i="1"/>
  <c r="H2485" i="1" s="1"/>
  <c r="H2486" i="1" s="1"/>
  <c r="G2482" i="1"/>
  <c r="H2482" i="1" s="1"/>
  <c r="H2481" i="1"/>
  <c r="G2481" i="1"/>
  <c r="D2480" i="1"/>
  <c r="G2480" i="1" s="1"/>
  <c r="H2480" i="1" s="1"/>
  <c r="G2479" i="1"/>
  <c r="H2479" i="1" s="1"/>
  <c r="G2473" i="1"/>
  <c r="H2469" i="1"/>
  <c r="H2468" i="1"/>
  <c r="G2468" i="1"/>
  <c r="H2465" i="1"/>
  <c r="G2465" i="1"/>
  <c r="H2464" i="1"/>
  <c r="G2464" i="1"/>
  <c r="G2463" i="1"/>
  <c r="H2463" i="1" s="1"/>
  <c r="D2463" i="1"/>
  <c r="H2462" i="1"/>
  <c r="H2466" i="1" s="1"/>
  <c r="G2462" i="1"/>
  <c r="G2455" i="1"/>
  <c r="G2450" i="1"/>
  <c r="H2450" i="1" s="1"/>
  <c r="H2451" i="1" s="1"/>
  <c r="G2447" i="1"/>
  <c r="H2447" i="1" s="1"/>
  <c r="H2446" i="1"/>
  <c r="G2446" i="1"/>
  <c r="G2444" i="1"/>
  <c r="H2444" i="1" s="1"/>
  <c r="G2438" i="1"/>
  <c r="H2434" i="1"/>
  <c r="H2433" i="1"/>
  <c r="G2433" i="1"/>
  <c r="H2430" i="1"/>
  <c r="G2430" i="1"/>
  <c r="H2429" i="1"/>
  <c r="G2429" i="1"/>
  <c r="G2427" i="1"/>
  <c r="H2427" i="1" s="1"/>
  <c r="G2421" i="1"/>
  <c r="G2416" i="1"/>
  <c r="H2416" i="1" s="1"/>
  <c r="H2417" i="1" s="1"/>
  <c r="G2413" i="1"/>
  <c r="H2413" i="1" s="1"/>
  <c r="H2412" i="1"/>
  <c r="G2412" i="1"/>
  <c r="G2410" i="1"/>
  <c r="H2410" i="1" s="1"/>
  <c r="G2404" i="1"/>
  <c r="H2400" i="1"/>
  <c r="H2399" i="1"/>
  <c r="G2399" i="1"/>
  <c r="H2396" i="1"/>
  <c r="G2396" i="1"/>
  <c r="H2395" i="1"/>
  <c r="G2395" i="1"/>
  <c r="G2393" i="1"/>
  <c r="H2393" i="1" s="1"/>
  <c r="G2387" i="1"/>
  <c r="G2382" i="1"/>
  <c r="H2382" i="1" s="1"/>
  <c r="H2383" i="1" s="1"/>
  <c r="G2379" i="1"/>
  <c r="H2379" i="1" s="1"/>
  <c r="H2378" i="1"/>
  <c r="G2378" i="1"/>
  <c r="G2376" i="1"/>
  <c r="H2376" i="1" s="1"/>
  <c r="G2370" i="1"/>
  <c r="G2365" i="1"/>
  <c r="H2365" i="1" s="1"/>
  <c r="H2366" i="1" s="1"/>
  <c r="G2362" i="1"/>
  <c r="H2362" i="1" s="1"/>
  <c r="H2361" i="1"/>
  <c r="G2361" i="1"/>
  <c r="G2359" i="1"/>
  <c r="H2359" i="1" s="1"/>
  <c r="G2353" i="1"/>
  <c r="H2349" i="1"/>
  <c r="G2348" i="1"/>
  <c r="H2348" i="1" s="1"/>
  <c r="G2345" i="1"/>
  <c r="H2345" i="1" s="1"/>
  <c r="H2344" i="1"/>
  <c r="G2344" i="1"/>
  <c r="G2342" i="1"/>
  <c r="H2342" i="1" s="1"/>
  <c r="G2336" i="1"/>
  <c r="G2331" i="1"/>
  <c r="H2331" i="1" s="1"/>
  <c r="H2332" i="1" s="1"/>
  <c r="G2328" i="1"/>
  <c r="H2328" i="1" s="1"/>
  <c r="H2327" i="1"/>
  <c r="G2327" i="1"/>
  <c r="G2325" i="1"/>
  <c r="H2325" i="1" s="1"/>
  <c r="G2319" i="1"/>
  <c r="H2315" i="1"/>
  <c r="G2314" i="1"/>
  <c r="H2314" i="1" s="1"/>
  <c r="G2311" i="1"/>
  <c r="H2311" i="1" s="1"/>
  <c r="H2310" i="1"/>
  <c r="G2310" i="1"/>
  <c r="G2308" i="1"/>
  <c r="H2308" i="1" s="1"/>
  <c r="G2302" i="1"/>
  <c r="G2297" i="1"/>
  <c r="H2297" i="1" s="1"/>
  <c r="H2298" i="1" s="1"/>
  <c r="G2294" i="1"/>
  <c r="H2294" i="1" s="1"/>
  <c r="H2293" i="1"/>
  <c r="G2293" i="1"/>
  <c r="H2291" i="1"/>
  <c r="G2291" i="1"/>
  <c r="G2284" i="1"/>
  <c r="H2280" i="1"/>
  <c r="G2279" i="1"/>
  <c r="H2279" i="1" s="1"/>
  <c r="G2276" i="1"/>
  <c r="H2276" i="1" s="1"/>
  <c r="H2275" i="1"/>
  <c r="G2275" i="1"/>
  <c r="G2274" i="1"/>
  <c r="H2274" i="1" s="1"/>
  <c r="G2273" i="1"/>
  <c r="H2273" i="1" s="1"/>
  <c r="G2266" i="1"/>
  <c r="H2261" i="1"/>
  <c r="G2261" i="1"/>
  <c r="G2260" i="1"/>
  <c r="H2260" i="1" s="1"/>
  <c r="H2262" i="1" s="1"/>
  <c r="G2257" i="1"/>
  <c r="H2257" i="1" s="1"/>
  <c r="G2256" i="1"/>
  <c r="H2256" i="1" s="1"/>
  <c r="H2255" i="1"/>
  <c r="G2255" i="1"/>
  <c r="G2254" i="1"/>
  <c r="H2254" i="1" s="1"/>
  <c r="G2247" i="1"/>
  <c r="G2242" i="1"/>
  <c r="H2242" i="1" s="1"/>
  <c r="H2243" i="1" s="1"/>
  <c r="G2239" i="1"/>
  <c r="H2239" i="1" s="1"/>
  <c r="H2238" i="1"/>
  <c r="G2238" i="1"/>
  <c r="G2237" i="1"/>
  <c r="H2237" i="1" s="1"/>
  <c r="G2236" i="1"/>
  <c r="H2236" i="1" s="1"/>
  <c r="G2229" i="1"/>
  <c r="H2225" i="1"/>
  <c r="H2224" i="1"/>
  <c r="G2224" i="1"/>
  <c r="G2221" i="1"/>
  <c r="H2221" i="1" s="1"/>
  <c r="G2220" i="1"/>
  <c r="H2220" i="1" s="1"/>
  <c r="G2219" i="1"/>
  <c r="H2219" i="1" s="1"/>
  <c r="H2218" i="1"/>
  <c r="H2222" i="1" s="1"/>
  <c r="G2218" i="1"/>
  <c r="G2211" i="1"/>
  <c r="G2206" i="1"/>
  <c r="H2206" i="1" s="1"/>
  <c r="H2207" i="1" s="1"/>
  <c r="H2203" i="1"/>
  <c r="G2203" i="1"/>
  <c r="G2202" i="1"/>
  <c r="H2202" i="1" s="1"/>
  <c r="G2200" i="1"/>
  <c r="H2200" i="1" s="1"/>
  <c r="G2189" i="1"/>
  <c r="H2189" i="1" s="1"/>
  <c r="H2190" i="1" s="1"/>
  <c r="H2186" i="1"/>
  <c r="G2186" i="1"/>
  <c r="G2185" i="1"/>
  <c r="H2185" i="1" s="1"/>
  <c r="H2183" i="1"/>
  <c r="G2183" i="1"/>
  <c r="G2177" i="1"/>
  <c r="G2172" i="1"/>
  <c r="H2172" i="1" s="1"/>
  <c r="H2173" i="1" s="1"/>
  <c r="G2169" i="1"/>
  <c r="H2169" i="1" s="1"/>
  <c r="H2168" i="1"/>
  <c r="G2168" i="1"/>
  <c r="G2166" i="1"/>
  <c r="H2166" i="1" s="1"/>
  <c r="G2160" i="1"/>
  <c r="G2155" i="1"/>
  <c r="H2155" i="1" s="1"/>
  <c r="H2156" i="1" s="1"/>
  <c r="H2152" i="1"/>
  <c r="G2152" i="1"/>
  <c r="G2151" i="1"/>
  <c r="H2151" i="1" s="1"/>
  <c r="G2149" i="1"/>
  <c r="H2149" i="1" s="1"/>
  <c r="G2143" i="1"/>
  <c r="G2138" i="1"/>
  <c r="H2138" i="1" s="1"/>
  <c r="H2139" i="1" s="1"/>
  <c r="G2135" i="1"/>
  <c r="H2135" i="1" s="1"/>
  <c r="H2134" i="1"/>
  <c r="G2134" i="1"/>
  <c r="G2132" i="1"/>
  <c r="H2132" i="1" s="1"/>
  <c r="G2126" i="1"/>
  <c r="H2122" i="1"/>
  <c r="H2121" i="1"/>
  <c r="H2118" i="1"/>
  <c r="G2118" i="1"/>
  <c r="G2117" i="1"/>
  <c r="H2117" i="1" s="1"/>
  <c r="G2115" i="1"/>
  <c r="H2115" i="1" s="1"/>
  <c r="G2109" i="1"/>
  <c r="H2104" i="1"/>
  <c r="H2105" i="1" s="1"/>
  <c r="G2101" i="1"/>
  <c r="H2101" i="1" s="1"/>
  <c r="G2100" i="1"/>
  <c r="H2100" i="1" s="1"/>
  <c r="H2098" i="1"/>
  <c r="G2098" i="1"/>
  <c r="G2092" i="1"/>
  <c r="H2087" i="1"/>
  <c r="H2088" i="1" s="1"/>
  <c r="G2084" i="1"/>
  <c r="H2084" i="1" s="1"/>
  <c r="H2083" i="1"/>
  <c r="G2083" i="1"/>
  <c r="G2081" i="1"/>
  <c r="H2081" i="1" s="1"/>
  <c r="G2075" i="1"/>
  <c r="H2071" i="1"/>
  <c r="H2070" i="1"/>
  <c r="G2070" i="1"/>
  <c r="G2067" i="1"/>
  <c r="H2067" i="1" s="1"/>
  <c r="H2066" i="1"/>
  <c r="G2066" i="1"/>
  <c r="H2064" i="1"/>
  <c r="G2064" i="1"/>
  <c r="G2057" i="1"/>
  <c r="H2052" i="1"/>
  <c r="H2053" i="1" s="1"/>
  <c r="G2052" i="1"/>
  <c r="G2049" i="1"/>
  <c r="H2049" i="1" s="1"/>
  <c r="H2048" i="1"/>
  <c r="G2048" i="1"/>
  <c r="G2046" i="1"/>
  <c r="H2046" i="1" s="1"/>
  <c r="G2040" i="1"/>
  <c r="H2036" i="1"/>
  <c r="H2035" i="1"/>
  <c r="G2035" i="1"/>
  <c r="G2032" i="1"/>
  <c r="H2032" i="1" s="1"/>
  <c r="G2031" i="1"/>
  <c r="H2031" i="1" s="1"/>
  <c r="G2029" i="1"/>
  <c r="H2029" i="1" s="1"/>
  <c r="G2023" i="1"/>
  <c r="H2018" i="1"/>
  <c r="H2019" i="1" s="1"/>
  <c r="G2018" i="1"/>
  <c r="G2015" i="1"/>
  <c r="H2015" i="1" s="1"/>
  <c r="H2014" i="1"/>
  <c r="G2014" i="1"/>
  <c r="H2012" i="1"/>
  <c r="G2012" i="1"/>
  <c r="G2006" i="1"/>
  <c r="H2002" i="1"/>
  <c r="G2001" i="1"/>
  <c r="H2001" i="1" s="1"/>
  <c r="G1998" i="1"/>
  <c r="H1998" i="1" s="1"/>
  <c r="G1997" i="1"/>
  <c r="H1997" i="1" s="1"/>
  <c r="G1995" i="1"/>
  <c r="H1995" i="1" s="1"/>
  <c r="G1989" i="1"/>
  <c r="H1985" i="1"/>
  <c r="H1984" i="1"/>
  <c r="G1984" i="1"/>
  <c r="G1981" i="1"/>
  <c r="H1981" i="1" s="1"/>
  <c r="H1980" i="1"/>
  <c r="G1980" i="1"/>
  <c r="G1978" i="1"/>
  <c r="H1978" i="1" s="1"/>
  <c r="G1972" i="1"/>
  <c r="G1967" i="1"/>
  <c r="H1967" i="1" s="1"/>
  <c r="H1968" i="1" s="1"/>
  <c r="G1964" i="1"/>
  <c r="H1964" i="1" s="1"/>
  <c r="G1963" i="1"/>
  <c r="H1963" i="1" s="1"/>
  <c r="G1961" i="1"/>
  <c r="H1961" i="1" s="1"/>
  <c r="G1955" i="1"/>
  <c r="G1950" i="1"/>
  <c r="H1950" i="1" s="1"/>
  <c r="H1951" i="1" s="1"/>
  <c r="G1947" i="1"/>
  <c r="H1947" i="1" s="1"/>
  <c r="H1946" i="1"/>
  <c r="G1946" i="1"/>
  <c r="G1944" i="1"/>
  <c r="H1944" i="1" s="1"/>
  <c r="G1937" i="1"/>
  <c r="G1932" i="1"/>
  <c r="H1932" i="1" s="1"/>
  <c r="H1933" i="1" s="1"/>
  <c r="G1929" i="1"/>
  <c r="H1929" i="1" s="1"/>
  <c r="H1928" i="1"/>
  <c r="G1928" i="1"/>
  <c r="H1926" i="1"/>
  <c r="G1926" i="1"/>
  <c r="G1920" i="1"/>
  <c r="G1915" i="1"/>
  <c r="H1915" i="1" s="1"/>
  <c r="H1916" i="1" s="1"/>
  <c r="G1912" i="1"/>
  <c r="H1912" i="1" s="1"/>
  <c r="H1911" i="1"/>
  <c r="G1911" i="1"/>
  <c r="G1909" i="1"/>
  <c r="H1909" i="1" s="1"/>
  <c r="G1903" i="1"/>
  <c r="H1899" i="1"/>
  <c r="G1898" i="1"/>
  <c r="H1898" i="1" s="1"/>
  <c r="G1895" i="1"/>
  <c r="H1895" i="1" s="1"/>
  <c r="G1894" i="1"/>
  <c r="H1894" i="1" s="1"/>
  <c r="G1892" i="1"/>
  <c r="H1892" i="1" s="1"/>
  <c r="G1886" i="1"/>
  <c r="G1881" i="1"/>
  <c r="H1881" i="1" s="1"/>
  <c r="H1882" i="1" s="1"/>
  <c r="G1878" i="1"/>
  <c r="H1878" i="1" s="1"/>
  <c r="H1877" i="1"/>
  <c r="G1877" i="1"/>
  <c r="G1875" i="1"/>
  <c r="H1875" i="1" s="1"/>
  <c r="G1869" i="1"/>
  <c r="H1865" i="1"/>
  <c r="G1864" i="1"/>
  <c r="H1864" i="1" s="1"/>
  <c r="G1861" i="1"/>
  <c r="H1861" i="1" s="1"/>
  <c r="H1860" i="1"/>
  <c r="G1860" i="1"/>
  <c r="G1858" i="1"/>
  <c r="H1858" i="1" s="1"/>
  <c r="G1852" i="1"/>
  <c r="G1847" i="1"/>
  <c r="H1847" i="1" s="1"/>
  <c r="H1848" i="1" s="1"/>
  <c r="G1844" i="1"/>
  <c r="H1844" i="1" s="1"/>
  <c r="G1843" i="1"/>
  <c r="H1843" i="1" s="1"/>
  <c r="H1841" i="1"/>
  <c r="G1841" i="1"/>
  <c r="G1835" i="1"/>
  <c r="H1830" i="1"/>
  <c r="H1831" i="1" s="1"/>
  <c r="G1830" i="1"/>
  <c r="G1827" i="1"/>
  <c r="H1827" i="1" s="1"/>
  <c r="G1826" i="1"/>
  <c r="H1826" i="1" s="1"/>
  <c r="G1824" i="1"/>
  <c r="H1824" i="1" s="1"/>
  <c r="G1818" i="1"/>
  <c r="G1813" i="1"/>
  <c r="H1813" i="1" s="1"/>
  <c r="H1814" i="1" s="1"/>
  <c r="G1810" i="1"/>
  <c r="H1810" i="1" s="1"/>
  <c r="H1809" i="1"/>
  <c r="G1809" i="1"/>
  <c r="G1807" i="1"/>
  <c r="H1807" i="1" s="1"/>
  <c r="G1801" i="1"/>
  <c r="G1796" i="1"/>
  <c r="H1796" i="1" s="1"/>
  <c r="H1797" i="1" s="1"/>
  <c r="G1793" i="1"/>
  <c r="H1793" i="1" s="1"/>
  <c r="G1792" i="1"/>
  <c r="H1792" i="1" s="1"/>
  <c r="H1790" i="1"/>
  <c r="G1790" i="1"/>
  <c r="G1784" i="1"/>
  <c r="G1779" i="1"/>
  <c r="H1779" i="1" s="1"/>
  <c r="H1780" i="1" s="1"/>
  <c r="G1776" i="1"/>
  <c r="H1776" i="1" s="1"/>
  <c r="G1775" i="1"/>
  <c r="H1775" i="1" s="1"/>
  <c r="G1773" i="1"/>
  <c r="H1773" i="1" s="1"/>
  <c r="G1767" i="1"/>
  <c r="H1762" i="1"/>
  <c r="H1763" i="1" s="1"/>
  <c r="G1762" i="1"/>
  <c r="G1759" i="1"/>
  <c r="H1759" i="1" s="1"/>
  <c r="G1758" i="1"/>
  <c r="H1758" i="1" s="1"/>
  <c r="H1756" i="1"/>
  <c r="G1756" i="1"/>
  <c r="G1750" i="1"/>
  <c r="H1745" i="1"/>
  <c r="H1746" i="1" s="1"/>
  <c r="G1745" i="1"/>
  <c r="G1742" i="1"/>
  <c r="H1742" i="1" s="1"/>
  <c r="H1741" i="1"/>
  <c r="G1741" i="1"/>
  <c r="G1739" i="1"/>
  <c r="H1739" i="1" s="1"/>
  <c r="G1733" i="1"/>
  <c r="G1728" i="1"/>
  <c r="H1728" i="1" s="1"/>
  <c r="H1729" i="1" s="1"/>
  <c r="G1725" i="1"/>
  <c r="H1725" i="1" s="1"/>
  <c r="H1724" i="1"/>
  <c r="G1724" i="1"/>
  <c r="H1722" i="1"/>
  <c r="G1722" i="1"/>
  <c r="G1716" i="1"/>
  <c r="H1712" i="1"/>
  <c r="H1711" i="1"/>
  <c r="G1711" i="1"/>
  <c r="G1708" i="1"/>
  <c r="H1708" i="1" s="1"/>
  <c r="G1707" i="1"/>
  <c r="H1707" i="1" s="1"/>
  <c r="H1705" i="1"/>
  <c r="G1705" i="1"/>
  <c r="G1699" i="1"/>
  <c r="G1694" i="1"/>
  <c r="H1694" i="1" s="1"/>
  <c r="H1695" i="1" s="1"/>
  <c r="G1691" i="1"/>
  <c r="H1691" i="1" s="1"/>
  <c r="G1690" i="1"/>
  <c r="H1690" i="1" s="1"/>
  <c r="G1688" i="1"/>
  <c r="H1688" i="1" s="1"/>
  <c r="G1682" i="1"/>
  <c r="G1677" i="1"/>
  <c r="H1677" i="1" s="1"/>
  <c r="H1678" i="1" s="1"/>
  <c r="G1674" i="1"/>
  <c r="H1674" i="1" s="1"/>
  <c r="G1673" i="1"/>
  <c r="H1673" i="1" s="1"/>
  <c r="G1671" i="1"/>
  <c r="H1671" i="1" s="1"/>
  <c r="G1665" i="1"/>
  <c r="H1660" i="1"/>
  <c r="H1661" i="1" s="1"/>
  <c r="G1660" i="1"/>
  <c r="G1657" i="1"/>
  <c r="H1657" i="1" s="1"/>
  <c r="G1656" i="1"/>
  <c r="H1656" i="1" s="1"/>
  <c r="G1654" i="1"/>
  <c r="H1654" i="1" s="1"/>
  <c r="G1648" i="1"/>
  <c r="G1643" i="1"/>
  <c r="H1643" i="1" s="1"/>
  <c r="H1644" i="1" s="1"/>
  <c r="G1640" i="1"/>
  <c r="H1640" i="1" s="1"/>
  <c r="G1639" i="1"/>
  <c r="H1639" i="1" s="1"/>
  <c r="H1637" i="1"/>
  <c r="G1637" i="1"/>
  <c r="G1631" i="1"/>
  <c r="G1626" i="1"/>
  <c r="H1626" i="1" s="1"/>
  <c r="H1627" i="1" s="1"/>
  <c r="G1623" i="1"/>
  <c r="H1623" i="1" s="1"/>
  <c r="G1622" i="1"/>
  <c r="H1622" i="1" s="1"/>
  <c r="G1620" i="1"/>
  <c r="H1620" i="1" s="1"/>
  <c r="G1614" i="1"/>
  <c r="G1609" i="1"/>
  <c r="H1609" i="1" s="1"/>
  <c r="H1610" i="1" s="1"/>
  <c r="G1606" i="1"/>
  <c r="H1606" i="1" s="1"/>
  <c r="G1605" i="1"/>
  <c r="H1605" i="1" s="1"/>
  <c r="G1603" i="1"/>
  <c r="H1603" i="1" s="1"/>
  <c r="G1597" i="1"/>
  <c r="H1592" i="1"/>
  <c r="H1593" i="1" s="1"/>
  <c r="G1592" i="1"/>
  <c r="G1589" i="1"/>
  <c r="H1589" i="1" s="1"/>
  <c r="G1588" i="1"/>
  <c r="H1588" i="1" s="1"/>
  <c r="G1586" i="1"/>
  <c r="H1586" i="1" s="1"/>
  <c r="G1580" i="1"/>
  <c r="G1575" i="1"/>
  <c r="H1575" i="1" s="1"/>
  <c r="H1576" i="1" s="1"/>
  <c r="H1572" i="1"/>
  <c r="G1572" i="1"/>
  <c r="H1571" i="1"/>
  <c r="G1571" i="1"/>
  <c r="G1569" i="1"/>
  <c r="H1569" i="1" s="1"/>
  <c r="G1563" i="1"/>
  <c r="G1558" i="1"/>
  <c r="H1558" i="1" s="1"/>
  <c r="H1559" i="1" s="1"/>
  <c r="H1555" i="1"/>
  <c r="G1555" i="1"/>
  <c r="G1554" i="1"/>
  <c r="H1554" i="1" s="1"/>
  <c r="G1552" i="1"/>
  <c r="H1552" i="1" s="1"/>
  <c r="G1546" i="1"/>
  <c r="G1541" i="1"/>
  <c r="H1541" i="1" s="1"/>
  <c r="H1542" i="1" s="1"/>
  <c r="H1538" i="1"/>
  <c r="G1538" i="1"/>
  <c r="H1537" i="1"/>
  <c r="G1537" i="1"/>
  <c r="G1535" i="1"/>
  <c r="H1535" i="1" s="1"/>
  <c r="G1529" i="1"/>
  <c r="G1524" i="1"/>
  <c r="H1524" i="1" s="1"/>
  <c r="H1525" i="1" s="1"/>
  <c r="H1521" i="1"/>
  <c r="G1521" i="1"/>
  <c r="G1520" i="1"/>
  <c r="H1520" i="1" s="1"/>
  <c r="G1518" i="1"/>
  <c r="H1518" i="1" s="1"/>
  <c r="G1512" i="1"/>
  <c r="G1507" i="1"/>
  <c r="H1507" i="1" s="1"/>
  <c r="H1508" i="1" s="1"/>
  <c r="H1504" i="1"/>
  <c r="G1504" i="1"/>
  <c r="H1503" i="1"/>
  <c r="G1503" i="1"/>
  <c r="G1501" i="1"/>
  <c r="H1501" i="1" s="1"/>
  <c r="G1495" i="1"/>
  <c r="G1490" i="1"/>
  <c r="H1490" i="1" s="1"/>
  <c r="H1491" i="1" s="1"/>
  <c r="H1487" i="1"/>
  <c r="G1487" i="1"/>
  <c r="G1486" i="1"/>
  <c r="H1486" i="1" s="1"/>
  <c r="G1484" i="1"/>
  <c r="H1484" i="1" s="1"/>
  <c r="G1478" i="1"/>
  <c r="G1473" i="1"/>
  <c r="H1473" i="1" s="1"/>
  <c r="H1474" i="1" s="1"/>
  <c r="H1470" i="1"/>
  <c r="G1470" i="1"/>
  <c r="H1469" i="1"/>
  <c r="G1469" i="1"/>
  <c r="G1467" i="1"/>
  <c r="H1467" i="1" s="1"/>
  <c r="G1460" i="1"/>
  <c r="G1455" i="1"/>
  <c r="H1455" i="1" s="1"/>
  <c r="H1456" i="1" s="1"/>
  <c r="H1452" i="1"/>
  <c r="G1452" i="1"/>
  <c r="G1451" i="1"/>
  <c r="H1451" i="1" s="1"/>
  <c r="G1449" i="1"/>
  <c r="H1449" i="1" s="1"/>
  <c r="G1443" i="1"/>
  <c r="G1438" i="1"/>
  <c r="H1438" i="1" s="1"/>
  <c r="H1439" i="1" s="1"/>
  <c r="H1435" i="1"/>
  <c r="G1435" i="1"/>
  <c r="H1434" i="1"/>
  <c r="G1434" i="1"/>
  <c r="G1432" i="1"/>
  <c r="H1432" i="1" s="1"/>
  <c r="G1426" i="1"/>
  <c r="G1421" i="1"/>
  <c r="H1421" i="1" s="1"/>
  <c r="H1422" i="1" s="1"/>
  <c r="H1418" i="1"/>
  <c r="G1418" i="1"/>
  <c r="G1417" i="1"/>
  <c r="H1417" i="1" s="1"/>
  <c r="G1415" i="1"/>
  <c r="H1415" i="1" s="1"/>
  <c r="G1409" i="1"/>
  <c r="G1404" i="1"/>
  <c r="H1404" i="1" s="1"/>
  <c r="H1405" i="1" s="1"/>
  <c r="H1401" i="1"/>
  <c r="G1401" i="1"/>
  <c r="H1400" i="1"/>
  <c r="G1400" i="1"/>
  <c r="G1398" i="1"/>
  <c r="H1398" i="1" s="1"/>
  <c r="G1392" i="1"/>
  <c r="G1387" i="1"/>
  <c r="H1387" i="1" s="1"/>
  <c r="H1388" i="1" s="1"/>
  <c r="H1384" i="1"/>
  <c r="G1384" i="1"/>
  <c r="G1383" i="1"/>
  <c r="H1383" i="1" s="1"/>
  <c r="G1381" i="1"/>
  <c r="H1381" i="1" s="1"/>
  <c r="G1375" i="1"/>
  <c r="H1370" i="1"/>
  <c r="H1371" i="1" s="1"/>
  <c r="G1370" i="1"/>
  <c r="H1367" i="1"/>
  <c r="G1367" i="1"/>
  <c r="H1366" i="1"/>
  <c r="G1366" i="1"/>
  <c r="G1364" i="1"/>
  <c r="H1364" i="1" s="1"/>
  <c r="G1358" i="1"/>
  <c r="G1353" i="1"/>
  <c r="H1353" i="1" s="1"/>
  <c r="H1354" i="1" s="1"/>
  <c r="H1350" i="1"/>
  <c r="G1350" i="1"/>
  <c r="G1349" i="1"/>
  <c r="H1349" i="1" s="1"/>
  <c r="G1347" i="1"/>
  <c r="H1347" i="1" s="1"/>
  <c r="G1340" i="1"/>
  <c r="H1335" i="1"/>
  <c r="H1336" i="1" s="1"/>
  <c r="G1335" i="1"/>
  <c r="H1332" i="1"/>
  <c r="G1332" i="1"/>
  <c r="H1331" i="1"/>
  <c r="G1331" i="1"/>
  <c r="G1329" i="1"/>
  <c r="H1329" i="1" s="1"/>
  <c r="G1323" i="1"/>
  <c r="G1318" i="1"/>
  <c r="H1318" i="1" s="1"/>
  <c r="H1319" i="1" s="1"/>
  <c r="H1315" i="1"/>
  <c r="G1315" i="1"/>
  <c r="G1314" i="1"/>
  <c r="H1314" i="1" s="1"/>
  <c r="G1312" i="1"/>
  <c r="H1312" i="1" s="1"/>
  <c r="G1306" i="1"/>
  <c r="G1301" i="1"/>
  <c r="H1301" i="1" s="1"/>
  <c r="H1302" i="1" s="1"/>
  <c r="H1298" i="1"/>
  <c r="G1298" i="1"/>
  <c r="H1297" i="1"/>
  <c r="G1297" i="1"/>
  <c r="G1295" i="1"/>
  <c r="H1295" i="1" s="1"/>
  <c r="G1289" i="1"/>
  <c r="G1284" i="1"/>
  <c r="H1284" i="1" s="1"/>
  <c r="H1285" i="1" s="1"/>
  <c r="H1281" i="1"/>
  <c r="G1281" i="1"/>
  <c r="G1280" i="1"/>
  <c r="H1280" i="1" s="1"/>
  <c r="G1278" i="1"/>
  <c r="H1278" i="1" s="1"/>
  <c r="G1272" i="1"/>
  <c r="H1267" i="1"/>
  <c r="H1268" i="1" s="1"/>
  <c r="G1267" i="1"/>
  <c r="H1264" i="1"/>
  <c r="G1264" i="1"/>
  <c r="H1263" i="1"/>
  <c r="G1263" i="1"/>
  <c r="G1261" i="1"/>
  <c r="H1261" i="1" s="1"/>
  <c r="G1255" i="1"/>
  <c r="G1250" i="1"/>
  <c r="H1250" i="1" s="1"/>
  <c r="H1251" i="1" s="1"/>
  <c r="G1247" i="1"/>
  <c r="H1247" i="1" s="1"/>
  <c r="G1246" i="1"/>
  <c r="H1246" i="1" s="1"/>
  <c r="G1244" i="1"/>
  <c r="H1244" i="1" s="1"/>
  <c r="G1238" i="1"/>
  <c r="G1233" i="1"/>
  <c r="H1233" i="1" s="1"/>
  <c r="H1234" i="1" s="1"/>
  <c r="H1230" i="1"/>
  <c r="G1230" i="1"/>
  <c r="H1229" i="1"/>
  <c r="G1229" i="1"/>
  <c r="G1227" i="1"/>
  <c r="H1227" i="1" s="1"/>
  <c r="G1221" i="1"/>
  <c r="G1216" i="1"/>
  <c r="H1216" i="1" s="1"/>
  <c r="H1217" i="1" s="1"/>
  <c r="G1213" i="1"/>
  <c r="H1213" i="1" s="1"/>
  <c r="G1212" i="1"/>
  <c r="H1212" i="1" s="1"/>
  <c r="G1210" i="1"/>
  <c r="H1210" i="1" s="1"/>
  <c r="G1204" i="1"/>
  <c r="H1199" i="1"/>
  <c r="H1200" i="1" s="1"/>
  <c r="G1199" i="1"/>
  <c r="H1196" i="1"/>
  <c r="G1196" i="1"/>
  <c r="H1195" i="1"/>
  <c r="G1195" i="1"/>
  <c r="G1193" i="1"/>
  <c r="H1193" i="1" s="1"/>
  <c r="G1187" i="1"/>
  <c r="G1182" i="1"/>
  <c r="H1182" i="1" s="1"/>
  <c r="H1183" i="1" s="1"/>
  <c r="G1179" i="1"/>
  <c r="H1179" i="1" s="1"/>
  <c r="G1178" i="1"/>
  <c r="H1178" i="1" s="1"/>
  <c r="G1176" i="1"/>
  <c r="H1176" i="1" s="1"/>
  <c r="G1170" i="1"/>
  <c r="H1165" i="1"/>
  <c r="H1166" i="1" s="1"/>
  <c r="G1165" i="1"/>
  <c r="H1162" i="1"/>
  <c r="G1162" i="1"/>
  <c r="H1161" i="1"/>
  <c r="G1161" i="1"/>
  <c r="G1159" i="1"/>
  <c r="H1159" i="1" s="1"/>
  <c r="G1153" i="1"/>
  <c r="G1148" i="1"/>
  <c r="H1148" i="1" s="1"/>
  <c r="H1149" i="1" s="1"/>
  <c r="G1145" i="1"/>
  <c r="H1145" i="1" s="1"/>
  <c r="G1144" i="1"/>
  <c r="H1144" i="1" s="1"/>
  <c r="G1142" i="1"/>
  <c r="H1142" i="1" s="1"/>
  <c r="G1136" i="1"/>
  <c r="G1131" i="1"/>
  <c r="H1131" i="1" s="1"/>
  <c r="H1132" i="1" s="1"/>
  <c r="H1128" i="1"/>
  <c r="G1128" i="1"/>
  <c r="H1127" i="1"/>
  <c r="G1127" i="1"/>
  <c r="G1125" i="1"/>
  <c r="H1125" i="1" s="1"/>
  <c r="G1119" i="1"/>
  <c r="G1114" i="1"/>
  <c r="H1114" i="1" s="1"/>
  <c r="H1115" i="1" s="1"/>
  <c r="G1111" i="1"/>
  <c r="H1111" i="1" s="1"/>
  <c r="G1110" i="1"/>
  <c r="H1110" i="1" s="1"/>
  <c r="G1108" i="1"/>
  <c r="H1108" i="1" s="1"/>
  <c r="G1102" i="1"/>
  <c r="G1097" i="1"/>
  <c r="H1097" i="1" s="1"/>
  <c r="H1098" i="1" s="1"/>
  <c r="H1094" i="1"/>
  <c r="G1094" i="1"/>
  <c r="H1093" i="1"/>
  <c r="G1093" i="1"/>
  <c r="G1091" i="1"/>
  <c r="H1091" i="1" s="1"/>
  <c r="G1085" i="1"/>
  <c r="G1080" i="1"/>
  <c r="H1080" i="1" s="1"/>
  <c r="H1081" i="1" s="1"/>
  <c r="G1077" i="1"/>
  <c r="H1077" i="1" s="1"/>
  <c r="G1076" i="1"/>
  <c r="H1076" i="1" s="1"/>
  <c r="G1074" i="1"/>
  <c r="H1074" i="1" s="1"/>
  <c r="G1067" i="1"/>
  <c r="H1062" i="1"/>
  <c r="H1063" i="1" s="1"/>
  <c r="G1062" i="1"/>
  <c r="H1059" i="1"/>
  <c r="G1059" i="1"/>
  <c r="H1058" i="1"/>
  <c r="G1058" i="1"/>
  <c r="H1057" i="1"/>
  <c r="G1057" i="1"/>
  <c r="G1056" i="1"/>
  <c r="H1056" i="1" s="1"/>
  <c r="H1060" i="1" s="1"/>
  <c r="G1050" i="1"/>
  <c r="H1045" i="1"/>
  <c r="H1046" i="1" s="1"/>
  <c r="G1045" i="1"/>
  <c r="G1042" i="1"/>
  <c r="H1042" i="1" s="1"/>
  <c r="G1041" i="1"/>
  <c r="H1041" i="1" s="1"/>
  <c r="G1040" i="1"/>
  <c r="H1040" i="1" s="1"/>
  <c r="D1040" i="1"/>
  <c r="H1039" i="1"/>
  <c r="G1039" i="1"/>
  <c r="G1033" i="1"/>
  <c r="G1028" i="1"/>
  <c r="H1028" i="1" s="1"/>
  <c r="G1027" i="1"/>
  <c r="H1027" i="1" s="1"/>
  <c r="H1029" i="1" s="1"/>
  <c r="G1024" i="1"/>
  <c r="H1024" i="1" s="1"/>
  <c r="G1023" i="1"/>
  <c r="H1023" i="1" s="1"/>
  <c r="G1022" i="1"/>
  <c r="H1022" i="1" s="1"/>
  <c r="G1021" i="1"/>
  <c r="H1021" i="1" s="1"/>
  <c r="H1025" i="1" s="1"/>
  <c r="G1014" i="1"/>
  <c r="G1009" i="1"/>
  <c r="H1009" i="1" s="1"/>
  <c r="G1008" i="1"/>
  <c r="H1008" i="1" s="1"/>
  <c r="H1005" i="1"/>
  <c r="G1005" i="1"/>
  <c r="G1004" i="1"/>
  <c r="H1004" i="1" s="1"/>
  <c r="H1003" i="1"/>
  <c r="G1003" i="1"/>
  <c r="G1002" i="1"/>
  <c r="H1002" i="1" s="1"/>
  <c r="G995" i="1"/>
  <c r="G990" i="1"/>
  <c r="H990" i="1" s="1"/>
  <c r="H991" i="1" s="1"/>
  <c r="H994" i="1" s="1"/>
  <c r="H989" i="1"/>
  <c r="G989" i="1"/>
  <c r="G986" i="1"/>
  <c r="H986" i="1" s="1"/>
  <c r="G985" i="1"/>
  <c r="H985" i="1" s="1"/>
  <c r="G984" i="1"/>
  <c r="H984" i="1" s="1"/>
  <c r="H983" i="1"/>
  <c r="H987" i="1" s="1"/>
  <c r="G983" i="1"/>
  <c r="G976" i="1"/>
  <c r="G971" i="1"/>
  <c r="H971" i="1" s="1"/>
  <c r="G970" i="1"/>
  <c r="H970" i="1" s="1"/>
  <c r="H972" i="1" s="1"/>
  <c r="H967" i="1"/>
  <c r="G967" i="1"/>
  <c r="H966" i="1"/>
  <c r="G966" i="1"/>
  <c r="G964" i="1"/>
  <c r="H964" i="1" s="1"/>
  <c r="G958" i="1"/>
  <c r="G953" i="1"/>
  <c r="H953" i="1" s="1"/>
  <c r="G952" i="1"/>
  <c r="H952" i="1" s="1"/>
  <c r="H954" i="1" s="1"/>
  <c r="H949" i="1"/>
  <c r="G949" i="1"/>
  <c r="H948" i="1"/>
  <c r="G948" i="1"/>
  <c r="G946" i="1"/>
  <c r="H946" i="1" s="1"/>
  <c r="G940" i="1"/>
  <c r="H935" i="1"/>
  <c r="G935" i="1"/>
  <c r="G934" i="1"/>
  <c r="H934" i="1" s="1"/>
  <c r="H936" i="1" s="1"/>
  <c r="H931" i="1"/>
  <c r="G931" i="1"/>
  <c r="H930" i="1"/>
  <c r="G930" i="1"/>
  <c r="G928" i="1"/>
  <c r="H928" i="1" s="1"/>
  <c r="G922" i="1"/>
  <c r="H918" i="1"/>
  <c r="G917" i="1"/>
  <c r="H917" i="1" s="1"/>
  <c r="G914" i="1"/>
  <c r="H914" i="1" s="1"/>
  <c r="G913" i="1"/>
  <c r="H913" i="1" s="1"/>
  <c r="G911" i="1"/>
  <c r="H911" i="1" s="1"/>
  <c r="G905" i="1"/>
  <c r="H900" i="1"/>
  <c r="H901" i="1" s="1"/>
  <c r="G900" i="1"/>
  <c r="H897" i="1"/>
  <c r="G897" i="1"/>
  <c r="H896" i="1"/>
  <c r="G896" i="1"/>
  <c r="G894" i="1"/>
  <c r="H894" i="1" s="1"/>
  <c r="G888" i="1"/>
  <c r="H884" i="1"/>
  <c r="G883" i="1"/>
  <c r="H883" i="1" s="1"/>
  <c r="G880" i="1"/>
  <c r="H880" i="1" s="1"/>
  <c r="G879" i="1"/>
  <c r="H879" i="1" s="1"/>
  <c r="G877" i="1"/>
  <c r="H877" i="1" s="1"/>
  <c r="G871" i="1"/>
  <c r="H867" i="1"/>
  <c r="H866" i="1"/>
  <c r="G866" i="1"/>
  <c r="G863" i="1"/>
  <c r="H863" i="1" s="1"/>
  <c r="H862" i="1"/>
  <c r="G862" i="1"/>
  <c r="G860" i="1"/>
  <c r="H860" i="1" s="1"/>
  <c r="G854" i="1"/>
  <c r="G849" i="1"/>
  <c r="H849" i="1" s="1"/>
  <c r="H850" i="1" s="1"/>
  <c r="G846" i="1"/>
  <c r="H846" i="1" s="1"/>
  <c r="H845" i="1"/>
  <c r="G845" i="1"/>
  <c r="G843" i="1"/>
  <c r="H843" i="1" s="1"/>
  <c r="G837" i="1"/>
  <c r="G832" i="1"/>
  <c r="H832" i="1" s="1"/>
  <c r="H833" i="1" s="1"/>
  <c r="H829" i="1"/>
  <c r="G829" i="1"/>
  <c r="H828" i="1"/>
  <c r="G828" i="1"/>
  <c r="H826" i="1"/>
  <c r="G826" i="1"/>
  <c r="G819" i="1"/>
  <c r="H815" i="1"/>
  <c r="G814" i="1"/>
  <c r="H814" i="1" s="1"/>
  <c r="G811" i="1"/>
  <c r="H811" i="1" s="1"/>
  <c r="G810" i="1"/>
  <c r="H810" i="1" s="1"/>
  <c r="G808" i="1"/>
  <c r="H808" i="1" s="1"/>
  <c r="G802" i="1"/>
  <c r="G797" i="1"/>
  <c r="H797" i="1" s="1"/>
  <c r="H798" i="1" s="1"/>
  <c r="G794" i="1"/>
  <c r="H794" i="1" s="1"/>
  <c r="H793" i="1"/>
  <c r="G793" i="1"/>
  <c r="G791" i="1"/>
  <c r="H791" i="1" s="1"/>
  <c r="G785" i="1"/>
  <c r="G780" i="1"/>
  <c r="H780" i="1" s="1"/>
  <c r="H781" i="1" s="1"/>
  <c r="H777" i="1"/>
  <c r="G777" i="1"/>
  <c r="G776" i="1"/>
  <c r="H776" i="1" s="1"/>
  <c r="H774" i="1"/>
  <c r="G774" i="1"/>
  <c r="G768" i="1"/>
  <c r="G763" i="1"/>
  <c r="H763" i="1" s="1"/>
  <c r="H764" i="1" s="1"/>
  <c r="G760" i="1"/>
  <c r="H760" i="1" s="1"/>
  <c r="H759" i="1"/>
  <c r="G759" i="1"/>
  <c r="G757" i="1"/>
  <c r="H757" i="1" s="1"/>
  <c r="G751" i="1"/>
  <c r="G746" i="1"/>
  <c r="H746" i="1" s="1"/>
  <c r="H747" i="1" s="1"/>
  <c r="G743" i="1"/>
  <c r="H743" i="1" s="1"/>
  <c r="G742" i="1"/>
  <c r="H742" i="1" s="1"/>
  <c r="G740" i="1"/>
  <c r="H740" i="1" s="1"/>
  <c r="G734" i="1"/>
  <c r="H729" i="1"/>
  <c r="H730" i="1" s="1"/>
  <c r="G729" i="1"/>
  <c r="G726" i="1"/>
  <c r="H726" i="1" s="1"/>
  <c r="H725" i="1"/>
  <c r="G725" i="1"/>
  <c r="H723" i="1"/>
  <c r="G723" i="1"/>
  <c r="G717" i="1"/>
  <c r="H713" i="1"/>
  <c r="G712" i="1"/>
  <c r="H712" i="1" s="1"/>
  <c r="G709" i="1"/>
  <c r="H709" i="1" s="1"/>
  <c r="G708" i="1"/>
  <c r="H708" i="1" s="1"/>
  <c r="H706" i="1"/>
  <c r="G706" i="1"/>
  <c r="G700" i="1"/>
  <c r="G695" i="1"/>
  <c r="H695" i="1" s="1"/>
  <c r="H696" i="1" s="1"/>
  <c r="H692" i="1"/>
  <c r="G692" i="1"/>
  <c r="H691" i="1"/>
  <c r="G691" i="1"/>
  <c r="H689" i="1"/>
  <c r="G689" i="1"/>
  <c r="G683" i="1"/>
  <c r="H679" i="1"/>
  <c r="G678" i="1"/>
  <c r="H678" i="1" s="1"/>
  <c r="G675" i="1"/>
  <c r="H675" i="1" s="1"/>
  <c r="H674" i="1"/>
  <c r="G674" i="1"/>
  <c r="G672" i="1"/>
  <c r="H672" i="1" s="1"/>
  <c r="G666" i="1"/>
  <c r="G661" i="1"/>
  <c r="H661" i="1" s="1"/>
  <c r="H662" i="1" s="1"/>
  <c r="H658" i="1"/>
  <c r="G658" i="1"/>
  <c r="H657" i="1"/>
  <c r="G657" i="1"/>
  <c r="G655" i="1"/>
  <c r="H655" i="1" s="1"/>
  <c r="G649" i="1"/>
  <c r="G644" i="1"/>
  <c r="H644" i="1" s="1"/>
  <c r="H645" i="1" s="1"/>
  <c r="G641" i="1"/>
  <c r="H641" i="1" s="1"/>
  <c r="H640" i="1"/>
  <c r="G640" i="1"/>
  <c r="G638" i="1"/>
  <c r="H638" i="1" s="1"/>
  <c r="G632" i="1"/>
  <c r="H627" i="1"/>
  <c r="H628" i="1" s="1"/>
  <c r="G627" i="1"/>
  <c r="G624" i="1"/>
  <c r="H624" i="1" s="1"/>
  <c r="H623" i="1"/>
  <c r="G623" i="1"/>
  <c r="G621" i="1"/>
  <c r="H621" i="1" s="1"/>
  <c r="G615" i="1"/>
  <c r="H611" i="1"/>
  <c r="G610" i="1"/>
  <c r="H610" i="1" s="1"/>
  <c r="H607" i="1"/>
  <c r="G607" i="1"/>
  <c r="G606" i="1"/>
  <c r="H606" i="1" s="1"/>
  <c r="H604" i="1"/>
  <c r="G604" i="1"/>
  <c r="G598" i="1"/>
  <c r="H594" i="1"/>
  <c r="H593" i="1"/>
  <c r="G593" i="1"/>
  <c r="H590" i="1"/>
  <c r="G590" i="1"/>
  <c r="H589" i="1"/>
  <c r="G589" i="1"/>
  <c r="G587" i="1"/>
  <c r="H587" i="1" s="1"/>
  <c r="G581" i="1"/>
  <c r="G576" i="1"/>
  <c r="H576" i="1" s="1"/>
  <c r="H577" i="1" s="1"/>
  <c r="H573" i="1"/>
  <c r="G573" i="1"/>
  <c r="H572" i="1"/>
  <c r="G572" i="1"/>
  <c r="H570" i="1"/>
  <c r="G570" i="1"/>
  <c r="G564" i="1"/>
  <c r="G559" i="1"/>
  <c r="H559" i="1" s="1"/>
  <c r="H560" i="1" s="1"/>
  <c r="G556" i="1"/>
  <c r="H556" i="1" s="1"/>
  <c r="H555" i="1"/>
  <c r="G555" i="1"/>
  <c r="G553" i="1"/>
  <c r="H553" i="1" s="1"/>
  <c r="G547" i="1"/>
  <c r="G542" i="1"/>
  <c r="H542" i="1" s="1"/>
  <c r="H543" i="1" s="1"/>
  <c r="G539" i="1"/>
  <c r="H539" i="1" s="1"/>
  <c r="G538" i="1"/>
  <c r="H538" i="1" s="1"/>
  <c r="G536" i="1"/>
  <c r="H536" i="1" s="1"/>
  <c r="G530" i="1"/>
  <c r="H525" i="1"/>
  <c r="H526" i="1" s="1"/>
  <c r="G525" i="1"/>
  <c r="G522" i="1"/>
  <c r="H522" i="1" s="1"/>
  <c r="H521" i="1"/>
  <c r="G521" i="1"/>
  <c r="H519" i="1"/>
  <c r="G519" i="1"/>
  <c r="G513" i="1"/>
  <c r="H509" i="1"/>
  <c r="H508" i="1"/>
  <c r="G508" i="1"/>
  <c r="G505" i="1"/>
  <c r="H505" i="1" s="1"/>
  <c r="H504" i="1"/>
  <c r="G504" i="1"/>
  <c r="G502" i="1"/>
  <c r="H502" i="1" s="1"/>
  <c r="G496" i="1"/>
  <c r="H491" i="1"/>
  <c r="H492" i="1" s="1"/>
  <c r="G491" i="1"/>
  <c r="G488" i="1"/>
  <c r="H488" i="1" s="1"/>
  <c r="G487" i="1"/>
  <c r="H487" i="1" s="1"/>
  <c r="H485" i="1"/>
  <c r="G485" i="1"/>
  <c r="G479" i="1"/>
  <c r="G474" i="1"/>
  <c r="H474" i="1" s="1"/>
  <c r="H475" i="1" s="1"/>
  <c r="G471" i="1"/>
  <c r="H471" i="1" s="1"/>
  <c r="H470" i="1"/>
  <c r="G470" i="1"/>
  <c r="H468" i="1"/>
  <c r="G468" i="1"/>
  <c r="G462" i="1"/>
  <c r="H457" i="1"/>
  <c r="H458" i="1" s="1"/>
  <c r="G457" i="1"/>
  <c r="H454" i="1"/>
  <c r="G454" i="1"/>
  <c r="G453" i="1"/>
  <c r="H453" i="1" s="1"/>
  <c r="G451" i="1"/>
  <c r="H451" i="1" s="1"/>
  <c r="G445" i="1"/>
  <c r="G440" i="1"/>
  <c r="F440" i="1"/>
  <c r="F457" i="1" s="1"/>
  <c r="H437" i="1"/>
  <c r="G437" i="1"/>
  <c r="G436" i="1"/>
  <c r="H436" i="1" s="1"/>
  <c r="H434" i="1"/>
  <c r="G434" i="1"/>
  <c r="G428" i="1"/>
  <c r="H423" i="1"/>
  <c r="H424" i="1" s="1"/>
  <c r="G423" i="1"/>
  <c r="H420" i="1"/>
  <c r="G420" i="1"/>
  <c r="G419" i="1"/>
  <c r="H419" i="1" s="1"/>
  <c r="G417" i="1"/>
  <c r="H417" i="1" s="1"/>
  <c r="G411" i="1"/>
  <c r="H406" i="1"/>
  <c r="H407" i="1" s="1"/>
  <c r="G406" i="1"/>
  <c r="H403" i="1"/>
  <c r="G403" i="1"/>
  <c r="G402" i="1"/>
  <c r="H402" i="1" s="1"/>
  <c r="H400" i="1"/>
  <c r="G400" i="1"/>
  <c r="G394" i="1"/>
  <c r="H389" i="1"/>
  <c r="H390" i="1" s="1"/>
  <c r="G389" i="1"/>
  <c r="H386" i="1"/>
  <c r="G386" i="1"/>
  <c r="G385" i="1"/>
  <c r="H385" i="1" s="1"/>
  <c r="G383" i="1"/>
  <c r="H383" i="1" s="1"/>
  <c r="G377" i="1"/>
  <c r="H372" i="1"/>
  <c r="H373" i="1" s="1"/>
  <c r="G372" i="1"/>
  <c r="H369" i="1"/>
  <c r="G369" i="1"/>
  <c r="G368" i="1"/>
  <c r="H368" i="1" s="1"/>
  <c r="H366" i="1"/>
  <c r="G366" i="1"/>
  <c r="G360" i="1"/>
  <c r="H355" i="1"/>
  <c r="H356" i="1" s="1"/>
  <c r="G355" i="1"/>
  <c r="H352" i="1"/>
  <c r="G352" i="1"/>
  <c r="G351" i="1"/>
  <c r="H351" i="1" s="1"/>
  <c r="G349" i="1"/>
  <c r="H349" i="1" s="1"/>
  <c r="G343" i="1"/>
  <c r="H338" i="1"/>
  <c r="H339" i="1" s="1"/>
  <c r="G338" i="1"/>
  <c r="H335" i="1"/>
  <c r="G335" i="1"/>
  <c r="G334" i="1"/>
  <c r="H334" i="1" s="1"/>
  <c r="H332" i="1"/>
  <c r="G332" i="1"/>
  <c r="G326" i="1"/>
  <c r="H321" i="1"/>
  <c r="H322" i="1" s="1"/>
  <c r="G321" i="1"/>
  <c r="H318" i="1"/>
  <c r="G318" i="1"/>
  <c r="G317" i="1"/>
  <c r="H317" i="1" s="1"/>
  <c r="G315" i="1"/>
  <c r="H315" i="1" s="1"/>
  <c r="G309" i="1"/>
  <c r="H304" i="1"/>
  <c r="H305" i="1" s="1"/>
  <c r="G304" i="1"/>
  <c r="H301" i="1"/>
  <c r="G301" i="1"/>
  <c r="G300" i="1"/>
  <c r="H300" i="1" s="1"/>
  <c r="H298" i="1"/>
  <c r="G298" i="1"/>
  <c r="G292" i="1"/>
  <c r="G287" i="1"/>
  <c r="F287" i="1"/>
  <c r="H287" i="1" s="1"/>
  <c r="H288" i="1" s="1"/>
  <c r="H284" i="1"/>
  <c r="G284" i="1"/>
  <c r="H283" i="1"/>
  <c r="G283" i="1"/>
  <c r="G281" i="1"/>
  <c r="H281" i="1" s="1"/>
  <c r="G275" i="1"/>
  <c r="G270" i="1"/>
  <c r="H270" i="1" s="1"/>
  <c r="H271" i="1" s="1"/>
  <c r="G267" i="1"/>
  <c r="H267" i="1" s="1"/>
  <c r="H266" i="1"/>
  <c r="G266" i="1"/>
  <c r="G264" i="1"/>
  <c r="H264" i="1" s="1"/>
  <c r="G258" i="1"/>
  <c r="G253" i="1"/>
  <c r="H253" i="1" s="1"/>
  <c r="H254" i="1" s="1"/>
  <c r="H250" i="1"/>
  <c r="G250" i="1"/>
  <c r="H249" i="1"/>
  <c r="G249" i="1"/>
  <c r="G247" i="1"/>
  <c r="H247" i="1" s="1"/>
  <c r="G241" i="1"/>
  <c r="G236" i="1"/>
  <c r="H236" i="1" s="1"/>
  <c r="H237" i="1" s="1"/>
  <c r="G233" i="1"/>
  <c r="H233" i="1" s="1"/>
  <c r="H232" i="1"/>
  <c r="G232" i="1"/>
  <c r="G230" i="1"/>
  <c r="H230" i="1" s="1"/>
  <c r="G224" i="1"/>
  <c r="G219" i="1"/>
  <c r="H219" i="1" s="1"/>
  <c r="H220" i="1" s="1"/>
  <c r="H216" i="1"/>
  <c r="G216" i="1"/>
  <c r="H215" i="1"/>
  <c r="G215" i="1"/>
  <c r="G213" i="1"/>
  <c r="H213" i="1" s="1"/>
  <c r="G207" i="1"/>
  <c r="G202" i="1"/>
  <c r="H202" i="1" s="1"/>
  <c r="H203" i="1" s="1"/>
  <c r="G199" i="1"/>
  <c r="H199" i="1" s="1"/>
  <c r="H198" i="1"/>
  <c r="G198" i="1"/>
  <c r="G196" i="1"/>
  <c r="H196" i="1" s="1"/>
  <c r="G190" i="1"/>
  <c r="G185" i="1"/>
  <c r="H185" i="1" s="1"/>
  <c r="H186" i="1" s="1"/>
  <c r="H182" i="1"/>
  <c r="G182" i="1"/>
  <c r="H181" i="1"/>
  <c r="G181" i="1"/>
  <c r="G179" i="1"/>
  <c r="H179" i="1" s="1"/>
  <c r="G173" i="1"/>
  <c r="G168" i="1"/>
  <c r="H168" i="1" s="1"/>
  <c r="H169" i="1" s="1"/>
  <c r="G165" i="1"/>
  <c r="H165" i="1" s="1"/>
  <c r="H164" i="1"/>
  <c r="G164" i="1"/>
  <c r="G162" i="1"/>
  <c r="H162" i="1" s="1"/>
  <c r="G156" i="1"/>
  <c r="G151" i="1"/>
  <c r="H151" i="1" s="1"/>
  <c r="H152" i="1" s="1"/>
  <c r="H148" i="1"/>
  <c r="G148" i="1"/>
  <c r="H147" i="1"/>
  <c r="G147" i="1"/>
  <c r="G145" i="1"/>
  <c r="H145" i="1" s="1"/>
  <c r="G139" i="1"/>
  <c r="G134" i="1"/>
  <c r="H134" i="1" s="1"/>
  <c r="H135" i="1" s="1"/>
  <c r="G131" i="1"/>
  <c r="H131" i="1" s="1"/>
  <c r="H130" i="1"/>
  <c r="G130" i="1"/>
  <c r="G128" i="1"/>
  <c r="H128" i="1" s="1"/>
  <c r="G122" i="1"/>
  <c r="G117" i="1"/>
  <c r="F117" i="1"/>
  <c r="H117" i="1" s="1"/>
  <c r="H118" i="1" s="1"/>
  <c r="G114" i="1"/>
  <c r="H114" i="1" s="1"/>
  <c r="G113" i="1"/>
  <c r="H113" i="1" s="1"/>
  <c r="H111" i="1"/>
  <c r="G111" i="1"/>
  <c r="G105" i="1"/>
  <c r="G100" i="1"/>
  <c r="H100" i="1" s="1"/>
  <c r="H101" i="1" s="1"/>
  <c r="F100" i="1"/>
  <c r="H97" i="1"/>
  <c r="G97" i="1"/>
  <c r="G96" i="1"/>
  <c r="H96" i="1" s="1"/>
  <c r="G94" i="1"/>
  <c r="H94" i="1" s="1"/>
  <c r="G88" i="1"/>
  <c r="H83" i="1"/>
  <c r="H84" i="1" s="1"/>
  <c r="G83" i="1"/>
  <c r="H80" i="1"/>
  <c r="G80" i="1"/>
  <c r="G79" i="1"/>
  <c r="H79" i="1" s="1"/>
  <c r="G77" i="1"/>
  <c r="H77" i="1" s="1"/>
  <c r="G71" i="1"/>
  <c r="H66" i="1"/>
  <c r="H67" i="1" s="1"/>
  <c r="G66" i="1"/>
  <c r="H63" i="1"/>
  <c r="G63" i="1"/>
  <c r="G62" i="1"/>
  <c r="H62" i="1" s="1"/>
  <c r="G60" i="1"/>
  <c r="H60" i="1" s="1"/>
  <c r="G54" i="1"/>
  <c r="H49" i="1"/>
  <c r="H50" i="1" s="1"/>
  <c r="G49" i="1"/>
  <c r="H46" i="1"/>
  <c r="G46" i="1"/>
  <c r="G45" i="1"/>
  <c r="H45" i="1" s="1"/>
  <c r="D44" i="1"/>
  <c r="D61" i="1" s="1"/>
  <c r="G43" i="1"/>
  <c r="H43" i="1" s="1"/>
  <c r="G37" i="1"/>
  <c r="H32" i="1"/>
  <c r="H33" i="1" s="1"/>
  <c r="G32" i="1"/>
  <c r="H29" i="1"/>
  <c r="G29" i="1"/>
  <c r="G28" i="1"/>
  <c r="H28" i="1" s="1"/>
  <c r="D27" i="1"/>
  <c r="G27" i="1" s="1"/>
  <c r="H27" i="1" s="1"/>
  <c r="G26" i="1"/>
  <c r="H26" i="1" s="1"/>
  <c r="G20" i="1"/>
  <c r="H15" i="1"/>
  <c r="H16" i="1" s="1"/>
  <c r="G15" i="1"/>
  <c r="H12" i="1"/>
  <c r="G12" i="1"/>
  <c r="G11" i="1"/>
  <c r="H11" i="1" s="1"/>
  <c r="G10" i="1"/>
  <c r="H10" i="1" s="1"/>
  <c r="G9" i="1"/>
  <c r="H9" i="1" s="1"/>
  <c r="H995" i="1" l="1"/>
  <c r="H996" i="1" s="1"/>
  <c r="I980" i="1" s="1"/>
  <c r="H5823" i="1"/>
  <c r="I5808" i="1" s="1"/>
  <c r="H5822" i="1"/>
  <c r="H1032" i="1"/>
  <c r="H3669" i="1"/>
  <c r="H3670" i="1" s="1"/>
  <c r="I3655" i="1" s="1"/>
  <c r="H19" i="1"/>
  <c r="H30" i="1"/>
  <c r="H36" i="1" s="1"/>
  <c r="H1043" i="1"/>
  <c r="H1049" i="1" s="1"/>
  <c r="G61" i="1"/>
  <c r="H61" i="1" s="1"/>
  <c r="H64" i="1" s="1"/>
  <c r="H70" i="1" s="1"/>
  <c r="D78" i="1"/>
  <c r="H13" i="1"/>
  <c r="H4813" i="1"/>
  <c r="H4814" i="1" s="1"/>
  <c r="I4798" i="1" s="1"/>
  <c r="H2246" i="1"/>
  <c r="G44" i="1"/>
  <c r="H44" i="1" s="1"/>
  <c r="H47" i="1" s="1"/>
  <c r="H53" i="1" s="1"/>
  <c r="H3567" i="1"/>
  <c r="H3568" i="1" s="1"/>
  <c r="I3553" i="1" s="1"/>
  <c r="H2258" i="1"/>
  <c r="H2277" i="1"/>
  <c r="H2562" i="1"/>
  <c r="H2563" i="1" s="1"/>
  <c r="I2548" i="1" s="1"/>
  <c r="H3532" i="1"/>
  <c r="H2507" i="1"/>
  <c r="H2508" i="1" s="1"/>
  <c r="I2493" i="1" s="1"/>
  <c r="H1010" i="1"/>
  <c r="H3040" i="1"/>
  <c r="H3041" i="1" s="1"/>
  <c r="I3026" i="1" s="1"/>
  <c r="H3211" i="1"/>
  <c r="I3196" i="1" s="1"/>
  <c r="H3210" i="1"/>
  <c r="H3330" i="1"/>
  <c r="I3315" i="1" s="1"/>
  <c r="H3329" i="1"/>
  <c r="H3482" i="1"/>
  <c r="H3483" i="1" s="1"/>
  <c r="I3468" i="1" s="1"/>
  <c r="H3091" i="1"/>
  <c r="H3092" i="1" s="1"/>
  <c r="I3077" i="1" s="1"/>
  <c r="H3193" i="1"/>
  <c r="H3194" i="1" s="1"/>
  <c r="I3179" i="1" s="1"/>
  <c r="H3279" i="1"/>
  <c r="I3264" i="1" s="1"/>
  <c r="H3278" i="1"/>
  <c r="H2751" i="1"/>
  <c r="I2736" i="1" s="1"/>
  <c r="H2750" i="1"/>
  <c r="H2472" i="1"/>
  <c r="H1006" i="1"/>
  <c r="H440" i="1"/>
  <c r="H441" i="1" s="1"/>
  <c r="H2240" i="1"/>
  <c r="H2265" i="1"/>
  <c r="H1066" i="1"/>
  <c r="H2483" i="1"/>
  <c r="H2489" i="1" s="1"/>
  <c r="H2675" i="1"/>
  <c r="H2869" i="1"/>
  <c r="H2870" i="1" s="1"/>
  <c r="I2855" i="1" s="1"/>
  <c r="H3022" i="1"/>
  <c r="H3652" i="1"/>
  <c r="H3653" i="1" s="1"/>
  <c r="I3638" i="1" s="1"/>
  <c r="H2658" i="1"/>
  <c r="H2768" i="1"/>
  <c r="I2753" i="1" s="1"/>
  <c r="H2767" i="1"/>
  <c r="H2283" i="1"/>
  <c r="H3126" i="1"/>
  <c r="I3111" i="1" s="1"/>
  <c r="H3125" i="1"/>
  <c r="H4697" i="1"/>
  <c r="H4698" i="1" s="1"/>
  <c r="I4683" i="1" s="1"/>
  <c r="H2919" i="1"/>
  <c r="H3073" i="1"/>
  <c r="H3515" i="1"/>
  <c r="H2732" i="1"/>
  <c r="H2228" i="1"/>
  <c r="H2954" i="1"/>
  <c r="H3005" i="1"/>
  <c r="H3448" i="1"/>
  <c r="H3449" i="1" s="1"/>
  <c r="I3434" i="1" s="1"/>
  <c r="H2538" i="1"/>
  <c r="H2544" i="1" s="1"/>
  <c r="H2664" i="1"/>
  <c r="H3158" i="1"/>
  <c r="H2692" i="1"/>
  <c r="H2715" i="1"/>
  <c r="H3294" i="1"/>
  <c r="H2624" i="1"/>
  <c r="H2630" i="1" s="1"/>
  <c r="H2828" i="1"/>
  <c r="H2834" i="1" s="1"/>
  <c r="H2885" i="1"/>
  <c r="H2913" i="1"/>
  <c r="H2982" i="1"/>
  <c r="H3135" i="1"/>
  <c r="H3141" i="1" s="1"/>
  <c r="H3220" i="1"/>
  <c r="H3549" i="1"/>
  <c r="H4298" i="1"/>
  <c r="H4299" i="1" s="1"/>
  <c r="I4284" i="1" s="1"/>
  <c r="H2606" i="1"/>
  <c r="H2612" i="1" s="1"/>
  <c r="H2641" i="1"/>
  <c r="H2647" i="1" s="1"/>
  <c r="H2800" i="1"/>
  <c r="H3305" i="1"/>
  <c r="H3634" i="1"/>
  <c r="H2896" i="1"/>
  <c r="H3058" i="1"/>
  <c r="I3043" i="1" s="1"/>
  <c r="H3057" i="1"/>
  <c r="H3175" i="1"/>
  <c r="H3390" i="1"/>
  <c r="H3940" i="1"/>
  <c r="H4487" i="1"/>
  <c r="H4488" i="1" s="1"/>
  <c r="I4473" i="1" s="1"/>
  <c r="H2698" i="1"/>
  <c r="H2965" i="1"/>
  <c r="H4077" i="1"/>
  <c r="H4078" i="1" s="1"/>
  <c r="I4063" i="1" s="1"/>
  <c r="H4282" i="1"/>
  <c r="I4267" i="1" s="1"/>
  <c r="H4281" i="1"/>
  <c r="H4453" i="1"/>
  <c r="H4454" i="1" s="1"/>
  <c r="I4439" i="1" s="1"/>
  <c r="H4520" i="1"/>
  <c r="H3543" i="1"/>
  <c r="H3702" i="1"/>
  <c r="H3873" i="1"/>
  <c r="H3874" i="1" s="1"/>
  <c r="I3859" i="1" s="1"/>
  <c r="H5110" i="1"/>
  <c r="I5095" i="1" s="1"/>
  <c r="H5109" i="1"/>
  <c r="H2681" i="1"/>
  <c r="H2726" i="1"/>
  <c r="H2851" i="1"/>
  <c r="H2988" i="1"/>
  <c r="H3373" i="1"/>
  <c r="H3379" i="1" s="1"/>
  <c r="H4333" i="1"/>
  <c r="I4318" i="1" s="1"/>
  <c r="H4332" i="1"/>
  <c r="H2948" i="1"/>
  <c r="H3016" i="1"/>
  <c r="H3101" i="1"/>
  <c r="H3107" i="1" s="1"/>
  <c r="H3226" i="1"/>
  <c r="H3356" i="1"/>
  <c r="H3362" i="1" s="1"/>
  <c r="H3458" i="1"/>
  <c r="H3464" i="1" s="1"/>
  <c r="H3583" i="1"/>
  <c r="H3611" i="1"/>
  <c r="H3617" i="1" s="1"/>
  <c r="H3923" i="1"/>
  <c r="H4573" i="1"/>
  <c r="I4558" i="1" s="1"/>
  <c r="H4572" i="1"/>
  <c r="H2709" i="1"/>
  <c r="H3243" i="1"/>
  <c r="H3311" i="1"/>
  <c r="H3339" i="1"/>
  <c r="H3345" i="1" s="1"/>
  <c r="H3396" i="1"/>
  <c r="H3415" i="1"/>
  <c r="I3400" i="1" s="1"/>
  <c r="H3414" i="1"/>
  <c r="H3498" i="1"/>
  <c r="H4042" i="1"/>
  <c r="H2578" i="1"/>
  <c r="H2817" i="1"/>
  <c r="H2902" i="1"/>
  <c r="H3169" i="1"/>
  <c r="H3526" i="1"/>
  <c r="H3594" i="1"/>
  <c r="H3600" i="1" s="1"/>
  <c r="H3685" i="1"/>
  <c r="H3713" i="1"/>
  <c r="H3719" i="1" s="1"/>
  <c r="H3754" i="1"/>
  <c r="H3755" i="1" s="1"/>
  <c r="I3740" i="1" s="1"/>
  <c r="H4110" i="1"/>
  <c r="H4342" i="1"/>
  <c r="H2595" i="1"/>
  <c r="H2777" i="1"/>
  <c r="H2783" i="1" s="1"/>
  <c r="H2930" i="1"/>
  <c r="H2936" i="1" s="1"/>
  <c r="H2971" i="1"/>
  <c r="H3254" i="1"/>
  <c r="H3260" i="1" s="1"/>
  <c r="H3424" i="1"/>
  <c r="H3430" i="1" s="1"/>
  <c r="H3838" i="1"/>
  <c r="H3985" i="1"/>
  <c r="H3991" i="1" s="1"/>
  <c r="H3804" i="1"/>
  <c r="H3849" i="1"/>
  <c r="H3855" i="1" s="1"/>
  <c r="H3968" i="1"/>
  <c r="H4399" i="1"/>
  <c r="H4429" i="1"/>
  <c r="H6239" i="1"/>
  <c r="H6240" i="1" s="1"/>
  <c r="I6222" i="1" s="1"/>
  <c r="H6363" i="1"/>
  <c r="H4308" i="1"/>
  <c r="H4314" i="1" s="1"/>
  <c r="H4382" i="1"/>
  <c r="H5143" i="1"/>
  <c r="H5144" i="1" s="1"/>
  <c r="I5129" i="1" s="1"/>
  <c r="H5486" i="1"/>
  <c r="H5487" i="1"/>
  <c r="I5472" i="1" s="1"/>
  <c r="H4027" i="1"/>
  <c r="I4012" i="1" s="1"/>
  <c r="H4144" i="1"/>
  <c r="H4503" i="1"/>
  <c r="H4548" i="1"/>
  <c r="H4607" i="1"/>
  <c r="H4636" i="1"/>
  <c r="H4770" i="1"/>
  <c r="H3736" i="1"/>
  <c r="H3787" i="1"/>
  <c r="H3815" i="1"/>
  <c r="H3951" i="1"/>
  <c r="H3957" i="1" s="1"/>
  <c r="H4008" i="1"/>
  <c r="H4053" i="1"/>
  <c r="H4172" i="1"/>
  <c r="H4178" i="1" s="1"/>
  <c r="H4469" i="1"/>
  <c r="H4708" i="1"/>
  <c r="H4750" i="1"/>
  <c r="H4902" i="1"/>
  <c r="H3934" i="1"/>
  <c r="H4127" i="1"/>
  <c r="H4247" i="1"/>
  <c r="H4248" i="1" s="1"/>
  <c r="I4233" i="1" s="1"/>
  <c r="H4514" i="1"/>
  <c r="H4531" i="1"/>
  <c r="H4537" i="1" s="1"/>
  <c r="H4660" i="1"/>
  <c r="H4732" i="1"/>
  <c r="H3889" i="1"/>
  <c r="H4348" i="1"/>
  <c r="H4435" i="1"/>
  <c r="H4619" i="1"/>
  <c r="H4625" i="1" s="1"/>
  <c r="H5977" i="1"/>
  <c r="H3974" i="1"/>
  <c r="H4155" i="1"/>
  <c r="H4161" i="1" s="1"/>
  <c r="H4212" i="1"/>
  <c r="H4257" i="1"/>
  <c r="H4263" i="1" s="1"/>
  <c r="H5085" i="1"/>
  <c r="H3764" i="1"/>
  <c r="H3770" i="1" s="1"/>
  <c r="H3781" i="1"/>
  <c r="H3900" i="1"/>
  <c r="H3906" i="1" s="1"/>
  <c r="H3917" i="1"/>
  <c r="H4138" i="1"/>
  <c r="H4376" i="1"/>
  <c r="H4601" i="1"/>
  <c r="H4787" i="1"/>
  <c r="H4794" i="1" s="1"/>
  <c r="H5623" i="1"/>
  <c r="H4093" i="1"/>
  <c r="H4463" i="1"/>
  <c r="H4554" i="1"/>
  <c r="H4642" i="1"/>
  <c r="H4714" i="1"/>
  <c r="H4744" i="1"/>
  <c r="H4763" i="1"/>
  <c r="H3821" i="1"/>
  <c r="H4059" i="1"/>
  <c r="H4195" i="1"/>
  <c r="H4223" i="1"/>
  <c r="H4229" i="1" s="1"/>
  <c r="H4359" i="1"/>
  <c r="H4365" i="1" s="1"/>
  <c r="H4418" i="1"/>
  <c r="H4583" i="1"/>
  <c r="H4589" i="1" s="1"/>
  <c r="H4847" i="1"/>
  <c r="H4672" i="1"/>
  <c r="H4678" i="1" s="1"/>
  <c r="H5207" i="1"/>
  <c r="H5210" i="1" s="1"/>
  <c r="H5468" i="1"/>
  <c r="H5549" i="1"/>
  <c r="H6578" i="1"/>
  <c r="I6563" i="1" s="1"/>
  <c r="H6577" i="1"/>
  <c r="H5417" i="1"/>
  <c r="H5434" i="1"/>
  <c r="H4824" i="1"/>
  <c r="H4830" i="1" s="1"/>
  <c r="H4864" i="1"/>
  <c r="H5060" i="1"/>
  <c r="H5063" i="1" s="1"/>
  <c r="H5400" i="1"/>
  <c r="H5514" i="1"/>
  <c r="H5804" i="1"/>
  <c r="H5962" i="1"/>
  <c r="H6199" i="1"/>
  <c r="H4883" i="1"/>
  <c r="H4936" i="1"/>
  <c r="H4970" i="1"/>
  <c r="H5038" i="1"/>
  <c r="H5160" i="1"/>
  <c r="H5161" i="1" s="1"/>
  <c r="I5146" i="1" s="1"/>
  <c r="H5222" i="1"/>
  <c r="H5228" i="1" s="1"/>
  <c r="H5349" i="1"/>
  <c r="H5496" i="1"/>
  <c r="H5502" i="1" s="1"/>
  <c r="H5634" i="1"/>
  <c r="H5640" i="1" s="1"/>
  <c r="H5766" i="1"/>
  <c r="H5832" i="1"/>
  <c r="H5839" i="1" s="1"/>
  <c r="H5991" i="1"/>
  <c r="H5998" i="1" s="1"/>
  <c r="H6107" i="1"/>
  <c r="H6472" i="1"/>
  <c r="I6457" i="1" s="1"/>
  <c r="H6471" i="1"/>
  <c r="H6656" i="1"/>
  <c r="H6662" i="1" s="1"/>
  <c r="H6920" i="1"/>
  <c r="H4987" i="1"/>
  <c r="H5183" i="1"/>
  <c r="H5186" i="1" s="1"/>
  <c r="H5589" i="1"/>
  <c r="H5665" i="1"/>
  <c r="H5668" i="1" s="1"/>
  <c r="H5711" i="1"/>
  <c r="H5729" i="1"/>
  <c r="H5748" i="1"/>
  <c r="H6527" i="1"/>
  <c r="I6512" i="1" s="1"/>
  <c r="H6526" i="1"/>
  <c r="H6629" i="1"/>
  <c r="H6630" i="1" s="1"/>
  <c r="I6615" i="1" s="1"/>
  <c r="H6969" i="1"/>
  <c r="H6970" i="1" s="1"/>
  <c r="I6949" i="1" s="1"/>
  <c r="H5280" i="1"/>
  <c r="H5445" i="1"/>
  <c r="H5451" i="1" s="1"/>
  <c r="H5617" i="1"/>
  <c r="H5778" i="1"/>
  <c r="H5786" i="1" s="1"/>
  <c r="H6219" i="1"/>
  <c r="I6204" i="1" s="1"/>
  <c r="H6218" i="1"/>
  <c r="H5074" i="1"/>
  <c r="H5119" i="1"/>
  <c r="H5125" i="1" s="1"/>
  <c r="H5411" i="1"/>
  <c r="H5572" i="1"/>
  <c r="H6035" i="1"/>
  <c r="H6036" i="1" s="1"/>
  <c r="I6020" i="1" s="1"/>
  <c r="H6181" i="1"/>
  <c r="H6321" i="1"/>
  <c r="H6324" i="1" s="1"/>
  <c r="H5263" i="1"/>
  <c r="H5360" i="1"/>
  <c r="H5366" i="1" s="1"/>
  <c r="H5377" i="1"/>
  <c r="H5383" i="1" s="1"/>
  <c r="H5555" i="1"/>
  <c r="H5600" i="1"/>
  <c r="H5606" i="1" s="1"/>
  <c r="H5694" i="1"/>
  <c r="H5722" i="1"/>
  <c r="H5740" i="1"/>
  <c r="H5890" i="1"/>
  <c r="H5908" i="1"/>
  <c r="H6283" i="1"/>
  <c r="I6266" i="1" s="1"/>
  <c r="H6282" i="1"/>
  <c r="H4913" i="1"/>
  <c r="H4919" i="1" s="1"/>
  <c r="H4947" i="1"/>
  <c r="H4953" i="1" s="1"/>
  <c r="H4964" i="1"/>
  <c r="H4981" i="1"/>
  <c r="H4998" i="1"/>
  <c r="H5004" i="1" s="1"/>
  <c r="H5015" i="1"/>
  <c r="H5021" i="1" s="1"/>
  <c r="H5032" i="1"/>
  <c r="H5049" i="1"/>
  <c r="H5326" i="1"/>
  <c r="H5332" i="1" s="1"/>
  <c r="H5343" i="1"/>
  <c r="H5537" i="1"/>
  <c r="H5759" i="1"/>
  <c r="H5873" i="1"/>
  <c r="H6804" i="1"/>
  <c r="H5246" i="1"/>
  <c r="H5291" i="1"/>
  <c r="H5297" i="1" s="1"/>
  <c r="H5308" i="1"/>
  <c r="H5314" i="1" s="1"/>
  <c r="H5520" i="1"/>
  <c r="H5856" i="1"/>
  <c r="H5938" i="1"/>
  <c r="H5944" i="1" s="1"/>
  <c r="H6121" i="1"/>
  <c r="H6129" i="1" s="1"/>
  <c r="H6175" i="1"/>
  <c r="H6015" i="1"/>
  <c r="H6553" i="1"/>
  <c r="H8425" i="1"/>
  <c r="H8426" i="1" s="1"/>
  <c r="I8411" i="1" s="1"/>
  <c r="H6064" i="1"/>
  <c r="H6071" i="1" s="1"/>
  <c r="H6164" i="1"/>
  <c r="H6446" i="1"/>
  <c r="H7038" i="1"/>
  <c r="H7039" i="1" s="1"/>
  <c r="I7024" i="1" s="1"/>
  <c r="H8136" i="1"/>
  <c r="H6298" i="1"/>
  <c r="H6301" i="1" s="1"/>
  <c r="H6506" i="1"/>
  <c r="H6724" i="1"/>
  <c r="H6730" i="1" s="1"/>
  <c r="H8023" i="1"/>
  <c r="H8024" i="1"/>
  <c r="I8009" i="1" s="1"/>
  <c r="H5745" i="1"/>
  <c r="H5955" i="1"/>
  <c r="H6009" i="1"/>
  <c r="H6091" i="1"/>
  <c r="H6140" i="1"/>
  <c r="H6147" i="1" s="1"/>
  <c r="H6343" i="1"/>
  <c r="H6427" i="1"/>
  <c r="H6434" i="1" s="1"/>
  <c r="H6593" i="1"/>
  <c r="H6679" i="1"/>
  <c r="H5926" i="1"/>
  <c r="H6487" i="1"/>
  <c r="H6792" i="1"/>
  <c r="H5691" i="1"/>
  <c r="H5980" i="1"/>
  <c r="H6394" i="1"/>
  <c r="H6400" i="1" s="1"/>
  <c r="H6605" i="1"/>
  <c r="H6611" i="1" s="1"/>
  <c r="H6707" i="1"/>
  <c r="H6713" i="1" s="1"/>
  <c r="H6874" i="1"/>
  <c r="H7002" i="1"/>
  <c r="H8264" i="1"/>
  <c r="H5867" i="1"/>
  <c r="H6110" i="1"/>
  <c r="H6259" i="1"/>
  <c r="H6262" i="1" s="1"/>
  <c r="H6355" i="1"/>
  <c r="H6500" i="1"/>
  <c r="H6747" i="1"/>
  <c r="H6764" i="1"/>
  <c r="H6824" i="1"/>
  <c r="H6827" i="1" s="1"/>
  <c r="H7175" i="1"/>
  <c r="H7244" i="1"/>
  <c r="H6045" i="1"/>
  <c r="H6053" i="1" s="1"/>
  <c r="H6375" i="1"/>
  <c r="H6383" i="1" s="1"/>
  <c r="H6871" i="1"/>
  <c r="H6292" i="1"/>
  <c r="H6452" i="1"/>
  <c r="H6559" i="1"/>
  <c r="H6690" i="1"/>
  <c r="H6696" i="1" s="1"/>
  <c r="H6775" i="1"/>
  <c r="H6781" i="1" s="1"/>
  <c r="H6917" i="1"/>
  <c r="H7072" i="1"/>
  <c r="H6897" i="1"/>
  <c r="H7186" i="1"/>
  <c r="H7192" i="1" s="1"/>
  <c r="H7273" i="1"/>
  <c r="H7783" i="1"/>
  <c r="H6894" i="1"/>
  <c r="H6932" i="1"/>
  <c r="H6801" i="1"/>
  <c r="H7107" i="1"/>
  <c r="H7141" i="1"/>
  <c r="H6536" i="1"/>
  <c r="H6542" i="1" s="1"/>
  <c r="H6639" i="1"/>
  <c r="H6645" i="1" s="1"/>
  <c r="H6848" i="1"/>
  <c r="H7126" i="1"/>
  <c r="I7111" i="1" s="1"/>
  <c r="H7690" i="1"/>
  <c r="H7691" i="1" s="1"/>
  <c r="I7676" i="1" s="1"/>
  <c r="H8531" i="1"/>
  <c r="H6885" i="1"/>
  <c r="H7988" i="1"/>
  <c r="H8603" i="1"/>
  <c r="I8588" i="1" s="1"/>
  <c r="H8602" i="1"/>
  <c r="H6985" i="1"/>
  <c r="H7020" i="1"/>
  <c r="H7125" i="1"/>
  <c r="H7973" i="1"/>
  <c r="I7958" i="1" s="1"/>
  <c r="H7972" i="1"/>
  <c r="H8241" i="1"/>
  <c r="H8242" i="1" s="1"/>
  <c r="I8227" i="1" s="1"/>
  <c r="H6416" i="1"/>
  <c r="H7279" i="1"/>
  <c r="H7827" i="1"/>
  <c r="H8740" i="1"/>
  <c r="I8725" i="1" s="1"/>
  <c r="H8739" i="1"/>
  <c r="H6839" i="1"/>
  <c r="H6851" i="1" s="1"/>
  <c r="H6944" i="1"/>
  <c r="H7101" i="1"/>
  <c r="H7325" i="1"/>
  <c r="H7332" i="1" s="1"/>
  <c r="H7637" i="1"/>
  <c r="H7638" i="1"/>
  <c r="I7623" i="1" s="1"/>
  <c r="H8154" i="1"/>
  <c r="H8155" i="1" s="1"/>
  <c r="I8140" i="1" s="1"/>
  <c r="H6815" i="1"/>
  <c r="H6941" i="1"/>
  <c r="H6979" i="1"/>
  <c r="H7014" i="1"/>
  <c r="H7203" i="1"/>
  <c r="H7209" i="1" s="1"/>
  <c r="H7316" i="1"/>
  <c r="I7301" i="1" s="1"/>
  <c r="H7493" i="1"/>
  <c r="H7550" i="1"/>
  <c r="H7654" i="1"/>
  <c r="H7700" i="1"/>
  <c r="H7718" i="1"/>
  <c r="H7724" i="1" s="1"/>
  <c r="H7861" i="1"/>
  <c r="H7954" i="1"/>
  <c r="H7999" i="1"/>
  <c r="H8005" i="1" s="1"/>
  <c r="H8062" i="1"/>
  <c r="H8080" i="1"/>
  <c r="H8081" i="1" s="1"/>
  <c r="I8066" i="1" s="1"/>
  <c r="H8671" i="1"/>
  <c r="H8672" i="1" s="1"/>
  <c r="I8657" i="1" s="1"/>
  <c r="H8774" i="1"/>
  <c r="I8759" i="1" s="1"/>
  <c r="H8773" i="1"/>
  <c r="H7350" i="1"/>
  <c r="H7561" i="1"/>
  <c r="H8223" i="1"/>
  <c r="H8298" i="1"/>
  <c r="H9152" i="1"/>
  <c r="H9153" i="1" s="1"/>
  <c r="I9138" i="1" s="1"/>
  <c r="H7089" i="1"/>
  <c r="H7158" i="1"/>
  <c r="H7844" i="1"/>
  <c r="H8059" i="1"/>
  <c r="H8091" i="1"/>
  <c r="H8097" i="1" s="1"/>
  <c r="H8109" i="1"/>
  <c r="H8115" i="1" s="1"/>
  <c r="H8327" i="1"/>
  <c r="H8334" i="1" s="1"/>
  <c r="H7369" i="1"/>
  <c r="H7499" i="1"/>
  <c r="H8390" i="1"/>
  <c r="H8407" i="1"/>
  <c r="H7344" i="1"/>
  <c r="H7527" i="1"/>
  <c r="H7533" i="1" s="1"/>
  <c r="H7584" i="1"/>
  <c r="H7752" i="1"/>
  <c r="H7759" i="1" s="1"/>
  <c r="H7872" i="1"/>
  <c r="H7878" i="1" s="1"/>
  <c r="H7936" i="1"/>
  <c r="H8133" i="1"/>
  <c r="H8350" i="1"/>
  <c r="H8353" i="1" s="1"/>
  <c r="H8566" i="1"/>
  <c r="H8635" i="1"/>
  <c r="H7054" i="1"/>
  <c r="H7452" i="1"/>
  <c r="H7464" i="1" s="1"/>
  <c r="H7612" i="1"/>
  <c r="H7618" i="1" s="1"/>
  <c r="H7706" i="1"/>
  <c r="H7855" i="1"/>
  <c r="H8187" i="1"/>
  <c r="H8205" i="1"/>
  <c r="H8281" i="1"/>
  <c r="H8310" i="1"/>
  <c r="H8316" i="1" s="1"/>
  <c r="H8876" i="1"/>
  <c r="H8877" i="1" s="1"/>
  <c r="I8862" i="1" s="1"/>
  <c r="H7226" i="1"/>
  <c r="H7362" i="1"/>
  <c r="H7434" i="1"/>
  <c r="H7440" i="1" s="1"/>
  <c r="H7567" i="1"/>
  <c r="H7948" i="1"/>
  <c r="H8039" i="1"/>
  <c r="H8401" i="1"/>
  <c r="H8459" i="1"/>
  <c r="H8704" i="1"/>
  <c r="H7261" i="1"/>
  <c r="H7417" i="1"/>
  <c r="H7423" i="1" s="1"/>
  <c r="H7482" i="1"/>
  <c r="H7510" i="1"/>
  <c r="H7516" i="1" s="1"/>
  <c r="H7735" i="1"/>
  <c r="H7741" i="1" s="1"/>
  <c r="H7805" i="1"/>
  <c r="H7808" i="1" s="1"/>
  <c r="H8217" i="1"/>
  <c r="H8292" i="1"/>
  <c r="H8488" i="1"/>
  <c r="H8495" i="1" s="1"/>
  <c r="H8980" i="1"/>
  <c r="H8981" i="1" s="1"/>
  <c r="I8966" i="1" s="1"/>
  <c r="H7296" i="1"/>
  <c r="H7381" i="1"/>
  <c r="H7388" i="1" s="1"/>
  <c r="H7399" i="1"/>
  <c r="H7405" i="1" s="1"/>
  <c r="H7595" i="1"/>
  <c r="H7601" i="1" s="1"/>
  <c r="H7671" i="1"/>
  <c r="H7898" i="1"/>
  <c r="I7883" i="1" s="1"/>
  <c r="H7897" i="1"/>
  <c r="H7913" i="1"/>
  <c r="H8170" i="1"/>
  <c r="H8681" i="1"/>
  <c r="H8687" i="1" s="1"/>
  <c r="H9255" i="1"/>
  <c r="I9240" i="1" s="1"/>
  <c r="H9254" i="1"/>
  <c r="H8783" i="1"/>
  <c r="H8789" i="1" s="1"/>
  <c r="H8909" i="1"/>
  <c r="H9060" i="1"/>
  <c r="H9066" i="1" s="1"/>
  <c r="H8373" i="1"/>
  <c r="H8938" i="1"/>
  <c r="H9014" i="1"/>
  <c r="H9119" i="1"/>
  <c r="I9104" i="1" s="1"/>
  <c r="H9083" i="1"/>
  <c r="H7982" i="1"/>
  <c r="H8253" i="1"/>
  <c r="H8507" i="1"/>
  <c r="H8513" i="1" s="1"/>
  <c r="H8806" i="1"/>
  <c r="H8892" i="1"/>
  <c r="H8920" i="1"/>
  <c r="H8926" i="1" s="1"/>
  <c r="H9118" i="1"/>
  <c r="H9202" i="1"/>
  <c r="H8944" i="1"/>
  <c r="H9230" i="1"/>
  <c r="H8652" i="1"/>
  <c r="H8817" i="1"/>
  <c r="H8823" i="1" s="1"/>
  <c r="H8998" i="1"/>
  <c r="H8999" i="1" s="1"/>
  <c r="I8984" i="1" s="1"/>
  <c r="H8721" i="1"/>
  <c r="H8858" i="1"/>
  <c r="H9270" i="1"/>
  <c r="H7665" i="1"/>
  <c r="H8477" i="1"/>
  <c r="H8578" i="1"/>
  <c r="H8584" i="1" s="1"/>
  <c r="H8841" i="1"/>
  <c r="H8886" i="1"/>
  <c r="H9236" i="1"/>
  <c r="H9031" i="1"/>
  <c r="H9179" i="1"/>
  <c r="H9185" i="1" s="1"/>
  <c r="H9309" i="1"/>
  <c r="H9312" i="1" s="1"/>
  <c r="H9213" i="1"/>
  <c r="H9219" i="1" s="1"/>
  <c r="H9282" i="1"/>
  <c r="H9329" i="1"/>
  <c r="H8442" i="1"/>
  <c r="H8549" i="1"/>
  <c r="H8618" i="1"/>
  <c r="H8755" i="1"/>
  <c r="H9042" i="1"/>
  <c r="H9048" i="1" s="1"/>
  <c r="H8961" i="1"/>
  <c r="H9100" i="1"/>
  <c r="H9134" i="1"/>
  <c r="H9168" i="1"/>
  <c r="H9332" i="1"/>
  <c r="H9288" i="1"/>
  <c r="H9291" i="1" s="1"/>
  <c r="H7619" i="1" l="1"/>
  <c r="H7620" i="1" s="1"/>
  <c r="I7605" i="1" s="1"/>
  <c r="H3108" i="1"/>
  <c r="H3109" i="1" s="1"/>
  <c r="I3094" i="1" s="1"/>
  <c r="H5384" i="1"/>
  <c r="H5385" i="1"/>
  <c r="I5370" i="1" s="1"/>
  <c r="H7441" i="1"/>
  <c r="H7442" i="1" s="1"/>
  <c r="I7427" i="1" s="1"/>
  <c r="H4954" i="1"/>
  <c r="H4955" i="1"/>
  <c r="I4940" i="1" s="1"/>
  <c r="H5367" i="1"/>
  <c r="H5368" i="1"/>
  <c r="I5353" i="1" s="1"/>
  <c r="H5064" i="1"/>
  <c r="H5065" i="1" s="1"/>
  <c r="I5042" i="1" s="1"/>
  <c r="H4590" i="1"/>
  <c r="H4591" i="1" s="1"/>
  <c r="I4576" i="1" s="1"/>
  <c r="H4264" i="1"/>
  <c r="H4265" i="1"/>
  <c r="I4250" i="1" s="1"/>
  <c r="H3431" i="1"/>
  <c r="H3432" i="1"/>
  <c r="I3417" i="1" s="1"/>
  <c r="H7809" i="1"/>
  <c r="H7810" i="1"/>
  <c r="I7787" i="1" s="1"/>
  <c r="H6782" i="1"/>
  <c r="H6783" i="1"/>
  <c r="I6768" i="1" s="1"/>
  <c r="H4920" i="1"/>
  <c r="H4921" i="1"/>
  <c r="I4906" i="1" s="1"/>
  <c r="H5452" i="1"/>
  <c r="H5453" i="1"/>
  <c r="I5438" i="1" s="1"/>
  <c r="H5229" i="1"/>
  <c r="H5230" i="1"/>
  <c r="I5215" i="1" s="1"/>
  <c r="H71" i="1"/>
  <c r="H72" i="1" s="1"/>
  <c r="I57" i="1" s="1"/>
  <c r="H9220" i="1"/>
  <c r="H9221" i="1" s="1"/>
  <c r="I9206" i="1" s="1"/>
  <c r="H5298" i="1"/>
  <c r="H5299" i="1"/>
  <c r="I5284" i="1" s="1"/>
  <c r="H4538" i="1"/>
  <c r="H4539" i="1" s="1"/>
  <c r="I4524" i="1" s="1"/>
  <c r="H7333" i="1"/>
  <c r="H7334" i="1"/>
  <c r="I7318" i="1" s="1"/>
  <c r="H8335" i="1"/>
  <c r="H8336" i="1"/>
  <c r="I8320" i="1" s="1"/>
  <c r="H6663" i="1"/>
  <c r="H6664" i="1" s="1"/>
  <c r="I6649" i="1" s="1"/>
  <c r="H4230" i="1"/>
  <c r="H4231" i="1"/>
  <c r="I4216" i="1" s="1"/>
  <c r="H4795" i="1"/>
  <c r="H4796" i="1" s="1"/>
  <c r="I4780" i="1" s="1"/>
  <c r="H2937" i="1"/>
  <c r="H2938" i="1" s="1"/>
  <c r="I2923" i="1" s="1"/>
  <c r="H3380" i="1"/>
  <c r="H3381" i="1" s="1"/>
  <c r="I3366" i="1" s="1"/>
  <c r="H2835" i="1"/>
  <c r="H2836" i="1" s="1"/>
  <c r="I2821" i="1" s="1"/>
  <c r="H37" i="1"/>
  <c r="H38" i="1" s="1"/>
  <c r="I23" i="1" s="1"/>
  <c r="H5503" i="1"/>
  <c r="H5504" i="1"/>
  <c r="I5489" i="1" s="1"/>
  <c r="H9186" i="1"/>
  <c r="H9187" i="1" s="1"/>
  <c r="I9172" i="1" s="1"/>
  <c r="H6543" i="1"/>
  <c r="H6544" i="1" s="1"/>
  <c r="I6529" i="1" s="1"/>
  <c r="H9049" i="1"/>
  <c r="H9050" i="1" s="1"/>
  <c r="I9035" i="1" s="1"/>
  <c r="H7602" i="1"/>
  <c r="H7603" i="1"/>
  <c r="I7588" i="1" s="1"/>
  <c r="H7424" i="1"/>
  <c r="H7425" i="1"/>
  <c r="I7410" i="1" s="1"/>
  <c r="H8317" i="1"/>
  <c r="H8318" i="1" s="1"/>
  <c r="I8303" i="1" s="1"/>
  <c r="H8116" i="1"/>
  <c r="H8117" i="1" s="1"/>
  <c r="I8102" i="1" s="1"/>
  <c r="H6852" i="1"/>
  <c r="H6853" i="1"/>
  <c r="I6832" i="1" s="1"/>
  <c r="H2784" i="1"/>
  <c r="H2785" i="1" s="1"/>
  <c r="I2770" i="1" s="1"/>
  <c r="H8688" i="1"/>
  <c r="H8689" i="1" s="1"/>
  <c r="I8674" i="1" s="1"/>
  <c r="H6148" i="1"/>
  <c r="H6149" i="1" s="1"/>
  <c r="I6133" i="1" s="1"/>
  <c r="H5333" i="1"/>
  <c r="H5334" i="1"/>
  <c r="I5319" i="1" s="1"/>
  <c r="H4626" i="1"/>
  <c r="H4627" i="1" s="1"/>
  <c r="I4612" i="1" s="1"/>
  <c r="H3618" i="1"/>
  <c r="H3619" i="1"/>
  <c r="I3604" i="1" s="1"/>
  <c r="H6714" i="1"/>
  <c r="H6715" i="1"/>
  <c r="I6700" i="1" s="1"/>
  <c r="H4679" i="1"/>
  <c r="H4680" i="1" s="1"/>
  <c r="I4665" i="1" s="1"/>
  <c r="H3346" i="1"/>
  <c r="H3347" i="1" s="1"/>
  <c r="I3332" i="1" s="1"/>
  <c r="H6646" i="1"/>
  <c r="H6647" i="1" s="1"/>
  <c r="I6632" i="1" s="1"/>
  <c r="H6697" i="1"/>
  <c r="H6698" i="1" s="1"/>
  <c r="I6683" i="1" s="1"/>
  <c r="H4831" i="1"/>
  <c r="H4832" i="1" s="1"/>
  <c r="I4817" i="1" s="1"/>
  <c r="H5945" i="1"/>
  <c r="H5946" i="1" s="1"/>
  <c r="I5931" i="1" s="1"/>
  <c r="H2490" i="1"/>
  <c r="H2491" i="1" s="1"/>
  <c r="I2476" i="1" s="1"/>
  <c r="H5641" i="1"/>
  <c r="H5642" i="1" s="1"/>
  <c r="I5627" i="1" s="1"/>
  <c r="H3771" i="1"/>
  <c r="H3772" i="1"/>
  <c r="I3757" i="1" s="1"/>
  <c r="H3601" i="1"/>
  <c r="H3602" i="1" s="1"/>
  <c r="I3587" i="1" s="1"/>
  <c r="H7742" i="1"/>
  <c r="H7743" i="1"/>
  <c r="I7728" i="1" s="1"/>
  <c r="H7517" i="1"/>
  <c r="H7518" i="1" s="1"/>
  <c r="I7503" i="1" s="1"/>
  <c r="H4162" i="1"/>
  <c r="H4163" i="1" s="1"/>
  <c r="I4148" i="1" s="1"/>
  <c r="H8585" i="1"/>
  <c r="H8586" i="1" s="1"/>
  <c r="I8571" i="1" s="1"/>
  <c r="H6731" i="1"/>
  <c r="H6732" i="1" s="1"/>
  <c r="I6717" i="1" s="1"/>
  <c r="H8927" i="1"/>
  <c r="H8928" i="1" s="1"/>
  <c r="I8913" i="1" s="1"/>
  <c r="H7389" i="1"/>
  <c r="H7390" i="1"/>
  <c r="I7374" i="1" s="1"/>
  <c r="H8790" i="1"/>
  <c r="H8791" i="1" s="1"/>
  <c r="I8776" i="1" s="1"/>
  <c r="H7760" i="1"/>
  <c r="H7761" i="1" s="1"/>
  <c r="I7745" i="1" s="1"/>
  <c r="H6384" i="1"/>
  <c r="H6385" i="1" s="1"/>
  <c r="I6368" i="1" s="1"/>
  <c r="H5126" i="1"/>
  <c r="H5127" i="1" s="1"/>
  <c r="I5112" i="1" s="1"/>
  <c r="H5999" i="1"/>
  <c r="H6000" i="1" s="1"/>
  <c r="I5984" i="1" s="1"/>
  <c r="H2613" i="1"/>
  <c r="H2614" i="1"/>
  <c r="I2599" i="1" s="1"/>
  <c r="H9313" i="1"/>
  <c r="H9314" i="1" s="1"/>
  <c r="I9296" i="1" s="1"/>
  <c r="H6612" i="1"/>
  <c r="H6613" i="1" s="1"/>
  <c r="I6598" i="1" s="1"/>
  <c r="H8824" i="1"/>
  <c r="H8825" i="1" s="1"/>
  <c r="I8810" i="1" s="1"/>
  <c r="H8098" i="1"/>
  <c r="H8099" i="1"/>
  <c r="I8084" i="1" s="1"/>
  <c r="H6130" i="1"/>
  <c r="H6131" i="1" s="1"/>
  <c r="I6114" i="1" s="1"/>
  <c r="H7879" i="1"/>
  <c r="H7880" i="1"/>
  <c r="I7865" i="1" s="1"/>
  <c r="H8006" i="1"/>
  <c r="H8007" i="1"/>
  <c r="I7992" i="1" s="1"/>
  <c r="H6054" i="1"/>
  <c r="H6055" i="1" s="1"/>
  <c r="I6038" i="1" s="1"/>
  <c r="H6435" i="1"/>
  <c r="H6436" i="1" s="1"/>
  <c r="I6420" i="1" s="1"/>
  <c r="H5022" i="1"/>
  <c r="H5023" i="1"/>
  <c r="I5008" i="1" s="1"/>
  <c r="H4179" i="1"/>
  <c r="H4180" i="1" s="1"/>
  <c r="I4165" i="1" s="1"/>
  <c r="H3856" i="1"/>
  <c r="H3857" i="1"/>
  <c r="I3842" i="1" s="1"/>
  <c r="H3363" i="1"/>
  <c r="H3364" i="1" s="1"/>
  <c r="I3349" i="1" s="1"/>
  <c r="H54" i="1"/>
  <c r="H55" i="1" s="1"/>
  <c r="I40" i="1" s="1"/>
  <c r="H3992" i="1"/>
  <c r="H3993" i="1" s="1"/>
  <c r="I3978" i="1" s="1"/>
  <c r="H7725" i="1"/>
  <c r="H7726" i="1" s="1"/>
  <c r="I7711" i="1" s="1"/>
  <c r="H5787" i="1"/>
  <c r="H5788" i="1" s="1"/>
  <c r="I5771" i="1" s="1"/>
  <c r="H3142" i="1"/>
  <c r="H3143" i="1" s="1"/>
  <c r="I3128" i="1" s="1"/>
  <c r="H6401" i="1"/>
  <c r="H6402" i="1"/>
  <c r="I6387" i="1" s="1"/>
  <c r="H9067" i="1"/>
  <c r="H9068" i="1" s="1"/>
  <c r="I9053" i="1" s="1"/>
  <c r="H7406" i="1"/>
  <c r="H7407" i="1" s="1"/>
  <c r="I7392" i="1" s="1"/>
  <c r="H7210" i="1"/>
  <c r="H7211" i="1" s="1"/>
  <c r="I7196" i="1" s="1"/>
  <c r="H9292" i="1"/>
  <c r="H9293" i="1" s="1"/>
  <c r="I9275" i="1" s="1"/>
  <c r="H8514" i="1"/>
  <c r="H8515" i="1" s="1"/>
  <c r="I8500" i="1" s="1"/>
  <c r="H8496" i="1"/>
  <c r="H8497" i="1" s="1"/>
  <c r="I8481" i="1" s="1"/>
  <c r="H7534" i="1"/>
  <c r="H7535" i="1"/>
  <c r="I7520" i="1" s="1"/>
  <c r="H7193" i="1"/>
  <c r="H7194" i="1" s="1"/>
  <c r="I7179" i="1" s="1"/>
  <c r="H5315" i="1"/>
  <c r="H5316" i="1"/>
  <c r="I5301" i="1" s="1"/>
  <c r="H5005" i="1"/>
  <c r="H5006" i="1" s="1"/>
  <c r="I4991" i="1" s="1"/>
  <c r="H5607" i="1"/>
  <c r="H5608" i="1" s="1"/>
  <c r="I5593" i="1" s="1"/>
  <c r="H5211" i="1"/>
  <c r="H5212" i="1"/>
  <c r="I5190" i="1" s="1"/>
  <c r="H3720" i="1"/>
  <c r="H3721" i="1" s="1"/>
  <c r="I3706" i="1" s="1"/>
  <c r="H8910" i="1"/>
  <c r="H8911" i="1" s="1"/>
  <c r="I8896" i="1" s="1"/>
  <c r="H7370" i="1"/>
  <c r="H7371" i="1" s="1"/>
  <c r="I7355" i="1" s="1"/>
  <c r="H6680" i="1"/>
  <c r="H6681" i="1"/>
  <c r="I6666" i="1" s="1"/>
  <c r="H4715" i="1"/>
  <c r="H4716" i="1" s="1"/>
  <c r="I4701" i="1" s="1"/>
  <c r="H2801" i="1"/>
  <c r="H2802" i="1" s="1"/>
  <c r="I2787" i="1" s="1"/>
  <c r="H7003" i="1"/>
  <c r="H7004" i="1" s="1"/>
  <c r="I6989" i="1" s="1"/>
  <c r="H4903" i="1"/>
  <c r="H4904" i="1" s="1"/>
  <c r="I4889" i="1" s="1"/>
  <c r="H3924" i="1"/>
  <c r="H3925" i="1" s="1"/>
  <c r="I3910" i="1" s="1"/>
  <c r="H2545" i="1"/>
  <c r="H2546" i="1" s="1"/>
  <c r="I2531" i="1" s="1"/>
  <c r="H8807" i="1"/>
  <c r="H8808" i="1" s="1"/>
  <c r="I8793" i="1" s="1"/>
  <c r="H7465" i="1"/>
  <c r="H7466" i="1"/>
  <c r="I7445" i="1" s="1"/>
  <c r="H7585" i="1"/>
  <c r="H7586" i="1" s="1"/>
  <c r="I7571" i="1" s="1"/>
  <c r="H8299" i="1"/>
  <c r="H8300" i="1" s="1"/>
  <c r="I8285" i="1" s="1"/>
  <c r="H7955" i="1"/>
  <c r="H7956" i="1"/>
  <c r="I7941" i="1" s="1"/>
  <c r="H7073" i="1"/>
  <c r="H7074" i="1" s="1"/>
  <c r="I7059" i="1" s="1"/>
  <c r="H7245" i="1"/>
  <c r="H7246" i="1" s="1"/>
  <c r="I7231" i="1" s="1"/>
  <c r="H6875" i="1"/>
  <c r="H6876" i="1"/>
  <c r="I6855" i="1" s="1"/>
  <c r="H5556" i="1"/>
  <c r="H5557" i="1"/>
  <c r="I5542" i="1" s="1"/>
  <c r="H4884" i="1"/>
  <c r="H4885" i="1" s="1"/>
  <c r="I4870" i="1" s="1"/>
  <c r="H5418" i="1"/>
  <c r="H5419" i="1"/>
  <c r="I5404" i="1" s="1"/>
  <c r="H4419" i="1"/>
  <c r="H4420" i="1" s="1"/>
  <c r="I4405" i="1" s="1"/>
  <c r="H4555" i="1"/>
  <c r="H4556" i="1" s="1"/>
  <c r="I4541" i="1" s="1"/>
  <c r="H5088" i="1"/>
  <c r="H4349" i="1"/>
  <c r="H4350" i="1" s="1"/>
  <c r="I4335" i="1" s="1"/>
  <c r="H4752" i="1"/>
  <c r="I4737" i="1" s="1"/>
  <c r="H4751" i="1"/>
  <c r="H4384" i="1"/>
  <c r="I4369" i="1" s="1"/>
  <c r="H4383" i="1"/>
  <c r="H3499" i="1"/>
  <c r="H3500" i="1" s="1"/>
  <c r="I3485" i="1" s="1"/>
  <c r="H2990" i="1"/>
  <c r="I2975" i="1" s="1"/>
  <c r="H2989" i="1"/>
  <c r="H2632" i="1"/>
  <c r="I2617" i="1" s="1"/>
  <c r="H2631" i="1"/>
  <c r="H5840" i="1"/>
  <c r="H5841" i="1" s="1"/>
  <c r="I5825" i="1" s="1"/>
  <c r="H2248" i="1"/>
  <c r="I2233" i="1" s="1"/>
  <c r="H2247" i="1"/>
  <c r="H8620" i="1"/>
  <c r="I8605" i="1" s="1"/>
  <c r="H8619" i="1"/>
  <c r="H9032" i="1"/>
  <c r="H9033" i="1" s="1"/>
  <c r="I9018" i="1" s="1"/>
  <c r="H7484" i="1"/>
  <c r="I7469" i="1" s="1"/>
  <c r="H7483" i="1"/>
  <c r="H8224" i="1"/>
  <c r="H8225" i="1" s="1"/>
  <c r="I8210" i="1" s="1"/>
  <c r="H7862" i="1"/>
  <c r="H7863" i="1" s="1"/>
  <c r="I7848" i="1" s="1"/>
  <c r="H7143" i="1"/>
  <c r="I7128" i="1" s="1"/>
  <c r="H7142" i="1"/>
  <c r="H7177" i="1"/>
  <c r="I7162" i="1" s="1"/>
  <c r="H7176" i="1"/>
  <c r="H6302" i="1"/>
  <c r="H6303" i="1" s="1"/>
  <c r="I6285" i="1" s="1"/>
  <c r="H5247" i="1"/>
  <c r="H5248" i="1" s="1"/>
  <c r="I5233" i="1" s="1"/>
  <c r="H6201" i="1"/>
  <c r="I6186" i="1" s="1"/>
  <c r="H6200" i="1"/>
  <c r="H4366" i="1"/>
  <c r="H4367" i="1" s="1"/>
  <c r="I4352" i="1" s="1"/>
  <c r="H3891" i="1"/>
  <c r="I3876" i="1" s="1"/>
  <c r="H3890" i="1"/>
  <c r="H4772" i="1"/>
  <c r="I4756" i="1" s="1"/>
  <c r="H4771" i="1"/>
  <c r="H4315" i="1"/>
  <c r="H4316" i="1" s="1"/>
  <c r="I4301" i="1" s="1"/>
  <c r="H2853" i="1"/>
  <c r="I2838" i="1" s="1"/>
  <c r="H2852" i="1"/>
  <c r="H3942" i="1"/>
  <c r="I3927" i="1" s="1"/>
  <c r="H3941" i="1"/>
  <c r="H3295" i="1"/>
  <c r="H3296" i="1" s="1"/>
  <c r="I3281" i="1" s="1"/>
  <c r="H3075" i="1"/>
  <c r="I3060" i="1" s="1"/>
  <c r="H3074" i="1"/>
  <c r="H2267" i="1"/>
  <c r="I2251" i="1" s="1"/>
  <c r="H2266" i="1"/>
  <c r="H2473" i="1"/>
  <c r="H2474" i="1" s="1"/>
  <c r="I2459" i="1" s="1"/>
  <c r="H2887" i="1"/>
  <c r="I2872" i="1" s="1"/>
  <c r="H2886" i="1"/>
  <c r="H8757" i="1"/>
  <c r="I8742" i="1" s="1"/>
  <c r="H8756" i="1"/>
  <c r="H6986" i="1"/>
  <c r="H6987" i="1"/>
  <c r="I6972" i="1" s="1"/>
  <c r="H6828" i="1"/>
  <c r="H6829" i="1" s="1"/>
  <c r="I6808" i="1" s="1"/>
  <c r="H6345" i="1"/>
  <c r="I6328" i="1" s="1"/>
  <c r="H6344" i="1"/>
  <c r="H8137" i="1"/>
  <c r="H8138" i="1"/>
  <c r="I8120" i="1" s="1"/>
  <c r="H6017" i="1"/>
  <c r="I6002" i="1" s="1"/>
  <c r="H6016" i="1"/>
  <c r="H6806" i="1"/>
  <c r="I6785" i="1" s="1"/>
  <c r="H6805" i="1"/>
  <c r="H5749" i="1"/>
  <c r="H5750" i="1" s="1"/>
  <c r="I5733" i="1" s="1"/>
  <c r="H6922" i="1"/>
  <c r="I6901" i="1" s="1"/>
  <c r="H6921" i="1"/>
  <c r="H5964" i="1"/>
  <c r="I5948" i="1" s="1"/>
  <c r="H5963" i="1"/>
  <c r="H4094" i="1"/>
  <c r="H4095" i="1" s="1"/>
  <c r="I4080" i="1" s="1"/>
  <c r="H4214" i="1"/>
  <c r="I4199" i="1" s="1"/>
  <c r="H4213" i="1"/>
  <c r="H4733" i="1"/>
  <c r="H4734" i="1" s="1"/>
  <c r="I4719" i="1" s="1"/>
  <c r="H6364" i="1"/>
  <c r="H6365" i="1" s="1"/>
  <c r="I6348" i="1" s="1"/>
  <c r="H3840" i="1"/>
  <c r="I3825" i="1" s="1"/>
  <c r="H3839" i="1"/>
  <c r="H3687" i="1"/>
  <c r="I3672" i="1" s="1"/>
  <c r="H3686" i="1"/>
  <c r="H3584" i="1"/>
  <c r="H3585" i="1" s="1"/>
  <c r="I3570" i="1" s="1"/>
  <c r="H2716" i="1"/>
  <c r="H2717" i="1" s="1"/>
  <c r="I2702" i="1" s="1"/>
  <c r="H2921" i="1"/>
  <c r="I2906" i="1" s="1"/>
  <c r="H2920" i="1"/>
  <c r="H3533" i="1"/>
  <c r="H3534" i="1" s="1"/>
  <c r="I3519" i="1" s="1"/>
  <c r="H1050" i="1"/>
  <c r="H1051" i="1" s="1"/>
  <c r="I1036" i="1" s="1"/>
  <c r="H21" i="1"/>
  <c r="I6" i="1" s="1"/>
  <c r="H20" i="1"/>
  <c r="H3788" i="1"/>
  <c r="H3789" i="1" s="1"/>
  <c r="I3774" i="1" s="1"/>
  <c r="H5435" i="1"/>
  <c r="H5436" i="1" s="1"/>
  <c r="I5421" i="1" s="1"/>
  <c r="H3806" i="1"/>
  <c r="I3791" i="1" s="1"/>
  <c r="H3805" i="1"/>
  <c r="H2648" i="1"/>
  <c r="H2649" i="1" s="1"/>
  <c r="I2634" i="1" s="1"/>
  <c r="H8654" i="1"/>
  <c r="I8639" i="1" s="1"/>
  <c r="H8653" i="1"/>
  <c r="H7056" i="1"/>
  <c r="I7041" i="1" s="1"/>
  <c r="H7055" i="1"/>
  <c r="H7280" i="1"/>
  <c r="H7281" i="1" s="1"/>
  <c r="I7266" i="1" s="1"/>
  <c r="H6766" i="1"/>
  <c r="I6751" i="1" s="1"/>
  <c r="H6765" i="1"/>
  <c r="H5875" i="1"/>
  <c r="I5860" i="1" s="1"/>
  <c r="H5874" i="1"/>
  <c r="H5264" i="1"/>
  <c r="H5265" i="1"/>
  <c r="I5250" i="1" s="1"/>
  <c r="H5731" i="1"/>
  <c r="I5715" i="1" s="1"/>
  <c r="H5730" i="1"/>
  <c r="H5350" i="1"/>
  <c r="H5351" i="1" s="1"/>
  <c r="I5336" i="1" s="1"/>
  <c r="H5805" i="1"/>
  <c r="H5806" i="1"/>
  <c r="I5791" i="1" s="1"/>
  <c r="H4197" i="1"/>
  <c r="I4182" i="1" s="1"/>
  <c r="H4196" i="1"/>
  <c r="H5625" i="1"/>
  <c r="I5610" i="1" s="1"/>
  <c r="H5624" i="1"/>
  <c r="H4661" i="1"/>
  <c r="H4662" i="1"/>
  <c r="I4647" i="1" s="1"/>
  <c r="H4470" i="1"/>
  <c r="H4471" i="1" s="1"/>
  <c r="I4456" i="1" s="1"/>
  <c r="H4609" i="1"/>
  <c r="I4594" i="1" s="1"/>
  <c r="H4608" i="1"/>
  <c r="H3397" i="1"/>
  <c r="H3398" i="1" s="1"/>
  <c r="I3383" i="1" s="1"/>
  <c r="H3466" i="1"/>
  <c r="I3451" i="1" s="1"/>
  <c r="H3465" i="1"/>
  <c r="H2683" i="1"/>
  <c r="I2668" i="1" s="1"/>
  <c r="H2682" i="1"/>
  <c r="H3176" i="1"/>
  <c r="H3177" i="1" s="1"/>
  <c r="I3162" i="1" s="1"/>
  <c r="H7707" i="1"/>
  <c r="H7708" i="1" s="1"/>
  <c r="I7693" i="1" s="1"/>
  <c r="H4972" i="1"/>
  <c r="I4957" i="1" s="1"/>
  <c r="H4971" i="1"/>
  <c r="H7672" i="1"/>
  <c r="H7673" i="1"/>
  <c r="I7658" i="1" s="1"/>
  <c r="H4988" i="1"/>
  <c r="H4989" i="1" s="1"/>
  <c r="I4974" i="1" s="1"/>
  <c r="H7351" i="1"/>
  <c r="H7352" i="1" s="1"/>
  <c r="I7337" i="1" s="1"/>
  <c r="H9333" i="1"/>
  <c r="H9334" i="1" s="1"/>
  <c r="I9316" i="1" s="1"/>
  <c r="H8843" i="1"/>
  <c r="I8828" i="1" s="1"/>
  <c r="H8842" i="1"/>
  <c r="H8945" i="1"/>
  <c r="H8946" i="1" s="1"/>
  <c r="I8931" i="1" s="1"/>
  <c r="H9084" i="1"/>
  <c r="H9085" i="1" s="1"/>
  <c r="I9070" i="1" s="1"/>
  <c r="H8706" i="1"/>
  <c r="I8691" i="1" s="1"/>
  <c r="H8705" i="1"/>
  <c r="H8409" i="1"/>
  <c r="I8394" i="1" s="1"/>
  <c r="H8408" i="1"/>
  <c r="H6417" i="1"/>
  <c r="H6418" i="1"/>
  <c r="I6405" i="1" s="1"/>
  <c r="H8532" i="1"/>
  <c r="H8533" i="1" s="1"/>
  <c r="I8518" i="1" s="1"/>
  <c r="H6748" i="1"/>
  <c r="H6749" i="1" s="1"/>
  <c r="I6734" i="1" s="1"/>
  <c r="H5981" i="1"/>
  <c r="H5982" i="1"/>
  <c r="I5966" i="1" s="1"/>
  <c r="H6093" i="1"/>
  <c r="I6076" i="1" s="1"/>
  <c r="H6092" i="1"/>
  <c r="H6326" i="1"/>
  <c r="I6305" i="1" s="1"/>
  <c r="H6325" i="1"/>
  <c r="H5712" i="1"/>
  <c r="H5713" i="1"/>
  <c r="I5698" i="1" s="1"/>
  <c r="H3262" i="1"/>
  <c r="I3247" i="1" s="1"/>
  <c r="H3261" i="1"/>
  <c r="H3551" i="1"/>
  <c r="I3536" i="1" s="1"/>
  <c r="H3550" i="1"/>
  <c r="H3006" i="1"/>
  <c r="H3007" i="1" s="1"/>
  <c r="I2992" i="1" s="1"/>
  <c r="H8266" i="1"/>
  <c r="I8246" i="1" s="1"/>
  <c r="H8265" i="1"/>
  <c r="H4522" i="1"/>
  <c r="I4507" i="1" s="1"/>
  <c r="H4521" i="1"/>
  <c r="H8893" i="1"/>
  <c r="H8894" i="1" s="1"/>
  <c r="I8879" i="1" s="1"/>
  <c r="H9170" i="1"/>
  <c r="I9155" i="1" s="1"/>
  <c r="H9169" i="1"/>
  <c r="H6183" i="1"/>
  <c r="I6168" i="1" s="1"/>
  <c r="H6182" i="1"/>
  <c r="H5669" i="1"/>
  <c r="H5670" i="1" s="1"/>
  <c r="I5646" i="1" s="1"/>
  <c r="H5469" i="1"/>
  <c r="H5470" i="1" s="1"/>
  <c r="I5455" i="1" s="1"/>
  <c r="H4060" i="1"/>
  <c r="H4061" i="1" s="1"/>
  <c r="I4046" i="1" s="1"/>
  <c r="H3975" i="1"/>
  <c r="H3976" i="1" s="1"/>
  <c r="I3961" i="1" s="1"/>
  <c r="H4505" i="1"/>
  <c r="I4490" i="1" s="1"/>
  <c r="H4504" i="1"/>
  <c r="H2973" i="1"/>
  <c r="I2958" i="1" s="1"/>
  <c r="H2972" i="1"/>
  <c r="H3312" i="1"/>
  <c r="H3313" i="1"/>
  <c r="I3298" i="1" s="1"/>
  <c r="H3227" i="1"/>
  <c r="H3228" i="1" s="1"/>
  <c r="I3213" i="1" s="1"/>
  <c r="H2956" i="1"/>
  <c r="I2941" i="1" s="1"/>
  <c r="H2955" i="1"/>
  <c r="H7021" i="1"/>
  <c r="H7022" i="1"/>
  <c r="I7007" i="1" s="1"/>
  <c r="H5521" i="1"/>
  <c r="H5522" i="1" s="1"/>
  <c r="I5507" i="1" s="1"/>
  <c r="H2666" i="1"/>
  <c r="I2651" i="1" s="1"/>
  <c r="H2665" i="1"/>
  <c r="H6594" i="1"/>
  <c r="H6595" i="1" s="1"/>
  <c r="I6580" i="1" s="1"/>
  <c r="H5767" i="1"/>
  <c r="H5768" i="1" s="1"/>
  <c r="I5752" i="1" s="1"/>
  <c r="H4436" i="1"/>
  <c r="H4437" i="1" s="1"/>
  <c r="I4422" i="1" s="1"/>
  <c r="H4043" i="1"/>
  <c r="H4044" i="1" s="1"/>
  <c r="I4029" i="1" s="1"/>
  <c r="H3517" i="1"/>
  <c r="I3502" i="1" s="1"/>
  <c r="H3516" i="1"/>
  <c r="H7829" i="1"/>
  <c r="I7814" i="1" s="1"/>
  <c r="H7828" i="1"/>
  <c r="H7845" i="1"/>
  <c r="H7846" i="1"/>
  <c r="I7831" i="1" s="1"/>
  <c r="H8479" i="1"/>
  <c r="I8464" i="1" s="1"/>
  <c r="H8478" i="1"/>
  <c r="H6454" i="1"/>
  <c r="I6439" i="1" s="1"/>
  <c r="H6453" i="1"/>
  <c r="H5909" i="1"/>
  <c r="H5910" i="1" s="1"/>
  <c r="I5895" i="1" s="1"/>
  <c r="H5591" i="1"/>
  <c r="I5576" i="1" s="1"/>
  <c r="H5590" i="1"/>
  <c r="H5401" i="1"/>
  <c r="H5402" i="1" s="1"/>
  <c r="I5387" i="1" s="1"/>
  <c r="H3822" i="1"/>
  <c r="H3823" i="1"/>
  <c r="I3808" i="1" s="1"/>
  <c r="H4146" i="1"/>
  <c r="I4131" i="1" s="1"/>
  <c r="H4145" i="1"/>
  <c r="H2904" i="1"/>
  <c r="I2889" i="1" s="1"/>
  <c r="H2903" i="1"/>
  <c r="H3244" i="1"/>
  <c r="H3245" i="1" s="1"/>
  <c r="I3230" i="1" s="1"/>
  <c r="H3160" i="1"/>
  <c r="I3145" i="1" s="1"/>
  <c r="H3159" i="1"/>
  <c r="H5696" i="1"/>
  <c r="I5672" i="1" s="1"/>
  <c r="H5695" i="1"/>
  <c r="H7568" i="1"/>
  <c r="H7569" i="1"/>
  <c r="I7554" i="1" s="1"/>
  <c r="H6898" i="1"/>
  <c r="H6899" i="1"/>
  <c r="I6878" i="1" s="1"/>
  <c r="H8550" i="1"/>
  <c r="H8551" i="1" s="1"/>
  <c r="I8536" i="1" s="1"/>
  <c r="H7227" i="1"/>
  <c r="H7228" i="1" s="1"/>
  <c r="I7213" i="1" s="1"/>
  <c r="H9203" i="1"/>
  <c r="H9204" i="1" s="1"/>
  <c r="I9189" i="1" s="1"/>
  <c r="H8460" i="1"/>
  <c r="H8461" i="1"/>
  <c r="I8446" i="1" s="1"/>
  <c r="H8391" i="1"/>
  <c r="H8392" i="1" s="1"/>
  <c r="I8377" i="1" s="1"/>
  <c r="H5538" i="1"/>
  <c r="H5539" i="1"/>
  <c r="I5524" i="1" s="1"/>
  <c r="H9135" i="1"/>
  <c r="H9136" i="1" s="1"/>
  <c r="I9121" i="1" s="1"/>
  <c r="H9015" i="1"/>
  <c r="H9016" i="1" s="1"/>
  <c r="I9001" i="1" s="1"/>
  <c r="H8282" i="1"/>
  <c r="H8283" i="1" s="1"/>
  <c r="I8268" i="1" s="1"/>
  <c r="H8567" i="1"/>
  <c r="H8568" i="1" s="1"/>
  <c r="I8553" i="1" s="1"/>
  <c r="H7655" i="1"/>
  <c r="H7656" i="1" s="1"/>
  <c r="I7641" i="1" s="1"/>
  <c r="H8206" i="1"/>
  <c r="H8207" i="1" s="1"/>
  <c r="I8192" i="1" s="1"/>
  <c r="H8354" i="1"/>
  <c r="H8355" i="1" s="1"/>
  <c r="I8339" i="1" s="1"/>
  <c r="H7551" i="1"/>
  <c r="H7552" i="1" s="1"/>
  <c r="I7537" i="1" s="1"/>
  <c r="H6263" i="1"/>
  <c r="H6264" i="1" s="1"/>
  <c r="I6243" i="1" s="1"/>
  <c r="H6488" i="1"/>
  <c r="H6489" i="1" s="1"/>
  <c r="I6474" i="1" s="1"/>
  <c r="H6165" i="1"/>
  <c r="H6166" i="1" s="1"/>
  <c r="I6151" i="1" s="1"/>
  <c r="H5891" i="1"/>
  <c r="H5892" i="1"/>
  <c r="I5877" i="1" s="1"/>
  <c r="H5281" i="1"/>
  <c r="H5282" i="1"/>
  <c r="I5267" i="1" s="1"/>
  <c r="H4009" i="1"/>
  <c r="H4010" i="1" s="1"/>
  <c r="I3995" i="1" s="1"/>
  <c r="H4400" i="1"/>
  <c r="H4401" i="1" s="1"/>
  <c r="I4386" i="1" s="1"/>
  <c r="H2818" i="1"/>
  <c r="H2819" i="1"/>
  <c r="I2804" i="1" s="1"/>
  <c r="H2229" i="1"/>
  <c r="H2230" i="1" s="1"/>
  <c r="I2215" i="1" s="1"/>
  <c r="H8722" i="1"/>
  <c r="H8723" i="1" s="1"/>
  <c r="I8708" i="1" s="1"/>
  <c r="H8063" i="1"/>
  <c r="H8064" i="1"/>
  <c r="I8043" i="1" s="1"/>
  <c r="H4848" i="1"/>
  <c r="H4849" i="1" s="1"/>
  <c r="I4834" i="1" s="1"/>
  <c r="H4111" i="1"/>
  <c r="H4112" i="1" s="1"/>
  <c r="I4097" i="1" s="1"/>
  <c r="H2733" i="1"/>
  <c r="H2734" i="1" s="1"/>
  <c r="I2719" i="1" s="1"/>
  <c r="H6507" i="1"/>
  <c r="H6508" i="1" s="1"/>
  <c r="I6493" i="1" s="1"/>
  <c r="H4643" i="1"/>
  <c r="H4644" i="1" s="1"/>
  <c r="I4629" i="1" s="1"/>
  <c r="H3737" i="1"/>
  <c r="H3738" i="1" s="1"/>
  <c r="I3723" i="1" s="1"/>
  <c r="H2284" i="1"/>
  <c r="H2285" i="1" s="1"/>
  <c r="I2270" i="1" s="1"/>
  <c r="H9237" i="1"/>
  <c r="H9238" i="1" s="1"/>
  <c r="I9223" i="1" s="1"/>
  <c r="H7989" i="1"/>
  <c r="H7990" i="1"/>
  <c r="I7975" i="1" s="1"/>
  <c r="H7297" i="1"/>
  <c r="H7298" i="1" s="1"/>
  <c r="I7283" i="1" s="1"/>
  <c r="H6560" i="1"/>
  <c r="H6561" i="1" s="1"/>
  <c r="I6546" i="1" s="1"/>
  <c r="H9271" i="1"/>
  <c r="H9272" i="1" s="1"/>
  <c r="I9257" i="1" s="1"/>
  <c r="H7914" i="1"/>
  <c r="H7915" i="1"/>
  <c r="I7900" i="1" s="1"/>
  <c r="H8188" i="1"/>
  <c r="H8189" i="1"/>
  <c r="I8174" i="1" s="1"/>
  <c r="H7159" i="1"/>
  <c r="H7160" i="1" s="1"/>
  <c r="I7145" i="1" s="1"/>
  <c r="H7784" i="1"/>
  <c r="H7785" i="1" s="1"/>
  <c r="I7764" i="1" s="1"/>
  <c r="H6111" i="1"/>
  <c r="H6112" i="1" s="1"/>
  <c r="I6095" i="1" s="1"/>
  <c r="H5927" i="1"/>
  <c r="H5928" i="1" s="1"/>
  <c r="I5912" i="1" s="1"/>
  <c r="H6072" i="1"/>
  <c r="H6073" i="1" s="1"/>
  <c r="I6057" i="1" s="1"/>
  <c r="H5857" i="1"/>
  <c r="H5858" i="1"/>
  <c r="I5843" i="1" s="1"/>
  <c r="H5573" i="1"/>
  <c r="H5574" i="1" s="1"/>
  <c r="I5559" i="1" s="1"/>
  <c r="H5039" i="1"/>
  <c r="H5040" i="1" s="1"/>
  <c r="I5025" i="1" s="1"/>
  <c r="H4128" i="1"/>
  <c r="H4129" i="1" s="1"/>
  <c r="I4114" i="1" s="1"/>
  <c r="H3958" i="1"/>
  <c r="H3959" i="1" s="1"/>
  <c r="I3944" i="1" s="1"/>
  <c r="H2596" i="1"/>
  <c r="H2597" i="1" s="1"/>
  <c r="I2582" i="1" s="1"/>
  <c r="H2579" i="1"/>
  <c r="H2580" i="1" s="1"/>
  <c r="I2565" i="1" s="1"/>
  <c r="H3703" i="1"/>
  <c r="H3704" i="1" s="1"/>
  <c r="I3689" i="1" s="1"/>
  <c r="H3636" i="1"/>
  <c r="I3621" i="1" s="1"/>
  <c r="H3635" i="1"/>
  <c r="H3023" i="1"/>
  <c r="H3024" i="1"/>
  <c r="I3009" i="1" s="1"/>
  <c r="H1013" i="1"/>
  <c r="D95" i="1"/>
  <c r="G78" i="1"/>
  <c r="H78" i="1" s="1"/>
  <c r="H81" i="1" s="1"/>
  <c r="H87" i="1" s="1"/>
  <c r="H1034" i="1"/>
  <c r="I1018" i="1" s="1"/>
  <c r="H1033" i="1"/>
  <c r="H6945" i="1"/>
  <c r="H6946" i="1" s="1"/>
  <c r="I6925" i="1" s="1"/>
  <c r="H2699" i="1"/>
  <c r="H2700" i="1" s="1"/>
  <c r="I2685" i="1" s="1"/>
  <c r="H1067" i="1"/>
  <c r="H1068" i="1" s="1"/>
  <c r="I1053" i="1" s="1"/>
  <c r="H4938" i="1"/>
  <c r="I4923" i="1" s="1"/>
  <c r="H4937" i="1"/>
  <c r="H7108" i="1"/>
  <c r="H7109" i="1"/>
  <c r="I7094" i="1" s="1"/>
  <c r="H8444" i="1"/>
  <c r="I8429" i="1" s="1"/>
  <c r="H8443" i="1"/>
  <c r="H7263" i="1"/>
  <c r="I7248" i="1" s="1"/>
  <c r="H7262" i="1"/>
  <c r="H8171" i="1"/>
  <c r="H8172" i="1" s="1"/>
  <c r="I8157" i="1" s="1"/>
  <c r="H8637" i="1"/>
  <c r="I8622" i="1" s="1"/>
  <c r="H8636" i="1"/>
  <c r="H9102" i="1"/>
  <c r="I9087" i="1" s="1"/>
  <c r="H9101" i="1"/>
  <c r="H8374" i="1"/>
  <c r="H8375" i="1" s="1"/>
  <c r="I8360" i="1" s="1"/>
  <c r="H8041" i="1"/>
  <c r="I8026" i="1" s="1"/>
  <c r="H8040" i="1"/>
  <c r="H7500" i="1"/>
  <c r="H7501" i="1" s="1"/>
  <c r="I7486" i="1" s="1"/>
  <c r="H8962" i="1"/>
  <c r="H8963" i="1" s="1"/>
  <c r="I8948" i="1" s="1"/>
  <c r="H8860" i="1"/>
  <c r="I8845" i="1" s="1"/>
  <c r="H8859" i="1"/>
  <c r="H7938" i="1"/>
  <c r="I7917" i="1" s="1"/>
  <c r="H7937" i="1"/>
  <c r="H7090" i="1"/>
  <c r="H7091" i="1" s="1"/>
  <c r="I7076" i="1" s="1"/>
  <c r="H5188" i="1"/>
  <c r="I5166" i="1" s="1"/>
  <c r="H5187" i="1"/>
  <c r="H4865" i="1"/>
  <c r="H4866" i="1" s="1"/>
  <c r="I4851" i="1" s="1"/>
  <c r="H3907" i="1"/>
  <c r="H3908" i="1" s="1"/>
  <c r="I3893" i="1" s="1"/>
  <c r="G95" i="1" l="1"/>
  <c r="H95" i="1" s="1"/>
  <c r="H98" i="1" s="1"/>
  <c r="H104" i="1" s="1"/>
  <c r="D112" i="1"/>
  <c r="H1014" i="1"/>
  <c r="H1015" i="1" s="1"/>
  <c r="I999" i="1" s="1"/>
  <c r="H5089" i="1"/>
  <c r="H5090" i="1" s="1"/>
  <c r="I5067" i="1" s="1"/>
  <c r="H88" i="1"/>
  <c r="H89" i="1" s="1"/>
  <c r="I74" i="1" s="1"/>
  <c r="D129" i="1" l="1"/>
  <c r="G112" i="1"/>
  <c r="H112" i="1" s="1"/>
  <c r="H115" i="1" s="1"/>
  <c r="H121" i="1" s="1"/>
  <c r="H105" i="1"/>
  <c r="H106" i="1"/>
  <c r="I91" i="1" s="1"/>
  <c r="H122" i="1" l="1"/>
  <c r="H123" i="1" s="1"/>
  <c r="I108" i="1" s="1"/>
  <c r="G129" i="1"/>
  <c r="H129" i="1" s="1"/>
  <c r="H132" i="1" s="1"/>
  <c r="H138" i="1" s="1"/>
  <c r="D146" i="1"/>
  <c r="D163" i="1" l="1"/>
  <c r="G146" i="1"/>
  <c r="H146" i="1" s="1"/>
  <c r="H149" i="1" s="1"/>
  <c r="H155" i="1" s="1"/>
  <c r="H139" i="1"/>
  <c r="H140" i="1"/>
  <c r="I125" i="1" s="1"/>
  <c r="H156" i="1" l="1"/>
  <c r="H157" i="1" s="1"/>
  <c r="I142" i="1" s="1"/>
  <c r="G163" i="1"/>
  <c r="H163" i="1" s="1"/>
  <c r="H166" i="1" s="1"/>
  <c r="H172" i="1" s="1"/>
  <c r="D180" i="1"/>
  <c r="D197" i="1" l="1"/>
  <c r="G180" i="1"/>
  <c r="H180" i="1" s="1"/>
  <c r="H183" i="1" s="1"/>
  <c r="H189" i="1" s="1"/>
  <c r="H173" i="1"/>
  <c r="H174" i="1" s="1"/>
  <c r="I159" i="1" s="1"/>
  <c r="H190" i="1" l="1"/>
  <c r="H191" i="1" s="1"/>
  <c r="I176" i="1" s="1"/>
  <c r="G197" i="1"/>
  <c r="H197" i="1" s="1"/>
  <c r="H200" i="1" s="1"/>
  <c r="H206" i="1" s="1"/>
  <c r="D214" i="1"/>
  <c r="D231" i="1" l="1"/>
  <c r="G214" i="1"/>
  <c r="H214" i="1" s="1"/>
  <c r="H217" i="1" s="1"/>
  <c r="H223" i="1" s="1"/>
  <c r="H207" i="1"/>
  <c r="H208" i="1"/>
  <c r="I193" i="1" s="1"/>
  <c r="H224" i="1" l="1"/>
  <c r="H225" i="1" s="1"/>
  <c r="I210" i="1" s="1"/>
  <c r="D248" i="1"/>
  <c r="G231" i="1"/>
  <c r="H231" i="1" s="1"/>
  <c r="H234" i="1" s="1"/>
  <c r="H240" i="1" s="1"/>
  <c r="H241" i="1" l="1"/>
  <c r="H242" i="1" s="1"/>
  <c r="I227" i="1" s="1"/>
  <c r="D265" i="1"/>
  <c r="G248" i="1"/>
  <c r="H248" i="1" s="1"/>
  <c r="H251" i="1" s="1"/>
  <c r="H257" i="1" s="1"/>
  <c r="H259" i="1" l="1"/>
  <c r="I244" i="1" s="1"/>
  <c r="H258" i="1"/>
  <c r="D282" i="1"/>
  <c r="G265" i="1"/>
  <c r="H265" i="1" s="1"/>
  <c r="H268" i="1" s="1"/>
  <c r="H274" i="1" s="1"/>
  <c r="H275" i="1" l="1"/>
  <c r="H276" i="1"/>
  <c r="I261" i="1" s="1"/>
  <c r="D299" i="1"/>
  <c r="G282" i="1"/>
  <c r="H282" i="1" s="1"/>
  <c r="H285" i="1" s="1"/>
  <c r="H291" i="1" s="1"/>
  <c r="H292" i="1" l="1"/>
  <c r="H293" i="1" s="1"/>
  <c r="I278" i="1" s="1"/>
  <c r="G299" i="1"/>
  <c r="H299" i="1" s="1"/>
  <c r="H302" i="1" s="1"/>
  <c r="H308" i="1" s="1"/>
  <c r="D316" i="1"/>
  <c r="G316" i="1" l="1"/>
  <c r="H316" i="1" s="1"/>
  <c r="H319" i="1" s="1"/>
  <c r="H325" i="1" s="1"/>
  <c r="D333" i="1"/>
  <c r="H309" i="1"/>
  <c r="H310" i="1" s="1"/>
  <c r="I295" i="1" s="1"/>
  <c r="D350" i="1" l="1"/>
  <c r="G333" i="1"/>
  <c r="H333" i="1" s="1"/>
  <c r="H336" i="1" s="1"/>
  <c r="H342" i="1" s="1"/>
  <c r="H326" i="1"/>
  <c r="H327" i="1" s="1"/>
  <c r="I312" i="1" s="1"/>
  <c r="H343" i="1" l="1"/>
  <c r="H344" i="1"/>
  <c r="I329" i="1" s="1"/>
  <c r="D367" i="1"/>
  <c r="G350" i="1"/>
  <c r="H350" i="1" s="1"/>
  <c r="H353" i="1" s="1"/>
  <c r="H359" i="1" s="1"/>
  <c r="H360" i="1" l="1"/>
  <c r="H361" i="1" s="1"/>
  <c r="I346" i="1" s="1"/>
  <c r="G367" i="1"/>
  <c r="H367" i="1" s="1"/>
  <c r="H370" i="1" s="1"/>
  <c r="H376" i="1" s="1"/>
  <c r="D384" i="1"/>
  <c r="H377" i="1" l="1"/>
  <c r="H378" i="1"/>
  <c r="I363" i="1" s="1"/>
  <c r="G384" i="1"/>
  <c r="H384" i="1" s="1"/>
  <c r="H387" i="1" s="1"/>
  <c r="H393" i="1" s="1"/>
  <c r="D401" i="1"/>
  <c r="G401" i="1" l="1"/>
  <c r="H401" i="1" s="1"/>
  <c r="H404" i="1" s="1"/>
  <c r="H410" i="1" s="1"/>
  <c r="D418" i="1"/>
  <c r="H394" i="1"/>
  <c r="H395" i="1" s="1"/>
  <c r="I380" i="1" s="1"/>
  <c r="G418" i="1" l="1"/>
  <c r="H418" i="1" s="1"/>
  <c r="H421" i="1" s="1"/>
  <c r="H427" i="1" s="1"/>
  <c r="D435" i="1"/>
  <c r="H411" i="1"/>
  <c r="H412" i="1"/>
  <c r="I397" i="1" s="1"/>
  <c r="D452" i="1" l="1"/>
  <c r="G435" i="1"/>
  <c r="H435" i="1" s="1"/>
  <c r="H438" i="1" s="1"/>
  <c r="H444" i="1" s="1"/>
  <c r="H428" i="1"/>
  <c r="H429" i="1" s="1"/>
  <c r="I414" i="1" s="1"/>
  <c r="H445" i="1" l="1"/>
  <c r="H446" i="1" s="1"/>
  <c r="I431" i="1" s="1"/>
  <c r="D469" i="1"/>
  <c r="G452" i="1"/>
  <c r="H452" i="1" s="1"/>
  <c r="H455" i="1" s="1"/>
  <c r="H461" i="1" s="1"/>
  <c r="H462" i="1" l="1"/>
  <c r="H463" i="1" s="1"/>
  <c r="I448" i="1" s="1"/>
  <c r="G469" i="1"/>
  <c r="H469" i="1" s="1"/>
  <c r="H472" i="1" s="1"/>
  <c r="H478" i="1" s="1"/>
  <c r="D486" i="1"/>
  <c r="D503" i="1" l="1"/>
  <c r="G486" i="1"/>
  <c r="H486" i="1" s="1"/>
  <c r="H489" i="1" s="1"/>
  <c r="H495" i="1" s="1"/>
  <c r="H479" i="1"/>
  <c r="H480" i="1"/>
  <c r="I465" i="1" s="1"/>
  <c r="H496" i="1" l="1"/>
  <c r="H497" i="1" s="1"/>
  <c r="I482" i="1" s="1"/>
  <c r="G503" i="1"/>
  <c r="H503" i="1" s="1"/>
  <c r="H506" i="1" s="1"/>
  <c r="H512" i="1" s="1"/>
  <c r="D520" i="1"/>
  <c r="D537" i="1" l="1"/>
  <c r="G520" i="1"/>
  <c r="H520" i="1" s="1"/>
  <c r="H523" i="1" s="1"/>
  <c r="H529" i="1" s="1"/>
  <c r="H513" i="1"/>
  <c r="H514" i="1"/>
  <c r="I499" i="1" s="1"/>
  <c r="H530" i="1" l="1"/>
  <c r="H531" i="1" s="1"/>
  <c r="I516" i="1" s="1"/>
  <c r="G537" i="1"/>
  <c r="H537" i="1" s="1"/>
  <c r="H540" i="1" s="1"/>
  <c r="H546" i="1" s="1"/>
  <c r="D554" i="1"/>
  <c r="G554" i="1" l="1"/>
  <c r="H554" i="1" s="1"/>
  <c r="H557" i="1" s="1"/>
  <c r="H563" i="1" s="1"/>
  <c r="D571" i="1"/>
  <c r="H547" i="1"/>
  <c r="H548" i="1"/>
  <c r="I533" i="1" s="1"/>
  <c r="G571" i="1" l="1"/>
  <c r="H571" i="1" s="1"/>
  <c r="H574" i="1" s="1"/>
  <c r="H580" i="1" s="1"/>
  <c r="D588" i="1"/>
  <c r="H564" i="1"/>
  <c r="H565" i="1" s="1"/>
  <c r="I550" i="1" s="1"/>
  <c r="D605" i="1" l="1"/>
  <c r="G588" i="1"/>
  <c r="H588" i="1" s="1"/>
  <c r="H591" i="1" s="1"/>
  <c r="H597" i="1" s="1"/>
  <c r="H581" i="1"/>
  <c r="H582" i="1"/>
  <c r="I567" i="1" s="1"/>
  <c r="H598" i="1" l="1"/>
  <c r="H599" i="1"/>
  <c r="I584" i="1" s="1"/>
  <c r="G605" i="1"/>
  <c r="H605" i="1" s="1"/>
  <c r="H608" i="1" s="1"/>
  <c r="H614" i="1" s="1"/>
  <c r="D622" i="1"/>
  <c r="G622" i="1" l="1"/>
  <c r="H622" i="1" s="1"/>
  <c r="H625" i="1" s="1"/>
  <c r="H631" i="1" s="1"/>
  <c r="D639" i="1"/>
  <c r="H615" i="1"/>
  <c r="H616" i="1"/>
  <c r="I601" i="1" s="1"/>
  <c r="G639" i="1" l="1"/>
  <c r="H639" i="1" s="1"/>
  <c r="H642" i="1" s="1"/>
  <c r="H648" i="1" s="1"/>
  <c r="D656" i="1"/>
  <c r="H632" i="1"/>
  <c r="H633" i="1" s="1"/>
  <c r="I618" i="1" s="1"/>
  <c r="D673" i="1" l="1"/>
  <c r="G656" i="1"/>
  <c r="H656" i="1" s="1"/>
  <c r="H659" i="1" s="1"/>
  <c r="H665" i="1" s="1"/>
  <c r="H649" i="1"/>
  <c r="H650" i="1"/>
  <c r="I635" i="1" s="1"/>
  <c r="H666" i="1" l="1"/>
  <c r="H667" i="1" s="1"/>
  <c r="I652" i="1" s="1"/>
  <c r="G673" i="1"/>
  <c r="H673" i="1" s="1"/>
  <c r="H676" i="1" s="1"/>
  <c r="H682" i="1" s="1"/>
  <c r="D690" i="1"/>
  <c r="G690" i="1" l="1"/>
  <c r="H690" i="1" s="1"/>
  <c r="H693" i="1" s="1"/>
  <c r="H699" i="1" s="1"/>
  <c r="D707" i="1"/>
  <c r="H683" i="1"/>
  <c r="H684" i="1"/>
  <c r="I669" i="1" s="1"/>
  <c r="G707" i="1" l="1"/>
  <c r="H707" i="1" s="1"/>
  <c r="H710" i="1" s="1"/>
  <c r="H716" i="1" s="1"/>
  <c r="D724" i="1"/>
  <c r="H700" i="1"/>
  <c r="H701" i="1"/>
  <c r="I686" i="1" s="1"/>
  <c r="D741" i="1" l="1"/>
  <c r="G724" i="1"/>
  <c r="H724" i="1" s="1"/>
  <c r="H727" i="1" s="1"/>
  <c r="H733" i="1" s="1"/>
  <c r="H717" i="1"/>
  <c r="H718" i="1"/>
  <c r="I703" i="1" s="1"/>
  <c r="H735" i="1" l="1"/>
  <c r="I720" i="1" s="1"/>
  <c r="H734" i="1"/>
  <c r="G741" i="1"/>
  <c r="H741" i="1" s="1"/>
  <c r="H744" i="1" s="1"/>
  <c r="H750" i="1" s="1"/>
  <c r="D758" i="1"/>
  <c r="D775" i="1" l="1"/>
  <c r="G758" i="1"/>
  <c r="H758" i="1" s="1"/>
  <c r="H761" i="1" s="1"/>
  <c r="H767" i="1" s="1"/>
  <c r="H751" i="1"/>
  <c r="H752" i="1"/>
  <c r="I737" i="1" s="1"/>
  <c r="H768" i="1" l="1"/>
  <c r="H769" i="1" s="1"/>
  <c r="I754" i="1" s="1"/>
  <c r="G775" i="1"/>
  <c r="H775" i="1" s="1"/>
  <c r="H778" i="1" s="1"/>
  <c r="H784" i="1" s="1"/>
  <c r="D792" i="1"/>
  <c r="G792" i="1" l="1"/>
  <c r="H792" i="1" s="1"/>
  <c r="H795" i="1" s="1"/>
  <c r="H801" i="1" s="1"/>
  <c r="D809" i="1"/>
  <c r="H785" i="1"/>
  <c r="H786" i="1"/>
  <c r="I771" i="1" s="1"/>
  <c r="G809" i="1" l="1"/>
  <c r="H809" i="1" s="1"/>
  <c r="H812" i="1" s="1"/>
  <c r="H818" i="1" s="1"/>
  <c r="D827" i="1"/>
  <c r="H802" i="1"/>
  <c r="H803" i="1"/>
  <c r="I788" i="1" s="1"/>
  <c r="G827" i="1" l="1"/>
  <c r="H827" i="1" s="1"/>
  <c r="H830" i="1" s="1"/>
  <c r="H836" i="1" s="1"/>
  <c r="D844" i="1"/>
  <c r="H819" i="1"/>
  <c r="H820" i="1"/>
  <c r="I805" i="1" s="1"/>
  <c r="G844" i="1" l="1"/>
  <c r="H844" i="1" s="1"/>
  <c r="H847" i="1" s="1"/>
  <c r="H853" i="1" s="1"/>
  <c r="D861" i="1"/>
  <c r="H837" i="1"/>
  <c r="H838" i="1"/>
  <c r="I823" i="1" s="1"/>
  <c r="D878" i="1" l="1"/>
  <c r="G861" i="1"/>
  <c r="H861" i="1" s="1"/>
  <c r="H864" i="1" s="1"/>
  <c r="H870" i="1" s="1"/>
  <c r="H854" i="1"/>
  <c r="H855" i="1"/>
  <c r="I840" i="1" s="1"/>
  <c r="H871" i="1" l="1"/>
  <c r="H872" i="1"/>
  <c r="I857" i="1" s="1"/>
  <c r="G878" i="1"/>
  <c r="H878" i="1" s="1"/>
  <c r="H881" i="1" s="1"/>
  <c r="H887" i="1" s="1"/>
  <c r="D895" i="1"/>
  <c r="D912" i="1" l="1"/>
  <c r="G895" i="1"/>
  <c r="H895" i="1" s="1"/>
  <c r="H898" i="1" s="1"/>
  <c r="H904" i="1" s="1"/>
  <c r="H888" i="1"/>
  <c r="H889" i="1"/>
  <c r="I874" i="1" s="1"/>
  <c r="H905" i="1" l="1"/>
  <c r="H906" i="1"/>
  <c r="I891" i="1" s="1"/>
  <c r="G912" i="1"/>
  <c r="H912" i="1" s="1"/>
  <c r="H915" i="1" s="1"/>
  <c r="H921" i="1" s="1"/>
  <c r="D929" i="1"/>
  <c r="G929" i="1" l="1"/>
  <c r="H929" i="1" s="1"/>
  <c r="H932" i="1" s="1"/>
  <c r="H939" i="1" s="1"/>
  <c r="D947" i="1"/>
  <c r="H922" i="1"/>
  <c r="H923" i="1"/>
  <c r="I908" i="1" s="1"/>
  <c r="D965" i="1" l="1"/>
  <c r="G965" i="1" s="1"/>
  <c r="H965" i="1" s="1"/>
  <c r="H968" i="1" s="1"/>
  <c r="H975" i="1" s="1"/>
  <c r="G947" i="1"/>
  <c r="H947" i="1" s="1"/>
  <c r="H950" i="1" s="1"/>
  <c r="H957" i="1" s="1"/>
  <c r="D1075" i="1"/>
  <c r="H940" i="1"/>
  <c r="H941" i="1"/>
  <c r="I925" i="1" s="1"/>
  <c r="D1092" i="1" l="1"/>
  <c r="G1075" i="1"/>
  <c r="H1075" i="1" s="1"/>
  <c r="H1078" i="1" s="1"/>
  <c r="H1084" i="1" s="1"/>
  <c r="H958" i="1"/>
  <c r="H959" i="1" s="1"/>
  <c r="I943" i="1" s="1"/>
  <c r="H976" i="1"/>
  <c r="H977" i="1"/>
  <c r="I961" i="1" s="1"/>
  <c r="H1085" i="1" l="1"/>
  <c r="H1086" i="1" s="1"/>
  <c r="I1071" i="1" s="1"/>
  <c r="G1092" i="1"/>
  <c r="H1092" i="1" s="1"/>
  <c r="H1095" i="1" s="1"/>
  <c r="H1101" i="1" s="1"/>
  <c r="D1109" i="1"/>
  <c r="D1126" i="1" l="1"/>
  <c r="G1109" i="1"/>
  <c r="H1109" i="1" s="1"/>
  <c r="H1112" i="1" s="1"/>
  <c r="H1118" i="1" s="1"/>
  <c r="H1102" i="1"/>
  <c r="H1103" i="1"/>
  <c r="I1088" i="1" s="1"/>
  <c r="H1119" i="1" l="1"/>
  <c r="H1120" i="1" s="1"/>
  <c r="I1105" i="1" s="1"/>
  <c r="G1126" i="1"/>
  <c r="H1126" i="1" s="1"/>
  <c r="H1129" i="1" s="1"/>
  <c r="H1135" i="1" s="1"/>
  <c r="D1143" i="1"/>
  <c r="D1160" i="1" l="1"/>
  <c r="G1143" i="1"/>
  <c r="H1143" i="1" s="1"/>
  <c r="H1146" i="1" s="1"/>
  <c r="H1152" i="1" s="1"/>
  <c r="H1136" i="1"/>
  <c r="H1137" i="1"/>
  <c r="I1122" i="1" s="1"/>
  <c r="H1153" i="1" l="1"/>
  <c r="H1154" i="1" s="1"/>
  <c r="I1139" i="1" s="1"/>
  <c r="G1160" i="1"/>
  <c r="H1160" i="1" s="1"/>
  <c r="H1163" i="1" s="1"/>
  <c r="H1169" i="1" s="1"/>
  <c r="D1177" i="1"/>
  <c r="H1170" i="1" l="1"/>
  <c r="H1171" i="1"/>
  <c r="I1156" i="1" s="1"/>
  <c r="D1194" i="1"/>
  <c r="G1177" i="1"/>
  <c r="H1177" i="1" s="1"/>
  <c r="H1180" i="1" s="1"/>
  <c r="H1186" i="1" s="1"/>
  <c r="H1187" i="1" l="1"/>
  <c r="H1188" i="1" s="1"/>
  <c r="I1173" i="1" s="1"/>
  <c r="G1194" i="1"/>
  <c r="H1194" i="1" s="1"/>
  <c r="H1197" i="1" s="1"/>
  <c r="H1203" i="1" s="1"/>
  <c r="D1211" i="1"/>
  <c r="D1228" i="1" l="1"/>
  <c r="G1211" i="1"/>
  <c r="H1211" i="1" s="1"/>
  <c r="H1214" i="1" s="1"/>
  <c r="H1220" i="1" s="1"/>
  <c r="H1204" i="1"/>
  <c r="H1205" i="1"/>
  <c r="I1190" i="1" s="1"/>
  <c r="H1221" i="1" l="1"/>
  <c r="H1222" i="1" s="1"/>
  <c r="I1207" i="1" s="1"/>
  <c r="G1228" i="1"/>
  <c r="H1228" i="1" s="1"/>
  <c r="H1231" i="1" s="1"/>
  <c r="H1237" i="1" s="1"/>
  <c r="D1245" i="1"/>
  <c r="D1262" i="1" l="1"/>
  <c r="G1245" i="1"/>
  <c r="H1245" i="1" s="1"/>
  <c r="H1248" i="1" s="1"/>
  <c r="H1254" i="1" s="1"/>
  <c r="H1238" i="1"/>
  <c r="H1239" i="1" s="1"/>
  <c r="I1224" i="1" s="1"/>
  <c r="H1255" i="1" l="1"/>
  <c r="H1256" i="1" s="1"/>
  <c r="I1241" i="1" s="1"/>
  <c r="G1262" i="1"/>
  <c r="H1262" i="1" s="1"/>
  <c r="H1265" i="1" s="1"/>
  <c r="H1271" i="1" s="1"/>
  <c r="D1279" i="1"/>
  <c r="D1296" i="1" l="1"/>
  <c r="G1279" i="1"/>
  <c r="H1279" i="1" s="1"/>
  <c r="H1282" i="1" s="1"/>
  <c r="H1288" i="1" s="1"/>
  <c r="H1272" i="1"/>
  <c r="H1273" i="1" s="1"/>
  <c r="I1258" i="1" s="1"/>
  <c r="H1289" i="1" l="1"/>
  <c r="H1290" i="1" s="1"/>
  <c r="I1275" i="1" s="1"/>
  <c r="G1296" i="1"/>
  <c r="H1296" i="1" s="1"/>
  <c r="H1299" i="1" s="1"/>
  <c r="H1305" i="1" s="1"/>
  <c r="D1313" i="1"/>
  <c r="H1307" i="1" l="1"/>
  <c r="I1292" i="1" s="1"/>
  <c r="H1306" i="1"/>
  <c r="D1330" i="1"/>
  <c r="G1313" i="1"/>
  <c r="H1313" i="1" s="1"/>
  <c r="H1316" i="1" s="1"/>
  <c r="H1322" i="1" s="1"/>
  <c r="G1330" i="1" l="1"/>
  <c r="H1330" i="1" s="1"/>
  <c r="H1333" i="1" s="1"/>
  <c r="H1339" i="1" s="1"/>
  <c r="D1348" i="1"/>
  <c r="H1323" i="1"/>
  <c r="H1324" i="1" s="1"/>
  <c r="I1309" i="1" s="1"/>
  <c r="D1365" i="1" l="1"/>
  <c r="G1348" i="1"/>
  <c r="H1348" i="1" s="1"/>
  <c r="H1351" i="1" s="1"/>
  <c r="H1357" i="1" s="1"/>
  <c r="H1340" i="1"/>
  <c r="H1341" i="1" s="1"/>
  <c r="I1326" i="1" s="1"/>
  <c r="H1359" i="1" l="1"/>
  <c r="I1344" i="1" s="1"/>
  <c r="H1358" i="1"/>
  <c r="G1365" i="1"/>
  <c r="H1365" i="1" s="1"/>
  <c r="H1368" i="1" s="1"/>
  <c r="H1374" i="1" s="1"/>
  <c r="D1382" i="1"/>
  <c r="D1399" i="1" l="1"/>
  <c r="G1382" i="1"/>
  <c r="H1382" i="1" s="1"/>
  <c r="H1385" i="1" s="1"/>
  <c r="H1391" i="1" s="1"/>
  <c r="H1375" i="1"/>
  <c r="H1376" i="1" s="1"/>
  <c r="I1361" i="1" s="1"/>
  <c r="H1392" i="1" l="1"/>
  <c r="H1393" i="1" s="1"/>
  <c r="I1378" i="1" s="1"/>
  <c r="G1399" i="1"/>
  <c r="H1399" i="1" s="1"/>
  <c r="H1402" i="1" s="1"/>
  <c r="H1408" i="1" s="1"/>
  <c r="D1416" i="1"/>
  <c r="D1433" i="1" l="1"/>
  <c r="G1416" i="1"/>
  <c r="H1416" i="1" s="1"/>
  <c r="H1419" i="1" s="1"/>
  <c r="H1425" i="1" s="1"/>
  <c r="H1409" i="1"/>
  <c r="H1410" i="1" s="1"/>
  <c r="I1395" i="1" s="1"/>
  <c r="H1426" i="1" l="1"/>
  <c r="H1427" i="1" s="1"/>
  <c r="I1412" i="1" s="1"/>
  <c r="G1433" i="1"/>
  <c r="H1433" i="1" s="1"/>
  <c r="H1436" i="1" s="1"/>
  <c r="H1442" i="1" s="1"/>
  <c r="D1450" i="1"/>
  <c r="D1468" i="1" l="1"/>
  <c r="G1450" i="1"/>
  <c r="H1450" i="1" s="1"/>
  <c r="H1453" i="1" s="1"/>
  <c r="H1459" i="1" s="1"/>
  <c r="H1443" i="1"/>
  <c r="H1444" i="1" s="1"/>
  <c r="I1429" i="1" s="1"/>
  <c r="H1461" i="1" l="1"/>
  <c r="I1446" i="1" s="1"/>
  <c r="H1460" i="1"/>
  <c r="G1468" i="1"/>
  <c r="H1468" i="1" s="1"/>
  <c r="H1471" i="1" s="1"/>
  <c r="H1477" i="1" s="1"/>
  <c r="D1485" i="1"/>
  <c r="H1479" i="1" l="1"/>
  <c r="I1464" i="1" s="1"/>
  <c r="H1478" i="1"/>
  <c r="D1502" i="1"/>
  <c r="G1485" i="1"/>
  <c r="H1485" i="1" s="1"/>
  <c r="H1488" i="1" s="1"/>
  <c r="H1494" i="1" s="1"/>
  <c r="H1495" i="1" l="1"/>
  <c r="H1496" i="1"/>
  <c r="I1481" i="1" s="1"/>
  <c r="G1502" i="1"/>
  <c r="H1502" i="1" s="1"/>
  <c r="H1505" i="1" s="1"/>
  <c r="H1511" i="1" s="1"/>
  <c r="D1519" i="1"/>
  <c r="D1536" i="1" l="1"/>
  <c r="G1519" i="1"/>
  <c r="H1519" i="1" s="1"/>
  <c r="H1522" i="1" s="1"/>
  <c r="H1528" i="1" s="1"/>
  <c r="H1512" i="1"/>
  <c r="H1513" i="1" s="1"/>
  <c r="I1498" i="1" s="1"/>
  <c r="H1529" i="1" l="1"/>
  <c r="H1530" i="1" s="1"/>
  <c r="I1515" i="1" s="1"/>
  <c r="G1536" i="1"/>
  <c r="H1536" i="1" s="1"/>
  <c r="H1539" i="1" s="1"/>
  <c r="H1545" i="1" s="1"/>
  <c r="D1553" i="1"/>
  <c r="H1546" i="1" l="1"/>
  <c r="H1547" i="1" s="1"/>
  <c r="I1532" i="1" s="1"/>
  <c r="D1570" i="1"/>
  <c r="G1553" i="1"/>
  <c r="H1553" i="1" s="1"/>
  <c r="H1556" i="1" s="1"/>
  <c r="H1562" i="1" s="1"/>
  <c r="H1563" i="1" l="1"/>
  <c r="H1564" i="1"/>
  <c r="I1549" i="1" s="1"/>
  <c r="D1587" i="1"/>
  <c r="G1570" i="1"/>
  <c r="H1570" i="1" s="1"/>
  <c r="H1573" i="1" s="1"/>
  <c r="H1579" i="1" s="1"/>
  <c r="H1580" i="1" l="1"/>
  <c r="H1581" i="1" s="1"/>
  <c r="I1566" i="1" s="1"/>
  <c r="D1604" i="1"/>
  <c r="G1587" i="1"/>
  <c r="H1587" i="1" s="1"/>
  <c r="H1590" i="1" s="1"/>
  <c r="H1596" i="1" s="1"/>
  <c r="D1621" i="1" l="1"/>
  <c r="G1604" i="1"/>
  <c r="H1604" i="1" s="1"/>
  <c r="H1607" i="1" s="1"/>
  <c r="H1613" i="1" s="1"/>
  <c r="H1597" i="1"/>
  <c r="H1598" i="1" s="1"/>
  <c r="I1583" i="1" s="1"/>
  <c r="H1614" i="1" l="1"/>
  <c r="H1615" i="1" s="1"/>
  <c r="I1600" i="1" s="1"/>
  <c r="D1638" i="1"/>
  <c r="G1621" i="1"/>
  <c r="H1621" i="1" s="1"/>
  <c r="H1624" i="1" s="1"/>
  <c r="H1630" i="1" s="1"/>
  <c r="H1631" i="1" l="1"/>
  <c r="H1632" i="1" s="1"/>
  <c r="I1617" i="1" s="1"/>
  <c r="D1655" i="1"/>
  <c r="G1638" i="1"/>
  <c r="H1638" i="1" s="1"/>
  <c r="H1641" i="1" s="1"/>
  <c r="H1647" i="1" s="1"/>
  <c r="D1672" i="1" l="1"/>
  <c r="G1655" i="1"/>
  <c r="H1655" i="1" s="1"/>
  <c r="H1658" i="1" s="1"/>
  <c r="H1664" i="1" s="1"/>
  <c r="H1648" i="1"/>
  <c r="H1649" i="1" s="1"/>
  <c r="I1634" i="1" s="1"/>
  <c r="H1666" i="1" l="1"/>
  <c r="I1651" i="1" s="1"/>
  <c r="H1665" i="1"/>
  <c r="D1689" i="1"/>
  <c r="G1672" i="1"/>
  <c r="H1672" i="1" s="1"/>
  <c r="H1675" i="1" s="1"/>
  <c r="H1681" i="1" s="1"/>
  <c r="H1682" i="1" l="1"/>
  <c r="H1683" i="1" s="1"/>
  <c r="I1668" i="1" s="1"/>
  <c r="D1706" i="1"/>
  <c r="G1689" i="1"/>
  <c r="H1689" i="1" s="1"/>
  <c r="H1692" i="1" s="1"/>
  <c r="H1698" i="1" s="1"/>
  <c r="H1700" i="1" l="1"/>
  <c r="I1685" i="1" s="1"/>
  <c r="H1699" i="1"/>
  <c r="D1723" i="1"/>
  <c r="G1706" i="1"/>
  <c r="H1706" i="1" s="1"/>
  <c r="H1709" i="1" s="1"/>
  <c r="H1715" i="1" s="1"/>
  <c r="H1716" i="1" l="1"/>
  <c r="H1717" i="1"/>
  <c r="I1702" i="1" s="1"/>
  <c r="D1740" i="1"/>
  <c r="G1723" i="1"/>
  <c r="H1723" i="1" s="1"/>
  <c r="H1726" i="1" s="1"/>
  <c r="H1732" i="1" s="1"/>
  <c r="G1740" i="1" l="1"/>
  <c r="H1740" i="1" s="1"/>
  <c r="H1743" i="1" s="1"/>
  <c r="H1749" i="1" s="1"/>
  <c r="D1757" i="1"/>
  <c r="H1733" i="1"/>
  <c r="H1734" i="1" s="1"/>
  <c r="I1719" i="1" s="1"/>
  <c r="D1774" i="1" l="1"/>
  <c r="G1757" i="1"/>
  <c r="H1757" i="1" s="1"/>
  <c r="H1760" i="1" s="1"/>
  <c r="H1766" i="1" s="1"/>
  <c r="H1750" i="1"/>
  <c r="H1751" i="1"/>
  <c r="I1736" i="1" s="1"/>
  <c r="H1767" i="1" l="1"/>
  <c r="H1768" i="1" s="1"/>
  <c r="I1753" i="1" s="1"/>
  <c r="G1774" i="1"/>
  <c r="H1774" i="1" s="1"/>
  <c r="H1777" i="1" s="1"/>
  <c r="H1783" i="1" s="1"/>
  <c r="D1791" i="1"/>
  <c r="D1808" i="1" l="1"/>
  <c r="G1791" i="1"/>
  <c r="H1791" i="1" s="1"/>
  <c r="H1794" i="1" s="1"/>
  <c r="H1800" i="1" s="1"/>
  <c r="H1784" i="1"/>
  <c r="H1785" i="1"/>
  <c r="I1770" i="1" s="1"/>
  <c r="H1801" i="1" l="1"/>
  <c r="H1802" i="1" s="1"/>
  <c r="I1787" i="1" s="1"/>
  <c r="G1808" i="1"/>
  <c r="H1808" i="1" s="1"/>
  <c r="H1811" i="1" s="1"/>
  <c r="H1817" i="1" s="1"/>
  <c r="D1825" i="1"/>
  <c r="D1842" i="1" l="1"/>
  <c r="G1825" i="1"/>
  <c r="H1825" i="1" s="1"/>
  <c r="H1828" i="1" s="1"/>
  <c r="H1834" i="1" s="1"/>
  <c r="H1818" i="1"/>
  <c r="H1819" i="1"/>
  <c r="I1804" i="1" s="1"/>
  <c r="H1835" i="1" l="1"/>
  <c r="H1836" i="1" s="1"/>
  <c r="I1821" i="1" s="1"/>
  <c r="G1842" i="1"/>
  <c r="H1842" i="1" s="1"/>
  <c r="H1845" i="1" s="1"/>
  <c r="H1851" i="1" s="1"/>
  <c r="D1859" i="1"/>
  <c r="H1852" i="1" l="1"/>
  <c r="H1853" i="1"/>
  <c r="I1838" i="1" s="1"/>
  <c r="D1876" i="1"/>
  <c r="G1859" i="1"/>
  <c r="H1859" i="1" s="1"/>
  <c r="H1862" i="1" s="1"/>
  <c r="H1868" i="1" s="1"/>
  <c r="G1876" i="1" l="1"/>
  <c r="H1876" i="1" s="1"/>
  <c r="H1879" i="1" s="1"/>
  <c r="H1885" i="1" s="1"/>
  <c r="D1893" i="1"/>
  <c r="H1869" i="1"/>
  <c r="H1870" i="1" s="1"/>
  <c r="I1855" i="1" s="1"/>
  <c r="D1910" i="1" l="1"/>
  <c r="G1893" i="1"/>
  <c r="H1893" i="1" s="1"/>
  <c r="H1896" i="1" s="1"/>
  <c r="H1902" i="1" s="1"/>
  <c r="H1886" i="1"/>
  <c r="H1887" i="1" s="1"/>
  <c r="I1872" i="1" s="1"/>
  <c r="H1903" i="1" l="1"/>
  <c r="H1904" i="1" s="1"/>
  <c r="I1889" i="1" s="1"/>
  <c r="G1910" i="1"/>
  <c r="H1910" i="1" s="1"/>
  <c r="H1913" i="1" s="1"/>
  <c r="H1919" i="1" s="1"/>
  <c r="D1927" i="1"/>
  <c r="D1945" i="1" l="1"/>
  <c r="G1927" i="1"/>
  <c r="H1927" i="1" s="1"/>
  <c r="H1930" i="1" s="1"/>
  <c r="H1936" i="1" s="1"/>
  <c r="H1920" i="1"/>
  <c r="H1921" i="1" s="1"/>
  <c r="I1906" i="1" s="1"/>
  <c r="H1937" i="1" l="1"/>
  <c r="H1938" i="1" s="1"/>
  <c r="I1923" i="1" s="1"/>
  <c r="G1945" i="1"/>
  <c r="H1945" i="1" s="1"/>
  <c r="H1948" i="1" s="1"/>
  <c r="H1954" i="1" s="1"/>
  <c r="D1962" i="1"/>
  <c r="D1979" i="1" l="1"/>
  <c r="G1962" i="1"/>
  <c r="H1962" i="1" s="1"/>
  <c r="H1965" i="1" s="1"/>
  <c r="H1971" i="1" s="1"/>
  <c r="H1955" i="1"/>
  <c r="H1956" i="1" s="1"/>
  <c r="I1941" i="1" s="1"/>
  <c r="H1972" i="1" l="1"/>
  <c r="H1973" i="1" s="1"/>
  <c r="I1958" i="1" s="1"/>
  <c r="G1979" i="1"/>
  <c r="H1979" i="1" s="1"/>
  <c r="H1982" i="1" s="1"/>
  <c r="H1988" i="1" s="1"/>
  <c r="D1996" i="1"/>
  <c r="D2013" i="1" l="1"/>
  <c r="G1996" i="1"/>
  <c r="H1996" i="1" s="1"/>
  <c r="H1999" i="1" s="1"/>
  <c r="H2005" i="1" s="1"/>
  <c r="H1989" i="1"/>
  <c r="H1990" i="1" s="1"/>
  <c r="I1975" i="1" s="1"/>
  <c r="H2006" i="1" l="1"/>
  <c r="H2007" i="1" s="1"/>
  <c r="I1992" i="1" s="1"/>
  <c r="G2013" i="1"/>
  <c r="H2013" i="1" s="1"/>
  <c r="H2016" i="1" s="1"/>
  <c r="H2022" i="1" s="1"/>
  <c r="D2030" i="1"/>
  <c r="D2047" i="1" l="1"/>
  <c r="G2030" i="1"/>
  <c r="H2030" i="1" s="1"/>
  <c r="H2033" i="1" s="1"/>
  <c r="H2039" i="1" s="1"/>
  <c r="H2023" i="1"/>
  <c r="H2024" i="1" s="1"/>
  <c r="I2009" i="1" s="1"/>
  <c r="H2040" i="1" l="1"/>
  <c r="H2041" i="1" s="1"/>
  <c r="I2026" i="1" s="1"/>
  <c r="G2047" i="1"/>
  <c r="H2047" i="1" s="1"/>
  <c r="H2050" i="1" s="1"/>
  <c r="H2056" i="1" s="1"/>
  <c r="D2065" i="1"/>
  <c r="H2057" i="1" l="1"/>
  <c r="H2058" i="1" s="1"/>
  <c r="I2043" i="1" s="1"/>
  <c r="D2082" i="1"/>
  <c r="G2065" i="1"/>
  <c r="H2065" i="1" s="1"/>
  <c r="H2068" i="1" s="1"/>
  <c r="H2074" i="1" s="1"/>
  <c r="G2082" i="1" l="1"/>
  <c r="H2082" i="1" s="1"/>
  <c r="H2085" i="1" s="1"/>
  <c r="H2091" i="1" s="1"/>
  <c r="D2099" i="1"/>
  <c r="H2075" i="1"/>
  <c r="H2076" i="1"/>
  <c r="I2061" i="1" s="1"/>
  <c r="G2099" i="1" l="1"/>
  <c r="H2099" i="1" s="1"/>
  <c r="H2102" i="1" s="1"/>
  <c r="H2108" i="1" s="1"/>
  <c r="D2116" i="1"/>
  <c r="H2092" i="1"/>
  <c r="H2093" i="1" s="1"/>
  <c r="I2078" i="1" s="1"/>
  <c r="D2133" i="1" l="1"/>
  <c r="G2116" i="1"/>
  <c r="H2116" i="1" s="1"/>
  <c r="H2119" i="1" s="1"/>
  <c r="H2125" i="1" s="1"/>
  <c r="H2109" i="1"/>
  <c r="H2110" i="1" s="1"/>
  <c r="I2095" i="1" s="1"/>
  <c r="H2126" i="1" l="1"/>
  <c r="H2127" i="1" s="1"/>
  <c r="I2112" i="1" s="1"/>
  <c r="D2150" i="1"/>
  <c r="G2133" i="1"/>
  <c r="H2133" i="1" s="1"/>
  <c r="H2136" i="1" s="1"/>
  <c r="H2142" i="1" s="1"/>
  <c r="H2143" i="1" l="1"/>
  <c r="H2144" i="1" s="1"/>
  <c r="I2129" i="1" s="1"/>
  <c r="D2167" i="1"/>
  <c r="G2150" i="1"/>
  <c r="H2150" i="1" s="1"/>
  <c r="H2153" i="1" s="1"/>
  <c r="H2159" i="1" s="1"/>
  <c r="D2184" i="1" l="1"/>
  <c r="G2167" i="1"/>
  <c r="H2167" i="1" s="1"/>
  <c r="H2170" i="1" s="1"/>
  <c r="H2176" i="1" s="1"/>
  <c r="H2160" i="1"/>
  <c r="H2161" i="1" s="1"/>
  <c r="I2146" i="1" s="1"/>
  <c r="H2177" i="1" l="1"/>
  <c r="H2178" i="1" s="1"/>
  <c r="I2163" i="1" s="1"/>
  <c r="D2201" i="1"/>
  <c r="G2184" i="1"/>
  <c r="H2184" i="1" s="1"/>
  <c r="H2187" i="1" s="1"/>
  <c r="H2193" i="1" s="1"/>
  <c r="H2194" i="1" l="1"/>
  <c r="H2195" i="1"/>
  <c r="I2180" i="1" s="1"/>
  <c r="G2201" i="1"/>
  <c r="H2201" i="1" s="1"/>
  <c r="H2204" i="1" s="1"/>
  <c r="H2210" i="1" s="1"/>
  <c r="D2292" i="1"/>
  <c r="D2309" i="1" l="1"/>
  <c r="G2292" i="1"/>
  <c r="H2292" i="1" s="1"/>
  <c r="H2295" i="1" s="1"/>
  <c r="H2301" i="1" s="1"/>
  <c r="H2211" i="1"/>
  <c r="H2212" i="1"/>
  <c r="I2197" i="1" s="1"/>
  <c r="H2302" i="1" l="1"/>
  <c r="H2303" i="1" s="1"/>
  <c r="I2288" i="1" s="1"/>
  <c r="G2309" i="1"/>
  <c r="H2309" i="1" s="1"/>
  <c r="H2312" i="1" s="1"/>
  <c r="H2318" i="1" s="1"/>
  <c r="D2326" i="1"/>
  <c r="D2377" i="1" l="1"/>
  <c r="D2343" i="1"/>
  <c r="G2326" i="1"/>
  <c r="H2326" i="1" s="1"/>
  <c r="H2329" i="1" s="1"/>
  <c r="H2335" i="1" s="1"/>
  <c r="H2319" i="1"/>
  <c r="H2320" i="1" s="1"/>
  <c r="I2305" i="1" s="1"/>
  <c r="G2343" i="1" l="1"/>
  <c r="H2343" i="1" s="1"/>
  <c r="H2346" i="1" s="1"/>
  <c r="H2352" i="1" s="1"/>
  <c r="D2394" i="1"/>
  <c r="D2360" i="1"/>
  <c r="H2336" i="1"/>
  <c r="H2337" i="1" s="1"/>
  <c r="I2322" i="1" s="1"/>
  <c r="G2377" i="1"/>
  <c r="H2377" i="1" s="1"/>
  <c r="H2380" i="1" s="1"/>
  <c r="H2386" i="1" s="1"/>
  <c r="D2428" i="1"/>
  <c r="G2428" i="1" s="1"/>
  <c r="H2428" i="1" s="1"/>
  <c r="H2431" i="1" s="1"/>
  <c r="H2437" i="1" s="1"/>
  <c r="H2438" i="1" l="1"/>
  <c r="H2439" i="1" s="1"/>
  <c r="I2424" i="1" s="1"/>
  <c r="H2387" i="1"/>
  <c r="H2388" i="1" s="1"/>
  <c r="I2373" i="1" s="1"/>
  <c r="D2411" i="1"/>
  <c r="G2360" i="1"/>
  <c r="H2360" i="1" s="1"/>
  <c r="H2363" i="1" s="1"/>
  <c r="H2369" i="1" s="1"/>
  <c r="D2445" i="1"/>
  <c r="G2445" i="1" s="1"/>
  <c r="H2445" i="1" s="1"/>
  <c r="H2448" i="1" s="1"/>
  <c r="H2454" i="1" s="1"/>
  <c r="G2394" i="1"/>
  <c r="H2394" i="1" s="1"/>
  <c r="H2397" i="1" s="1"/>
  <c r="H2403" i="1" s="1"/>
  <c r="H2353" i="1"/>
  <c r="H2354" i="1" s="1"/>
  <c r="I2339" i="1" s="1"/>
  <c r="H2404" i="1" l="1"/>
  <c r="H2405" i="1" s="1"/>
  <c r="I2390" i="1" s="1"/>
  <c r="H2370" i="1"/>
  <c r="H2371" i="1" s="1"/>
  <c r="I2356" i="1" s="1"/>
  <c r="H2455" i="1"/>
  <c r="H2456" i="1" s="1"/>
  <c r="I2441" i="1" s="1"/>
  <c r="G2411" i="1"/>
  <c r="H2411" i="1" s="1"/>
  <c r="H2414" i="1" s="1"/>
  <c r="H2420" i="1" s="1"/>
  <c r="D2515" i="1"/>
  <c r="G2515" i="1" s="1"/>
  <c r="H2515" i="1" s="1"/>
  <c r="H2518" i="1" s="1"/>
  <c r="H2527" i="1" s="1"/>
  <c r="H2528" i="1" l="1"/>
  <c r="H2529" i="1" s="1"/>
  <c r="I2511" i="1" s="1"/>
  <c r="H2421" i="1"/>
  <c r="H2422" i="1" s="1"/>
  <c r="I2407" i="1" s="1"/>
</calcChain>
</file>

<file path=xl/sharedStrings.xml><?xml version="1.0" encoding="utf-8"?>
<sst xmlns="http://schemas.openxmlformats.org/spreadsheetml/2006/main" count="18349" uniqueCount="1725">
  <si>
    <t xml:space="preserve">PEKERJAAN MEKANIKAL DAN ELEKTRIKAL </t>
  </si>
  <si>
    <t>5.1</t>
  </si>
  <si>
    <t>PEKERJAAN SISTEM DISTRIBUSI JARINGAN LISTRIK</t>
  </si>
  <si>
    <t>5.1.1</t>
  </si>
  <si>
    <t>Pemasangan kabel arus kuat (kabel, kabel tray/ladder)</t>
  </si>
  <si>
    <t>5.1.1.1</t>
  </si>
  <si>
    <t>Kabel NYY</t>
  </si>
  <si>
    <t>5.1.1.1.1</t>
  </si>
  <si>
    <t xml:space="preserve">Pemasangan 1 m' kabel NYY 1 x 4 mm² 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</si>
  <si>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</si>
  <si>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</si>
  <si>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</si>
  <si>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</si>
  <si>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</si>
  <si>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</si>
  <si>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</si>
  <si>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</si>
  <si>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Catatan:</t>
  </si>
  <si>
    <t>Pekerja</t>
  </si>
  <si>
    <t>OH</t>
  </si>
  <si>
    <t>Biaya Umum dan Keuntungan</t>
  </si>
  <si>
    <t>Tukang listrik</t>
  </si>
  <si>
    <t>Kepala tukang</t>
  </si>
  <si>
    <t>Mandor</t>
  </si>
  <si>
    <t>JUMLAH HARGA TENAGA KERJA</t>
  </si>
  <si>
    <t>B</t>
  </si>
  <si>
    <t>BAHAN</t>
  </si>
  <si>
    <t>Kabel NYY 1 x 4 mm²</t>
  </si>
  <si>
    <t>m'</t>
  </si>
  <si>
    <t>JUMLAH HARGA BAHAN</t>
  </si>
  <si>
    <t>C</t>
  </si>
  <si>
    <t>PERALATAN</t>
  </si>
  <si>
    <t>JUMLAH HARGA ALAT</t>
  </si>
  <si>
    <t>D</t>
  </si>
  <si>
    <t>Jumlah (A+B+C)</t>
  </si>
  <si>
    <t>E</t>
  </si>
  <si>
    <t>Biaya Umum dan Keuntungan 10% - 15% x D</t>
  </si>
  <si>
    <t>F</t>
  </si>
  <si>
    <t>Harga Satuan Pekerjaan (D+E)</t>
  </si>
  <si>
    <t>5.1.1.1.2</t>
  </si>
  <si>
    <t xml:space="preserve">Pemasangan 1 m' kabel NYY 1 x 6 mm² </t>
  </si>
  <si>
    <t>Kabel NYY 1 x 6 mm²</t>
  </si>
  <si>
    <t>5.1.1.1.3</t>
  </si>
  <si>
    <t xml:space="preserve">Pemasangan 1 m' kabel NYY 1 x 10 mm² </t>
  </si>
  <si>
    <t>Kabel NYY 1 x 10 mm²</t>
  </si>
  <si>
    <t>5.1.1.1.4</t>
  </si>
  <si>
    <t xml:space="preserve">Pemasangan 1 m' kabel NYY 1 x 16 mm² </t>
  </si>
  <si>
    <t>Kabel NYY 1 x 16 mm²</t>
  </si>
  <si>
    <t>5.1.1.1.5</t>
  </si>
  <si>
    <t xml:space="preserve">Pemasangan 1 m' kabel NYY 1 x 25 mm² </t>
  </si>
  <si>
    <t>Kabel NYY 1 x 25 mm²</t>
  </si>
  <si>
    <t>5.1.1.1.6</t>
  </si>
  <si>
    <t xml:space="preserve">Pemasangan 1 m' kabel NYY 1 x 35 mm² </t>
  </si>
  <si>
    <t>Kabel NYY 1 x 35 mm²</t>
  </si>
  <si>
    <t>5.1.1.1.7</t>
  </si>
  <si>
    <t xml:space="preserve">Pemasangan 1 m' kabel NYY 1 x 50 mm² </t>
  </si>
  <si>
    <t>Kabel NYY 1 x 50 mm²</t>
  </si>
  <si>
    <t>5.1.1.1.8</t>
  </si>
  <si>
    <t xml:space="preserve">Pemasangan 1 m' kabel NYY 1 x 70 mm² </t>
  </si>
  <si>
    <t>Kabel NYY 1 x 70 mm²</t>
  </si>
  <si>
    <t>5.1.1.1.9</t>
  </si>
  <si>
    <t xml:space="preserve">Pemasangan 1 m' kabel NYY 1 x 95 mm² </t>
  </si>
  <si>
    <t>Kabel NYY 1 x 95 mm²</t>
  </si>
  <si>
    <t>5.1.1.1.10</t>
  </si>
  <si>
    <t xml:space="preserve">Pemasangan 1 m' kabel NYY 1 x 120 mm² </t>
  </si>
  <si>
    <t>Kabel NYY 1 x 120 mm²</t>
  </si>
  <si>
    <t>5.1.1.1.11</t>
  </si>
  <si>
    <t xml:space="preserve">Pemasangan 1 m' kabel NYY 1 x 150 mm² </t>
  </si>
  <si>
    <t>Kabel NYY 1 x 150 mm²</t>
  </si>
  <si>
    <t>5.1.1.1.12</t>
  </si>
  <si>
    <t xml:space="preserve">Pemasangan 1 m' kabel NYY 1 x 185 mm² </t>
  </si>
  <si>
    <t>Kabel NYY 1 x 185 mm²</t>
  </si>
  <si>
    <t>5.1.1.1.13</t>
  </si>
  <si>
    <t xml:space="preserve">Pemasangan 1 m' kabel NYY 1 x 250 mm² </t>
  </si>
  <si>
    <t>Kabel NYY 1 x 250 mm²</t>
  </si>
  <si>
    <t>5.1.1.1.14</t>
  </si>
  <si>
    <t xml:space="preserve">Pemasangan 1 m' kabel NYY 1 x 300 mm² </t>
  </si>
  <si>
    <t>Kabel NYY 1 x 300 mm²</t>
  </si>
  <si>
    <t>5.1.1.1.15</t>
  </si>
  <si>
    <t xml:space="preserve">Pemasangan 1 m' kabel NYY 1 x 400 mm² </t>
  </si>
  <si>
    <t>Kabel NYY 1 x 400 mm²</t>
  </si>
  <si>
    <t>5.1.1.1.16</t>
  </si>
  <si>
    <t xml:space="preserve">Pemasangan 1 m' kabel NYY 1 x 500 mm² </t>
  </si>
  <si>
    <t>Kabel NYY 1 x 500 mm²</t>
  </si>
  <si>
    <t>5.1.1.1.17</t>
  </si>
  <si>
    <t xml:space="preserve">Pemasangan 1 m' kabel NYY 1 x 630 mm² </t>
  </si>
  <si>
    <t>Kabel NYY 1 x 630 mm²</t>
  </si>
  <si>
    <t>5.1.1.1.18</t>
  </si>
  <si>
    <t xml:space="preserve">Pemasangan 1 m' kabel NYY 2 x 1,5 mm² </t>
  </si>
  <si>
    <t>Kabel NYY 2 x 1,5 mm²</t>
  </si>
  <si>
    <t>5.1.1.1.19</t>
  </si>
  <si>
    <t xml:space="preserve">Pemasangan 1 m' kabel NYY 2 x 2,5 mm² </t>
  </si>
  <si>
    <t>Kabel NYY 2 x 2,5 mm²</t>
  </si>
  <si>
    <t>5.1.1.1.20</t>
  </si>
  <si>
    <t xml:space="preserve">Pemasangan 1 m' kabel NYY 2 x 4 mm² </t>
  </si>
  <si>
    <t>Kabel NYY 2 x 4 mm²</t>
  </si>
  <si>
    <t>5.1.1.1..21</t>
  </si>
  <si>
    <t xml:space="preserve">Pemasangan 1 m' kabel NYY 2 x 6 mm² </t>
  </si>
  <si>
    <t>Kabel NYY 2 x 6 mm²</t>
  </si>
  <si>
    <t>5.1.1.1.22</t>
  </si>
  <si>
    <t xml:space="preserve">Pemasangan 1 m' kabel NYY 2 x 10 mm² </t>
  </si>
  <si>
    <t>Kabel NYY 2 x 10 mm²</t>
  </si>
  <si>
    <t>5.1.1.1.23</t>
  </si>
  <si>
    <t xml:space="preserve">Pemasangan 1 m' kabel NYY 2 x 16 mm² </t>
  </si>
  <si>
    <t>Kabel NYY 2 x 16 mm²</t>
  </si>
  <si>
    <t>5.1.1.1.24</t>
  </si>
  <si>
    <t xml:space="preserve">Pemasangan 1 m' kabel NYY 3 x 1,5 mm² </t>
  </si>
  <si>
    <t>Kabel NYY 3 x 1,5 mm²</t>
  </si>
  <si>
    <t>5.1.1.1.25</t>
  </si>
  <si>
    <t xml:space="preserve">Pemasangan 1 m' kabel NYY 3 x 2,5 mm² </t>
  </si>
  <si>
    <t>Kabel NYY 3 x 2,5 mm²</t>
  </si>
  <si>
    <t>5.1.1.1.26</t>
  </si>
  <si>
    <t xml:space="preserve">Pemasangan 1 m' kabel NYY 3 x 4 mm² </t>
  </si>
  <si>
    <t>Kabel NYY 3 x 4 mm²</t>
  </si>
  <si>
    <t>5.1.1.1.27</t>
  </si>
  <si>
    <t xml:space="preserve">Pemasangan 1 m' kabel NYY 3 x 6 mm² </t>
  </si>
  <si>
    <t>Kabel NYY 3 x 6 mm²</t>
  </si>
  <si>
    <t>5.1.1.1.28</t>
  </si>
  <si>
    <t xml:space="preserve">Pemasangan 1 m' kabel NYY 3 x 10 mm² </t>
  </si>
  <si>
    <t>Kabel NYY 3 x 10 mm²</t>
  </si>
  <si>
    <t>5.1.1.1.29</t>
  </si>
  <si>
    <t xml:space="preserve">Pemasangan 1 m' kabel NYY 3 x 16 mm² </t>
  </si>
  <si>
    <t>Kabel NYY 3 x 16 mm²</t>
  </si>
  <si>
    <t>5.1.1.1.30</t>
  </si>
  <si>
    <t xml:space="preserve">Pemasangan 1 m' kabel NYY 3 x 25 mm² </t>
  </si>
  <si>
    <t>Kabel NYY 3 x 25 mm²</t>
  </si>
  <si>
    <t>5.1.1.1.31</t>
  </si>
  <si>
    <t xml:space="preserve">Pemasangan 1 m' kabel NYY 3 x 35 mm² </t>
  </si>
  <si>
    <t>Kabel NYY 3 x 35 mm²</t>
  </si>
  <si>
    <t>5.1.1.1.32</t>
  </si>
  <si>
    <t xml:space="preserve">Pemasangan 1 m' kabel NYY 3 x 50 mm² </t>
  </si>
  <si>
    <t>Kabel NYY 3 x 50 mm²</t>
  </si>
  <si>
    <t>5.1.1.1.33</t>
  </si>
  <si>
    <t xml:space="preserve">Pemasangan 1 m' kabel NYY 4 x 1,5 mm² </t>
  </si>
  <si>
    <t>Kabel NYY 4 x 1,5 mm²</t>
  </si>
  <si>
    <t>5.1.1.1.34</t>
  </si>
  <si>
    <t xml:space="preserve">Pemasangan 1 m' kabel NYY 4 x 2,5 mm² </t>
  </si>
  <si>
    <t>Kabel NYY 4 x 2,5 mm²</t>
  </si>
  <si>
    <t>5.1.1.1.35</t>
  </si>
  <si>
    <t xml:space="preserve">Pemasangan 1 m' kabel NYY 4 x 4 mm² </t>
  </si>
  <si>
    <t>Kabel NYY 4 x 4 mm²</t>
  </si>
  <si>
    <t>5.1.1.1.36</t>
  </si>
  <si>
    <t xml:space="preserve">Pemasangan 1 m' kabel NYY 4 x 6 mm² </t>
  </si>
  <si>
    <t>Kabel NYY 4 x 6 mm²</t>
  </si>
  <si>
    <t>5.1.1.1.37</t>
  </si>
  <si>
    <t xml:space="preserve">Pemasangan 1 m' kabel NYY 4 x 10 mm² </t>
  </si>
  <si>
    <t>Kabel NYY 4 x 10 mm²</t>
  </si>
  <si>
    <t>5.1.1.1.38</t>
  </si>
  <si>
    <t xml:space="preserve">Pemasangan 1 m' kabel NYY 4 x 16 mm² </t>
  </si>
  <si>
    <t>Kabel NYY 4 x 16 mm²</t>
  </si>
  <si>
    <t>5.1.1.1.39</t>
  </si>
  <si>
    <t xml:space="preserve">Pemasangan 1 m' kabel NYY 4 x 25 mm² </t>
  </si>
  <si>
    <t>Kabel NYY 4 x 25 mm²</t>
  </si>
  <si>
    <t>5.1.1.1.40</t>
  </si>
  <si>
    <t xml:space="preserve">Pemasangan 1 m' kabel NYY 4 x 35 mm² </t>
  </si>
  <si>
    <t>Kabel NYY 4 x 35 mm²</t>
  </si>
  <si>
    <t>5.1.1.1.41</t>
  </si>
  <si>
    <t xml:space="preserve">Pemasangan 1 m' kabel NYY 4 x 50 mm² </t>
  </si>
  <si>
    <t>Kabel NYY 4 x 50 mm²</t>
  </si>
  <si>
    <t>5.1.1.1.42</t>
  </si>
  <si>
    <t xml:space="preserve">Pemasangan 1 m' kabel NYY 4 x 70 mm² </t>
  </si>
  <si>
    <t>Kabel NYY 4 x 70 mm²</t>
  </si>
  <si>
    <t>5.1.1.1.43</t>
  </si>
  <si>
    <t xml:space="preserve">Pemasangan 1 m' kabel NYY 4 x 95 mm² </t>
  </si>
  <si>
    <t>Kabel NYY 4 x 95 mm²</t>
  </si>
  <si>
    <t>5.1.1.1.44</t>
  </si>
  <si>
    <t xml:space="preserve">Pemasangan 1 m' kabel NYY 4 x 120 mm² </t>
  </si>
  <si>
    <t>Kabel NYY 4 x 120 mm²</t>
  </si>
  <si>
    <t>5.1.1.1.45</t>
  </si>
  <si>
    <t xml:space="preserve">Pemasangan 1 m' kabel NYY 4 x 150 mm² </t>
  </si>
  <si>
    <t>Kabel NYY 4 x 150 mm²</t>
  </si>
  <si>
    <t>5.1.1.1.46</t>
  </si>
  <si>
    <t xml:space="preserve">Pemasangan 1 m' kabel NYY 4 x 185 mm² </t>
  </si>
  <si>
    <t>Kabel NYY 4 x 185 mm²</t>
  </si>
  <si>
    <t>5.1.1.1.47</t>
  </si>
  <si>
    <t xml:space="preserve">Pemasangan 1 m' kabel NYY 4 x 240 mm² </t>
  </si>
  <si>
    <t>Kabel NYY 4 x 240 mm²</t>
  </si>
  <si>
    <t>5.1.1.1.48</t>
  </si>
  <si>
    <t xml:space="preserve">Pemasangan 1 m' kabel NYY 4 x 300 mm² </t>
  </si>
  <si>
    <t>Kabel NYY 4 x 300 mm²</t>
  </si>
  <si>
    <t>5.1.1.2</t>
  </si>
  <si>
    <t>Kabel NYA</t>
  </si>
  <si>
    <t>5.1.1.2.1</t>
  </si>
  <si>
    <t xml:space="preserve">Pemasangan 1 m' kabel NYA 1 x 1,5 mm² </t>
  </si>
  <si>
    <t>Kabel NYA 1 x 1,5 mm²</t>
  </si>
  <si>
    <t>5.1.1.2.2</t>
  </si>
  <si>
    <t xml:space="preserve">Pemasangan 1 m' kabel NYA 1 x 2,5 mm² </t>
  </si>
  <si>
    <t>Kabel NYA 1 x 2,5 mm²</t>
  </si>
  <si>
    <t>5.1.1.2.3</t>
  </si>
  <si>
    <t xml:space="preserve">Pemasangan 1 m' kabel NYA 1 x 4 mm² </t>
  </si>
  <si>
    <t>Kabel NYA 1 x 4 mm²</t>
  </si>
  <si>
    <t>5.1.1.2.4</t>
  </si>
  <si>
    <t xml:space="preserve">Pemasangan 1 m' kabel NYA 1 x 6 mm² </t>
  </si>
  <si>
    <t>Kabel NYA 1 x 6 mm²</t>
  </si>
  <si>
    <t>5.1.1.2.5</t>
  </si>
  <si>
    <t xml:space="preserve">Pemasangan 1 m' kabel NYA 1 x 10 mm² </t>
  </si>
  <si>
    <t>Kabel NYA 1 x 10 mm²</t>
  </si>
  <si>
    <t>5.1.1.2.6</t>
  </si>
  <si>
    <t xml:space="preserve">Pemasangan 1 m' kabel NYA 1 x 16 mm² </t>
  </si>
  <si>
    <t>Kabel NYA 1 x 16 mm²</t>
  </si>
  <si>
    <t>5.1.1.2.7</t>
  </si>
  <si>
    <t xml:space="preserve">Pemasangan 1 m' kabel NYA 2 x 1,5 mm² + PVC conduit HI 20 mm²
</t>
  </si>
  <si>
    <t>1</t>
  </si>
  <si>
    <t>Kabel NYA 2 x 1,5 mm²</t>
  </si>
  <si>
    <t>2</t>
  </si>
  <si>
    <t>PVC conduit HI 20 mm²</t>
  </si>
  <si>
    <t>5.1.1.2.8</t>
  </si>
  <si>
    <t xml:space="preserve">Pemasangan 1 m' kabel NYA 3 x 1,5 mm² + PVC conduit HI 20 mm²
</t>
  </si>
  <si>
    <t>Kabel NYA 3 x 1,5 mm²</t>
  </si>
  <si>
    <t>5.1.1.2.9</t>
  </si>
  <si>
    <t xml:space="preserve">Pemasangan 1 m' kabel NYA 3 x 2,5 mm² + PVC conduit HI 20 mm²
</t>
  </si>
  <si>
    <t>Kabel NYA 3 x 2,5 mm²</t>
  </si>
  <si>
    <t>5.1.1.2.10</t>
  </si>
  <si>
    <t xml:space="preserve">Pemasangan 1 m' kabel NYA 3 x 2,5 mm² + PVC conduit HI 32 mm²
</t>
  </si>
  <si>
    <t>Tukang Listrik</t>
  </si>
  <si>
    <t>PVC conduit HI 32 mm²</t>
  </si>
  <si>
    <t>5.1.1.2.11</t>
  </si>
  <si>
    <t xml:space="preserve">Pemasangan 1 m' kabel NYA 5 x 2,5 mm² + PVC conduit HI 20 mm²
</t>
  </si>
  <si>
    <t>Kabel NYA 5 x 2,5 mm²</t>
  </si>
  <si>
    <t>5.1.1.2.12</t>
  </si>
  <si>
    <t xml:space="preserve">Pemasangan 1 m' kabel NYA 5 x 2,5 mm² + PVC conduit HI 32 mm²
</t>
  </si>
  <si>
    <t>5.1.1.2.13</t>
  </si>
  <si>
    <t xml:space="preserve">Pemasangan 1 m' kabel NYA 1 x 35 mm² 
</t>
  </si>
  <si>
    <t>Kabel NYA 1 x 35 mm²</t>
  </si>
  <si>
    <t>5.1.1.2.14</t>
  </si>
  <si>
    <t xml:space="preserve">Pemasangan 1 m' kabel NYA 1 x 95 mm² 
</t>
  </si>
  <si>
    <t>Kabel NYA 1 x 95 mm²</t>
  </si>
  <si>
    <t>5.1.1.3</t>
  </si>
  <si>
    <t xml:space="preserve">Kabel NYM </t>
  </si>
  <si>
    <t>5.1.1.3.1</t>
  </si>
  <si>
    <t xml:space="preserve">Pemasangan 1 m' kabel NYM 2 x 1,5 mm²
</t>
  </si>
  <si>
    <t>Kabel NYM 2 x 1,5 mm²</t>
  </si>
  <si>
    <t>5.1.1.3.2</t>
  </si>
  <si>
    <t xml:space="preserve">Pemasangan 1 m' kabel NYM 2 x 2,5 mm²
</t>
  </si>
  <si>
    <t>Kabel NYM 2 x 2,5 mm²</t>
  </si>
  <si>
    <t>5.1.1.3.3</t>
  </si>
  <si>
    <t xml:space="preserve">Pemasangan 1 m' kabel NYM 2 x 4 mm²
</t>
  </si>
  <si>
    <t>Kabel NYM 2 x 4 mm²</t>
  </si>
  <si>
    <t>5.1.1.3.4</t>
  </si>
  <si>
    <t xml:space="preserve">Pemasangan 1 m' kabel NYM 2 x 6 mm²
</t>
  </si>
  <si>
    <t>Kabel NYM 2 x 6 mm²</t>
  </si>
  <si>
    <t>5.1.1.3.5</t>
  </si>
  <si>
    <t xml:space="preserve">Pemasangan 1 m' kabel NYM 2 x 10 mm²
</t>
  </si>
  <si>
    <t>Kabel NYM 2 x 10 mm²</t>
  </si>
  <si>
    <t>5.1.1.3.6</t>
  </si>
  <si>
    <t xml:space="preserve">Pemasangan 1 m' kabel NYM 3 x 1,5 mm²
</t>
  </si>
  <si>
    <t>Kabel NYM 3 x 1,5 mm²</t>
  </si>
  <si>
    <t>5.1.1.3.7</t>
  </si>
  <si>
    <t xml:space="preserve">Pemasangan 1 m' kabel NYM 3 x 2,5 mm²
</t>
  </si>
  <si>
    <t>Kabel NYM 3 x 2,5 mm²</t>
  </si>
  <si>
    <t>5.1.1.3.8</t>
  </si>
  <si>
    <t xml:space="preserve">Pemasangan 1 m' kabel NYM 3 x 4 mm²
</t>
  </si>
  <si>
    <t>Kabel NYM 3 x 4 mm²</t>
  </si>
  <si>
    <t>5.1.1.3.9</t>
  </si>
  <si>
    <t xml:space="preserve">Pemasangan 1 m' kabel NYM 3 x 6 mm²
</t>
  </si>
  <si>
    <t>Kabel NYM 3 x 6 mm²</t>
  </si>
  <si>
    <t>5.1.1.3.10</t>
  </si>
  <si>
    <t xml:space="preserve">Pemasangan 1 m' kabel NYM 3 x 10 mm²
</t>
  </si>
  <si>
    <t>Kabel NYM 3 x 10 mm²</t>
  </si>
  <si>
    <t>5.1.1.3.11</t>
  </si>
  <si>
    <t xml:space="preserve">Pemasangan 1 m' kabel NYM 4 x 1,5 mm²
</t>
  </si>
  <si>
    <t>Kabel NYM 4 x 1,5 mm²</t>
  </si>
  <si>
    <t>5.1.1.3.12</t>
  </si>
  <si>
    <t xml:space="preserve">Pemasangan 1 m' kabel NYM 4 x 2,5 mm²
</t>
  </si>
  <si>
    <t>Kabel NYM 4 x 2,5 mm²</t>
  </si>
  <si>
    <t>5.1.1.3.13</t>
  </si>
  <si>
    <t xml:space="preserve">Pemasangan 1 m' kabel NYM 4 x 4 mm²
</t>
  </si>
  <si>
    <t>Kabel NYM 4 x 4 mm²</t>
  </si>
  <si>
    <t>5.1.1.3.14</t>
  </si>
  <si>
    <t xml:space="preserve">Pemasangan 1 m' kabel NYM 4 x 6 mm²
</t>
  </si>
  <si>
    <t>Kabel NYM 4 x 6 mm²</t>
  </si>
  <si>
    <t>5.1.1.3.15</t>
  </si>
  <si>
    <t xml:space="preserve">Pemasangan 1 m' kabel NYM 4 x 10 mm²
</t>
  </si>
  <si>
    <t>Kabel NYM 4 x 10 mm²</t>
  </si>
  <si>
    <t>5.1.1.3.16</t>
  </si>
  <si>
    <t xml:space="preserve">Pemasangan 1 m' kabel NYM 4 x 16 mm²
</t>
  </si>
  <si>
    <t>Kabel NYM 4 x 16 mm²</t>
  </si>
  <si>
    <t>5.1.1.4</t>
  </si>
  <si>
    <t>Kabel NYMHY</t>
  </si>
  <si>
    <t>5.1.1.4.1</t>
  </si>
  <si>
    <t xml:space="preserve">Pemasangan 1 m' kabel NYMHY 2 x 1,5 mm²
</t>
  </si>
  <si>
    <t>Kabel NYMHY 2 x 1,5 mm²</t>
  </si>
  <si>
    <t>5.1.1.4.2</t>
  </si>
  <si>
    <t xml:space="preserve">Pemasangan 1 m' kabel NYMHY 2 x 2,5 mm²
</t>
  </si>
  <si>
    <t>Kabel NYMHY 2 x 2,5 mm²</t>
  </si>
  <si>
    <t>5.1.1.4.3</t>
  </si>
  <si>
    <t xml:space="preserve">Pemasangan 1 m' kabel NYMHY 3 x 1,5 mm²
</t>
  </si>
  <si>
    <t>Kabel NYMHY 3 x 1,5 mm²</t>
  </si>
  <si>
    <t>5.1.1.4.4</t>
  </si>
  <si>
    <t xml:space="preserve">Pemasangan 1 m' kabel NYMHY 3 x 2,5 mm²
</t>
  </si>
  <si>
    <t>Kabel NYMHY 3 x 2,5 mm²</t>
  </si>
  <si>
    <t>5.1.1.4.5</t>
  </si>
  <si>
    <t xml:space="preserve">Pemasangan 1 m' kabel NYMHY 4 x 2,5 mm²
</t>
  </si>
  <si>
    <t>Kabel NYMHY 4 x 2,5 mm²</t>
  </si>
  <si>
    <t>5.1.1.4.6</t>
  </si>
  <si>
    <t xml:space="preserve">Pemasangan 1 m' kabel NYMHY 3 x 1,5 mm² + PVC conduit HI 20 mm²
</t>
  </si>
  <si>
    <t>Revisi</t>
  </si>
  <si>
    <t xml:space="preserve">Perubahan di bahan Kabel digabung dengan Conduit PVC jadi satu </t>
  </si>
  <si>
    <t>Kabel NYMHY 3 x 1,5
mm2 + Conduit PVC
HI 20 mm dan
aksesoris</t>
  </si>
  <si>
    <t>5.1.1.4.7</t>
  </si>
  <si>
    <t xml:space="preserve">Pemasangan 1 m' kabel NYMHY 2 (3 x 1,5 mm²) + PVC conduit HI 20 mm²
</t>
  </si>
  <si>
    <t>Kabel NYMHY 2(3 x
1,5 mm2) + Conduit
PVC HI 20 mm dan
aksesoris</t>
  </si>
  <si>
    <t>5.1.1.5</t>
  </si>
  <si>
    <t>Kabel NYFGBY</t>
  </si>
  <si>
    <t>5.1.1.5.1</t>
  </si>
  <si>
    <t xml:space="preserve">Pemasangan 1 m' kabel NYFGBY 2 x 1,5 mm²
</t>
  </si>
  <si>
    <t>Kabel NYFGBY 2 x 1,5 mm²</t>
  </si>
  <si>
    <t>5.1.1.5.2</t>
  </si>
  <si>
    <t xml:space="preserve">Pemasangan 1 m' kabel NYFGBY 2 x 2,5 mm²
</t>
  </si>
  <si>
    <t>Kabel NYFGBY 2 x 2,5 mm²</t>
  </si>
  <si>
    <t>5.1.1.5.3</t>
  </si>
  <si>
    <t xml:space="preserve">Pemasangan 1 m' kabel NYFGBY 2 x 4 mm²
</t>
  </si>
  <si>
    <t>Kabel NYFGBY 2 x 4 mm²</t>
  </si>
  <si>
    <t>5.1.1.5.4</t>
  </si>
  <si>
    <t xml:space="preserve">Pemasangan 1 m' kabel NYFGBY 2 x 6 mm²
</t>
  </si>
  <si>
    <t>Kabel NYFGBY 2 x 6 mm²</t>
  </si>
  <si>
    <t>5.1.1.5.5</t>
  </si>
  <si>
    <t xml:space="preserve">Pemasangan 1 m' kabel NYFGBY 2 x 10 mm²
</t>
  </si>
  <si>
    <t>Kabel NYFGBY 2 x 10 mm²</t>
  </si>
  <si>
    <t>5.1.1.5.6</t>
  </si>
  <si>
    <t xml:space="preserve">Pemasangan 1 m' kabel NYFGBY 2 x 16 mm²
</t>
  </si>
  <si>
    <t>Kabel NYFGBY 2 x 16 mm²</t>
  </si>
  <si>
    <t>5.1.1.5.7</t>
  </si>
  <si>
    <t xml:space="preserve">Pemasangan 1 m' kabel NYFGBY 3 x 1,5 mm²
</t>
  </si>
  <si>
    <t>Kabel NYFGBY 3 x 1,5 mm²</t>
  </si>
  <si>
    <t>5.1.1.5.8</t>
  </si>
  <si>
    <t xml:space="preserve">Pemasangan 1 m' kabel NYFGBY 3 x 2,5 mm²
</t>
  </si>
  <si>
    <t>Kabel NYFGBY 3 x 2,5 mm²</t>
  </si>
  <si>
    <t>5.1.1.5.9</t>
  </si>
  <si>
    <t xml:space="preserve">Pemasangan 1 m' kabel NYFGBY 3 x 4 mm²
</t>
  </si>
  <si>
    <t>Kabel NYFGBY 3 x 4 mm²</t>
  </si>
  <si>
    <t>5.1.1.5.10</t>
  </si>
  <si>
    <t xml:space="preserve">Pemasangan 1 m' kabel NYFGBY 3 x 6 mm²
</t>
  </si>
  <si>
    <t>Kabel NYFGBY 3 x 6 mm²</t>
  </si>
  <si>
    <t>5.1.1.5.11</t>
  </si>
  <si>
    <t xml:space="preserve">Pemasangan 1 m' kabel NYFGBY 3 x 10 mm²
</t>
  </si>
  <si>
    <t>Kabel NYFGBY 3 x 10 mm²</t>
  </si>
  <si>
    <t>5.1.1.5.12</t>
  </si>
  <si>
    <t xml:space="preserve">Pemasangan 1 m' kabel NYFGBY 3 x 16 mm²
</t>
  </si>
  <si>
    <t>Kabel NYFGBY 3 x 16 mm²</t>
  </si>
  <si>
    <t>5.1.1.5.13</t>
  </si>
  <si>
    <t xml:space="preserve">Pemasangan 1 m' kabel NYFGBY 4 x 1,5 mm²
</t>
  </si>
  <si>
    <t>Kabel NYFGBY 4 x 1,5 mm²</t>
  </si>
  <si>
    <t>5.1.1.5.14</t>
  </si>
  <si>
    <t xml:space="preserve">Pemasangan 1 m' kabel NYFGBY 4 x 2,5 mm²
</t>
  </si>
  <si>
    <t>Kabel NYFGBY 4 x 2,5 mm²</t>
  </si>
  <si>
    <t>5.1.1.5.15</t>
  </si>
  <si>
    <t xml:space="preserve">Pemasangan 1 m' kabel NYFGBY 4 x 4 mm²
</t>
  </si>
  <si>
    <t>Kabel NYFGBY 4 x 4 mm²</t>
  </si>
  <si>
    <t>5.1.1.5.16</t>
  </si>
  <si>
    <t xml:space="preserve">Pemasangan 1 m' kabel NYFGBY 4 x 6 mm²
</t>
  </si>
  <si>
    <t>Kabel NYFGBY 4 x 6 mm²</t>
  </si>
  <si>
    <t>5.1.1.5.17</t>
  </si>
  <si>
    <t xml:space="preserve">Pemasangan 1 m' kabel NYFGBY 4 x 10 mm²
</t>
  </si>
  <si>
    <t>Kabel NYFGBY 4 x 10 mm²</t>
  </si>
  <si>
    <t>5.1.1.5.18</t>
  </si>
  <si>
    <t xml:space="preserve">Pemasangan 1 m' kabel NYFGBY 4 x 16 mm²
</t>
  </si>
  <si>
    <t>Kabel NYFGBY 4 x 16 mm²</t>
  </si>
  <si>
    <t>5.1.1.5.19</t>
  </si>
  <si>
    <t xml:space="preserve">Pemasangan 1 m' kabel NYFGBY 4 x 25 mm²
</t>
  </si>
  <si>
    <t>Kabel NYFGBY 4 x 25 mm²</t>
  </si>
  <si>
    <t>5.1.1.5.20</t>
  </si>
  <si>
    <t xml:space="preserve">Pemasangan 1 m' kabel NYFGBY 4 x 35 mm²
</t>
  </si>
  <si>
    <t>Kabel NYFGBY 4 x 35 mm²</t>
  </si>
  <si>
    <t>5.1.1.5.21</t>
  </si>
  <si>
    <t xml:space="preserve">Pemasangan 1 m' kabel NYFGBY 4 x 50 mm²
</t>
  </si>
  <si>
    <t>Kabel NYFGBY 4 x 50 mm²</t>
  </si>
  <si>
    <t>5.1.1.5.22</t>
  </si>
  <si>
    <t xml:space="preserve">Pemasangan 1 m' kabel NYFGBY 4 x 70 mm²
</t>
  </si>
  <si>
    <t>Kabel NYFGBY 4 x 70 mm²</t>
  </si>
  <si>
    <t>5.1.1.5.23</t>
  </si>
  <si>
    <t xml:space="preserve">Pemasangan 1 m' kabel NYFGBY 4 x 95 mm²
</t>
  </si>
  <si>
    <t>Kabel NYFGBY 4 x 95 mm²</t>
  </si>
  <si>
    <t>5.1.1.5.24</t>
  </si>
  <si>
    <t xml:space="preserve">Pemasangan 1 m' kabel NYFGBY 4 x 120 mm²
</t>
  </si>
  <si>
    <t>Kabel NYFGBY 4 x 120 mm²</t>
  </si>
  <si>
    <t>5.1.1.5.25</t>
  </si>
  <si>
    <t xml:space="preserve">Pemasangan 1 m' kabel NYFGBY 4 x 150 mm²
</t>
  </si>
  <si>
    <t>Kabel NYFGBY 4 x 150 mm²</t>
  </si>
  <si>
    <t>5.1.1.5.26</t>
  </si>
  <si>
    <t xml:space="preserve">Pemasangan 1 m' kabel NYFGBY 4 x 185 mm²
</t>
  </si>
  <si>
    <t>Kabel NYFGBY 4 x 185 mm²</t>
  </si>
  <si>
    <t>5.1.1.5.27</t>
  </si>
  <si>
    <t xml:space="preserve">Pemasangan 1 m' kabel NYFGBY 4 x 240 mm²
</t>
  </si>
  <si>
    <t>Kabel NYFGBY 4 x 240 mm²</t>
  </si>
  <si>
    <t>5.1.1.5.28</t>
  </si>
  <si>
    <t xml:space="preserve">Pemasangan 1 m' kabel NYFGBY 4 x 300 mm²
</t>
  </si>
  <si>
    <t>Kabel NYFGBY 4 x 300 mm²</t>
  </si>
  <si>
    <t>5.1.1.6</t>
  </si>
  <si>
    <t>Kabel FRC 3 x 2,5 mm²</t>
  </si>
  <si>
    <t>5.1.1.6.1</t>
  </si>
  <si>
    <t xml:space="preserve">Pemasangan 1 m' kabel FRC 3 x 2,5 mm²
</t>
  </si>
  <si>
    <t>5.1.1.6.2</t>
  </si>
  <si>
    <t xml:space="preserve">Pemasangan 1 m' kabel FRC 4 x 4 mm²
</t>
  </si>
  <si>
    <t>Kabel FRC 4 x 4 mm²</t>
  </si>
  <si>
    <t>5.1.1.6.3</t>
  </si>
  <si>
    <t xml:space="preserve">Pemasangan 1 m' kabel FRC 4 x 6 mm²
</t>
  </si>
  <si>
    <t>Kabel FRC 4 x 6 mm²</t>
  </si>
  <si>
    <t>5.1.1.6.4</t>
  </si>
  <si>
    <t xml:space="preserve">Pemasangan 1 m' kabel FRC 4 x 150 mm²
</t>
  </si>
  <si>
    <t>Kabel FRC 4 x 150 mm²</t>
  </si>
  <si>
    <t>5.1.1.6.5</t>
  </si>
  <si>
    <t xml:space="preserve">Pemasangan 1 m' kabel FRC 1 x 150 mm²
</t>
  </si>
  <si>
    <t>Kabel FRC 1 x 150 mm²</t>
  </si>
  <si>
    <t>5.1.1.6.6</t>
  </si>
  <si>
    <r>
      <t>Pemasangan 1 m' kabel FRC 2 x 1,5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</si>
  <si>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t xml:space="preserve">Perubahan Bahan di gabung jadi satu </t>
  </si>
  <si>
    <t>Kabel FRC 2 x 1,5 mm2 + PVC Conduit HI 20 mm dan aksesoris</t>
  </si>
  <si>
    <t>5.1.1.6.7</t>
  </si>
  <si>
    <r>
      <t>Pemasangan 1 m' kabel FRC 2 x 2,5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</si>
  <si>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t xml:space="preserve">Perubahan bahan jadi satu </t>
  </si>
  <si>
    <t>Kabel FRC 2 x 2,5 mm2 + PVC Conduit HI 20 mm dan aksesoris</t>
  </si>
  <si>
    <t>5.1.1.7</t>
  </si>
  <si>
    <t>Kabel BCC</t>
  </si>
  <si>
    <t>5.1.1.7.1</t>
  </si>
  <si>
    <t xml:space="preserve">Pemasangan 1 m' kabel BCC 4 mm² (0,04 kg/m)
</t>
  </si>
  <si>
    <t>Kabel BCC 4 mm² (0,04 kg/m)</t>
  </si>
  <si>
    <t>5.1.1.7.2</t>
  </si>
  <si>
    <t xml:space="preserve">Pemasangan 1 m' kabel BCC 6 mm² (0,06 kg/m)
</t>
  </si>
  <si>
    <t>Perubahan penambahan acsesoris di bahan</t>
  </si>
  <si>
    <t>BCC 6 mm2 (0,06 kg/m) dan aksesoris</t>
  </si>
  <si>
    <t>5.1.1.7.3</t>
  </si>
  <si>
    <t xml:space="preserve">Pemasangan 1 m' kabel BCC 10 mm² (0,10 kg/m)
</t>
  </si>
  <si>
    <t>Kabel BCC 10 mm² (0,10 kg/m)</t>
  </si>
  <si>
    <t>5.1.1.7.4</t>
  </si>
  <si>
    <t xml:space="preserve">Pemasangan 1 m' kabel BCC 16 mm² (0,16 kg/m)
</t>
  </si>
  <si>
    <t>Kabel BCC 16 mm² (0,16 kg/m)</t>
  </si>
  <si>
    <t>5.1.1.7.5</t>
  </si>
  <si>
    <t xml:space="preserve">Pemasangan 1 m' kabel BCC 25 mm² (0,25 kg/m)
</t>
  </si>
  <si>
    <t>Kabel BCC 25 mm² (0,25 kg/m)</t>
  </si>
  <si>
    <t>5.1.1.7.6</t>
  </si>
  <si>
    <t xml:space="preserve">Pemasangan 1 m' kabel BCC 35 mm² (0,35 kg/m)
</t>
  </si>
  <si>
    <t>Kabel BCC 35 mm² (0,35 kg/m)</t>
  </si>
  <si>
    <t>5.1.1.7.7</t>
  </si>
  <si>
    <t xml:space="preserve">Pemasangan 1 m' kabel BCC 50 mm² (0,50 kg/m)
</t>
  </si>
  <si>
    <t>Kabel BCC 50 mm² (0,50 kg/m)</t>
  </si>
  <si>
    <t>5.1.1.7.8</t>
  </si>
  <si>
    <t xml:space="preserve">Pemasangan 1 m' kabel BCC 70 mm² (0,70 kg/m)
</t>
  </si>
  <si>
    <t>Kabel BCC 70 mm² (0,70 kg/m)</t>
  </si>
  <si>
    <t>Biaya Umum dan Keuntungan 10% x D</t>
  </si>
  <si>
    <t>10% x D</t>
  </si>
  <si>
    <t>5.1.1.7.9</t>
  </si>
  <si>
    <t xml:space="preserve">Pemasangan 1 m' kabel BCC 95 mm² (0,95 kg/m)
</t>
  </si>
  <si>
    <t>Kabel BCC 95 mm² (0,95 kg/m)</t>
  </si>
  <si>
    <t xml:space="preserve">5.1.1.8 </t>
  </si>
  <si>
    <t>Kabel STP</t>
  </si>
  <si>
    <t>5.1.1.8.1</t>
  </si>
  <si>
    <t xml:space="preserve">Pemasangan 1 m' Kabel STP AWG 18 + PVC Conduit HI 20 mm
</t>
  </si>
  <si>
    <t xml:space="preserve">Perubahan Bahan jadi satu </t>
  </si>
  <si>
    <t>Kabel STP AWG 18 + PVC Conduit HI 20 mm (dari MCFA ke TB) dan aksesoris</t>
  </si>
  <si>
    <t>5.1.1.9</t>
  </si>
  <si>
    <t xml:space="preserve">Kabel ITC </t>
  </si>
  <si>
    <t>5.1.1.9.1</t>
  </si>
  <si>
    <t>Pemasangan 1 m' kabel ITC 2x2x0,6 mm2 + PVC Conduit HI 20 mm2</t>
  </si>
  <si>
    <t>Perubahan Koefisisen Bshan dr 1,15 jadi 1,125</t>
  </si>
  <si>
    <t>Kabel ITC 2 x 2 x 0,6 mm2 + PVC Conduit HI 20 mm dan aksesoris</t>
  </si>
  <si>
    <t>5.1.1.10</t>
  </si>
  <si>
    <t>Kabel UTP</t>
  </si>
  <si>
    <t>5.1.1.10.1</t>
  </si>
  <si>
    <t>Pemasangan 1 m' kabel UTP CAT 6 + PVC Conduit HI 20 mm2</t>
  </si>
  <si>
    <t>Kabel UTP CAT 6</t>
  </si>
  <si>
    <t>5.1.1.11</t>
  </si>
  <si>
    <t xml:space="preserve">Kabel Coaxial </t>
  </si>
  <si>
    <t>5.1.1.11.1</t>
  </si>
  <si>
    <t xml:space="preserve">Pemasangan 1 m' kabel Coaxial 7C-2V </t>
  </si>
  <si>
    <t xml:space="preserve">Kabel Coaxial 7C-2V </t>
  </si>
  <si>
    <t>5.1.1.12</t>
  </si>
  <si>
    <t>Kabel TRAY / Ladder</t>
  </si>
  <si>
    <t>5.1.1.12.1</t>
  </si>
  <si>
    <t xml:space="preserve">Pemasangan 1 Unit Kabel Tray (Horizontal) 600x100mm TRU Powder Coating
</t>
  </si>
  <si>
    <t>Kabel tray 600 x 100 mm</t>
  </si>
  <si>
    <t>5.1.1.12.2</t>
  </si>
  <si>
    <t xml:space="preserve">Pemasangan 1 unit kabel tray (horizontal) 500 x 100 mm
</t>
  </si>
  <si>
    <t>Kabel tray 500 x 100 mm</t>
  </si>
  <si>
    <t>5.1.1.12.3</t>
  </si>
  <si>
    <t xml:space="preserve">Pemasangan 1 unit kabel tray (horizontal) 400 x 100 mm
</t>
  </si>
  <si>
    <t>Kabel tray 400 x 100 mm</t>
  </si>
  <si>
    <t>5.1.1.12.4</t>
  </si>
  <si>
    <t xml:space="preserve">Pemasangan 1 unit kabel tray (horizontal) 300 x 100 mm
</t>
  </si>
  <si>
    <t>Kabel tray 300 x 100 mm</t>
  </si>
  <si>
    <t>5.1.1.12.5</t>
  </si>
  <si>
    <t xml:space="preserve">Pemasangan 1 unit kabel tray (horizontal) 200 x 100 mm
</t>
  </si>
  <si>
    <t>Kabel tray 200 x 100 mm</t>
  </si>
  <si>
    <t>5.1.1.12.6</t>
  </si>
  <si>
    <t xml:space="preserve">Pemasangan 1 unit kabel tray (vertikal) 600 x 100 mm
</t>
  </si>
  <si>
    <t>51.1.12.7</t>
  </si>
  <si>
    <t xml:space="preserve">Pemasangan 1 unit kabel tray (vertikal) 500 x 100 mm
</t>
  </si>
  <si>
    <t>5.1.1.12.8</t>
  </si>
  <si>
    <t xml:space="preserve">Pemasangan 1 unit kabel tray (vertikal) 400 x 100 mm
</t>
  </si>
  <si>
    <t>5.1.1.12.9</t>
  </si>
  <si>
    <t xml:space="preserve">Pemasangan 1 unit kabel tray (vertikal) 300 x 100 mm
</t>
  </si>
  <si>
    <t>5.1.1.12.10</t>
  </si>
  <si>
    <t xml:space="preserve">Pemasangan 1 unit kabel tray (vertikal) 200 x 100 mm
</t>
  </si>
  <si>
    <t>5.1.1.12.11</t>
  </si>
  <si>
    <t xml:space="preserve">Pemasangan 1 unit kabel Ladder  500 x 100 mm
</t>
  </si>
  <si>
    <t xml:space="preserve">Kabel Ladder 500 x100 mm </t>
  </si>
  <si>
    <t>5.1.1.12.12</t>
  </si>
  <si>
    <t xml:space="preserve">Pemasangan 1 unit kabel Ladder  600 x 100 mm
</t>
  </si>
  <si>
    <t xml:space="preserve">Kabel Ladder 600 x100 mm </t>
  </si>
  <si>
    <t>5.1.1.12.13</t>
  </si>
  <si>
    <t xml:space="preserve">Pemasangan 1 unit kabel Ladder  800 x 100 mm
</t>
  </si>
  <si>
    <t xml:space="preserve">Kabel Ladder 800 x100 mm </t>
  </si>
  <si>
    <t>5.1.1.12.14</t>
  </si>
  <si>
    <t xml:space="preserve">Pemasangan 1 unit pasang baja ringan 75 x 35 mm + Hanger
</t>
  </si>
  <si>
    <t>Baja ringan C75 x 1,00 mm (m)</t>
  </si>
  <si>
    <t>Hanger tray panjang 2,5 m</t>
  </si>
  <si>
    <t>buah</t>
  </si>
  <si>
    <t>3</t>
  </si>
  <si>
    <t>Mur baut kabel tray</t>
  </si>
  <si>
    <t>4</t>
  </si>
  <si>
    <t>Klem kabel tray</t>
  </si>
  <si>
    <t>5.1.1.12.15</t>
  </si>
  <si>
    <t>Pemasangan 1 Unit Kabel Tray (Horizontal) 1000 x 100 mm TRU Powder Coating</t>
  </si>
  <si>
    <t xml:space="preserve">Baru </t>
  </si>
  <si>
    <t>Kabel Tray (Horizontal) 1000 x 100 mm TRU Powder Coating dan aksesoris</t>
  </si>
  <si>
    <t>5.1.1.12.16</t>
  </si>
  <si>
    <t>Pemasangan 1 Unit Kabel Tray (Horizontal) 1000 x 100 mm TRU Hot Dip Galvanized</t>
  </si>
  <si>
    <t>Kabel Tray (Horizontal) 1000 x 100 mm TRU Hot Dip Galvanized dan aksesoris</t>
  </si>
  <si>
    <t>5.1.1.12.17</t>
  </si>
  <si>
    <t>Pemasangan 1 Unit Kabel Tray (Horizontal) 1000 x 100 mm TRU OCP</t>
  </si>
  <si>
    <t>Kabel Tray (Horizontal) 1000 x 100 mm TRU OCP dan aksesoris</t>
  </si>
  <si>
    <t>5.1.1.12.18</t>
  </si>
  <si>
    <t>Pemasangan 1 Unit Kabel Tray (Horizontal) 1000 x 100 mm TRC Powder Coating</t>
  </si>
  <si>
    <t>Kabel Tray (Horizontal) 1000 x 100 mm TRC Powder Coating dan aksesoris</t>
  </si>
  <si>
    <t>5.1.1.12.19</t>
  </si>
  <si>
    <t>Pemasangan 1 Unit Kabel Tray (Horizontal) 1000 x 100 mm TRC Hot Dip Galvanized</t>
  </si>
  <si>
    <t>Kabel Tray (Horizontal) 1000 x 100 mm TRC Hot Dip Galvanized dan aksesoris</t>
  </si>
  <si>
    <t>5.1.1.12.20</t>
  </si>
  <si>
    <t>Pemasangan 1 Unit Kabel Tray (Horizontal) 1000 x 100 mm TRC OCP</t>
  </si>
  <si>
    <t>Kabel Tray (Horizontal) 1000 x 100 mm TRC OCP dan aksesoris</t>
  </si>
  <si>
    <t>5.1.1.12.21</t>
  </si>
  <si>
    <t>Pemasangan 1 Unit Kabel Tray (Horizontal) 900 x 100 mm TRU Powder Coating</t>
  </si>
  <si>
    <t>Kabel Tray (Horizontal) 900 x 100 mm TRU Powder Coating dan aksesoris</t>
  </si>
  <si>
    <t>5.1.1.12.22</t>
  </si>
  <si>
    <t>Pemasangan 1 Unit Kabel Tray (Horizontal) 900 x 100 mm
TRU Hot Dip Galvanized</t>
  </si>
  <si>
    <t>Kabel Tray
(Horizontal) 900 x
100 mm TRU Hot Dip
Galvanized dan
aksesoris</t>
  </si>
  <si>
    <t>5.1.1.12.23</t>
  </si>
  <si>
    <t>Pemasangan 1 Unit Kabel Tray (Horizontal) 900 x 100 mm
TRU OCP</t>
  </si>
  <si>
    <t>Kabel Tray
(Horizontal) 900 x
100 mm TRU OCP
dan aksesoris</t>
  </si>
  <si>
    <t>5.1.1.12.24</t>
  </si>
  <si>
    <t>Pemasangan 1 Unit Kabel Tray (Horizontal) 900 x 100 mm TRC Powder Coating</t>
  </si>
  <si>
    <t>Kabel Tray (Horizontal) 900 x 100 mm TRC Powder Coating dan aksesoris</t>
  </si>
  <si>
    <t>5.1.1.12.25</t>
  </si>
  <si>
    <t>Pemasangan 1 Unit Kabel Tray (Horizontal) 900 x 100 mm TRC Hot Dip Galvanized</t>
  </si>
  <si>
    <t>Kabel Tray (Horizontal) 900 x 100 mm TRC Hot Dip Galvanized dan aksesoris</t>
  </si>
  <si>
    <t>5.1.1.12.26</t>
  </si>
  <si>
    <t>Pemasangan 1 Unit Kabel Tray (Horizontal) 900 x 100 mm
TRC OCP</t>
  </si>
  <si>
    <t>Kabel Tray
(Horizontal) 900 x
100 mm TRC OCP
dan aksesoris</t>
  </si>
  <si>
    <t>5.1.1.12.27</t>
  </si>
  <si>
    <t>Pemasangan 1 Unit Kabel Tray (Horizontal) 800 x 100 mm
TRU Powder Coating</t>
  </si>
  <si>
    <t>Kabel Tray
(Horizontal) 800 x
100 mm TRU Powder
Coating dan aksesoris</t>
  </si>
  <si>
    <t>5.1.1.12.28</t>
  </si>
  <si>
    <t>Pemasangan 1 Unit Kabel Tray (Horizontal) 800 x 100 mm
TRU Hot Dip Galvanized</t>
  </si>
  <si>
    <t>Kabel Tray
(Horizontal) 800 x
100 mm TRU Hot Dip
Galvanized dan
aksesoris</t>
  </si>
  <si>
    <t>5.1.1.12.29</t>
  </si>
  <si>
    <t>Pemasangan 1 Unit Kabel Tray (Horizontal) 800 x 100 mm
TRU OCP</t>
  </si>
  <si>
    <t>Kabel Tray
(Horizontal) 800 x
100 mm TRU OCP
dan aksesoris</t>
  </si>
  <si>
    <t>5.1.1.12.30</t>
  </si>
  <si>
    <t>Pemasangan 1 Unit Kabel Tray (Horizontal) 800 x 100 mm
TRC Powder Coating</t>
  </si>
  <si>
    <t>Kabel Tray
(Horizontal) 800 x
100 mm TRC Powder
Coating dan aksesoris</t>
  </si>
  <si>
    <t>5.1.1.12.31</t>
  </si>
  <si>
    <t>Pemasangan 1 Unit Kabel Tray (Horizontal) 800 x 100 mm
TRC Hot Dip Galvanized</t>
  </si>
  <si>
    <t>Kabel Tray
(Horizontal) 800 x
100 mm TRC Hot Dip
Galvanized dan
aksesoris</t>
  </si>
  <si>
    <t>5.1.1.12.32</t>
  </si>
  <si>
    <t>Pemasangan 1 Unit Kabel Tray (Horizontal) 800 x 100 mm TRC OCP</t>
  </si>
  <si>
    <t>Kabel Tray (Horizontal) 800 x 100 mm TRC OCP dan aksesoris</t>
  </si>
  <si>
    <t>5.1.1.12.33</t>
  </si>
  <si>
    <t>Pemasangan 1 Unit Kabel Tray (Horizontal) 700 x 100 mm TRU Powder Coating</t>
  </si>
  <si>
    <t>Kabel Tray (Horizontal) 700 x 100 mm TRU Powder Coating dan aksesoris</t>
  </si>
  <si>
    <t>5.1.1.12.34</t>
  </si>
  <si>
    <t>Pemasangan 1 Unit Kabel Tray (Horizontal) 700 x 100 mm TRU Hot Dip Galvanized</t>
  </si>
  <si>
    <t>Kabel Tray (Horizontal) 700 x 100 mm TRU Hot Dip Galvanized dan aksesoris</t>
  </si>
  <si>
    <t>5.1.1.12.35</t>
  </si>
  <si>
    <t>Pemasangan 1 Unit Kabel Tray (Horizontal) 700 x 100 mm TRU OCP</t>
  </si>
  <si>
    <t>Kabel Tray (Horizontal) 700 x 100 mm TRU OCP dan aksesoris</t>
  </si>
  <si>
    <t>5.1.1.12.36</t>
  </si>
  <si>
    <t>Pemasangan 1 Unit Kabel Tray (Horizontal) 700 x 100 mm TRC Powder Coating</t>
  </si>
  <si>
    <t>Kabel Tray (Horizontal) 700 x 100 mm TRC Powder Coating dan aksesoris</t>
  </si>
  <si>
    <t>5.1.1.12.37</t>
  </si>
  <si>
    <t>Pemasangan 1 Unit Kabel Tray (Horizontal) 700 x 100 mm TRC Hot Dip Galvanized</t>
  </si>
  <si>
    <t>Kabel Tray (Horizontal) 700 x 100 mm TRC Hot Dip Galvanized dan aksesoris</t>
  </si>
  <si>
    <t>5.1.1.12.38</t>
  </si>
  <si>
    <t>Pemasangan 1 Unit Kabel Tray (Horizontal) 700 x 100 mm TRC OCP</t>
  </si>
  <si>
    <t>Kabel Tray (Horizontal) 700 x 100 mm TRC</t>
  </si>
  <si>
    <t>5.1.1.12.39</t>
  </si>
  <si>
    <t xml:space="preserve">Pemasangan 1 unit Kabel Tray (Horizontal) 600x100mm TRU Hot Dip Galvanizer 
</t>
  </si>
  <si>
    <t xml:space="preserve">Kabel Tray 600 x 100 mm Hotdip Galvanized </t>
  </si>
  <si>
    <t>5.1.1.12.40</t>
  </si>
  <si>
    <t>Pemasangan 1 unit Kabel Tray (Horizontal) 600x100mm TRU OCP</t>
  </si>
  <si>
    <t xml:space="preserve">Kabel Tray 600 x100 mm Elektro Galvanized </t>
  </si>
  <si>
    <t>5.1.1.12.41</t>
  </si>
  <si>
    <t xml:space="preserve">Pemasangan 1 unit Kabel Tray (Horizontal) 600x100mm TRC Powder Coating </t>
  </si>
  <si>
    <t xml:space="preserve">Kabel Tray 600 x 100 mm Powder Coating </t>
  </si>
  <si>
    <t>5.1.1.12.42</t>
  </si>
  <si>
    <t>Pemasangan 1 Unit Kabel Tray (Horizontal) 600 x 100 mm TRC Hot Dip Galvanized</t>
  </si>
  <si>
    <t>Baru</t>
  </si>
  <si>
    <t>(Horizontal) 600 x 100 mm TRC Hot Dip Galvanized dan aksesoris</t>
  </si>
  <si>
    <t>5.1.1.12.43</t>
  </si>
  <si>
    <t>Pemasangan 1 Unit Kabel Tray (Horizontal) 600 x 100 mm TRC OCP</t>
  </si>
  <si>
    <t>5.1.1.12.44</t>
  </si>
  <si>
    <t>Pemasangan 1 Unit Kabel Tray (Horizontal) 500 x 100 mm TRU Hot Dip Galvanized</t>
  </si>
  <si>
    <t>Kabel Tray (Horizontal) 500 x 100 mm TRU Hot Dip Galvanized dan aksesoris</t>
  </si>
  <si>
    <t>5.1.1.12.45</t>
  </si>
  <si>
    <t>Pemasangan 1 Unit Kabel Tray (Horizontal) 500 x 100 mm TRU OCP</t>
  </si>
  <si>
    <t>Kabel Tray (Horizontal) 500 x 100 mm TRU OCP dan aksesoris</t>
  </si>
  <si>
    <t>5.1.1.12.46</t>
  </si>
  <si>
    <t>Pemasangan 1 Unit Kabel Tray (Horizontal) 500 x 100 mm TRC Powder Coating</t>
  </si>
  <si>
    <t>Kabel Tray (Horizontal) 500 x 100 mm TRC Powder Coating dan aksesoris</t>
  </si>
  <si>
    <t>5.1.1.12.47</t>
  </si>
  <si>
    <t>Pemasangan 1 Unit Kabel Tray (Horizontal) 500 x 100 mm TRC Hot Dip Galvanized</t>
  </si>
  <si>
    <t>Kabel Tray (Horizontal) 500 x 100 mm TRC Hot Dip Galvanized dan aksesoris</t>
  </si>
  <si>
    <t>5.1.1.12.48</t>
  </si>
  <si>
    <t>Pemasangan 1 Unit Kabel Tray (Horizontal) 500 x 100 mm TRC OCP</t>
  </si>
  <si>
    <t>Kabel Tray (Horizontal) 500 x 100 mm TRC OCP dan aksesoris</t>
  </si>
  <si>
    <t>5.1.1.12.49</t>
  </si>
  <si>
    <t>Pemasangan 1 Unit Kabel Tray (Horizontal) 400 x 100 mm TRU Hot Dip Galvanized</t>
  </si>
  <si>
    <t>Kabel Tray (Horizontal) 400 x 100 mm TRU Hot Dip Galvanized dan aksesoris</t>
  </si>
  <si>
    <t>unit</t>
  </si>
  <si>
    <t>5.1.1.12.50</t>
  </si>
  <si>
    <t>Pemasangan 1 Unit Kabel Tray (Horizontal) 400 x 100 mm TRU OCP</t>
  </si>
  <si>
    <t>5.1.1.12.51</t>
  </si>
  <si>
    <t>Pemasangan 1 Unit Kabel Tray (Horizontal) 400 x 100 mm TRC Powder Coating</t>
  </si>
  <si>
    <t>Kabel Tray (Horizontal) 400 x 100 mm TRC Powder Coating dan aksesoris</t>
  </si>
  <si>
    <t>5.1.1.12.52</t>
  </si>
  <si>
    <t>Pemasangan 1 Unit Kabel Tray (Horizontal) 400 x 100 mm TRC Hot Dip Galvanized</t>
  </si>
  <si>
    <t>Kabel Tray (Horizontal) 400 x 100 mm TRC Hot Dip Galvanized dan aksesoris</t>
  </si>
  <si>
    <t>5.1.1.12.53</t>
  </si>
  <si>
    <t>Pemasangan 1 Unit Kabel Tray (Horizontal) 400 x 100 mm TRC OCP</t>
  </si>
  <si>
    <t>Kabel Tray (Horizontal) 400 x 100 mm TRC OCP dan aksesoris</t>
  </si>
  <si>
    <t>5.1.1.12.54</t>
  </si>
  <si>
    <t>Pemasangan 1 Unit Kabel Tray (Horizontal) 300 x 100 mm TRU Hot Dip Galvanized</t>
  </si>
  <si>
    <t>Kabel Tray (Horizontal) 300 x 100 mm TRU Hot Dip Galvanized dan aksesoris</t>
  </si>
  <si>
    <t>5.1.1.12.55</t>
  </si>
  <si>
    <t>Pemasangan 1 Unit Kabel Tray (Horizontal) 300 x 100 mm TRU OCP</t>
  </si>
  <si>
    <t>Kabel Tray (Horizontal) 300 x 100 mm TRU OCP dan aksesoris</t>
  </si>
  <si>
    <t>5.1.1.12.56</t>
  </si>
  <si>
    <t>Pemasangan 1 Unit Kabel Tray (Horizontal) 300 x 100 mm TRC Powder Coating</t>
  </si>
  <si>
    <t>Kabel Tray (Horizontal) 300 x 100 mm TRC Powder Coating dan aksesoris</t>
  </si>
  <si>
    <t>5.1.1.12.57</t>
  </si>
  <si>
    <t>Pemasangan 1 Unit Kabel Tray (Horizontal) 300 x 100 mm TRC Hot Dip Galvanized</t>
  </si>
  <si>
    <t>Kabel Tray (Horizontal) 300 x 100 mm TRC Hot Dip Galvanized dan aksesoris</t>
  </si>
  <si>
    <t>5.1.1.12.58</t>
  </si>
  <si>
    <t>Pemasangan 1 Unit Kabel Tray (Horizontal) 300 x 100 mm TRC OCP</t>
  </si>
  <si>
    <t>Kabel Tray (Horizontal) 300 x 100 mm TRC OCP dan aksesoris</t>
  </si>
  <si>
    <t>5.1.1.12.59</t>
  </si>
  <si>
    <t>Pemasangan 1 Unit Kabel Tray (Horizontal) 200 x 100 mm TRU Hot Dip Galvanized</t>
  </si>
  <si>
    <t>Kabel Tray (Horizontal) 200 x 100 mm TRU Hot Dip Galvanized dan aksesoris</t>
  </si>
  <si>
    <t>5.1.1.12.60</t>
  </si>
  <si>
    <t>Pemasangan 1 Unit Kabel Tray (Horizontal) 200 x 100 mm TRU OCP</t>
  </si>
  <si>
    <t>Kabel Tray (Horizontal) 200 x 100 mm TRU OCP dan aksesoris</t>
  </si>
  <si>
    <t>5.1.1.12.61</t>
  </si>
  <si>
    <t>Pemasangan 1 Unit Kabel Tray (Horizontal) 200 x 100 mm TRC Powder Coating</t>
  </si>
  <si>
    <t>Kabel Tray (Horizontal) 200 x 100 mm TRC Powder Coating dan aksesoris</t>
  </si>
  <si>
    <t>5.1.1.12.62</t>
  </si>
  <si>
    <t>Pemasangan 1 Unit Kabel Tray (Horizontal) 200 x 100 mm TRC Hot Dip Galvanized</t>
  </si>
  <si>
    <t>Kabel Tray (Horizontal) 200 x 100 mm TRC Hot Dip Galvanized dan aksesoris</t>
  </si>
  <si>
    <t>5.1.1.12.63</t>
  </si>
  <si>
    <t>Pemasangan 1 Unit Kabel Tray (Horizontal) 200 x 100 mm TRC OCP</t>
  </si>
  <si>
    <t>Kabel Tray (Horizontal) 200 x 100 mm TRC OCP dan aksesoris</t>
  </si>
  <si>
    <t>5.1.1.12.64</t>
  </si>
  <si>
    <t>Pemasangan 1 Unit Kabel Tray (Horizontal) 150 x 100 mm TRU Powder Coating</t>
  </si>
  <si>
    <t>Kabel Tray (Horizontal) 150 x 100 mm TRU Powder Coating dan aksesoris</t>
  </si>
  <si>
    <t>5.1.1.12.65</t>
  </si>
  <si>
    <t>Pemasangan 1 Unit Kabel Tray (Horizontal) 150 x 100 mm TRU Hot Dip Galvanized</t>
  </si>
  <si>
    <t>Kabel Tray (Horizontal) 150 x 100 mm TRU Hot Dip Galvanized dan aksesoris</t>
  </si>
  <si>
    <t>5.1.1.12.66</t>
  </si>
  <si>
    <t>Pemasangan 1 Unit Kabel Tray (Horizontal) 150 x 100 mm TRU OCP</t>
  </si>
  <si>
    <t>Kabel Tray (Horizontal) 150 x 100 mm TRU OCP dan aksesoris</t>
  </si>
  <si>
    <t>5.1.1.12.67</t>
  </si>
  <si>
    <t>Pemasangan 1 Unit Kabel Tray (Horizontal) 150 x 100 mm TRC Powder Coatingmasangan 1 Unit Kabel Tray (Horizontal) 150 x 100 mm TRU OCP</t>
  </si>
  <si>
    <t>Kabel Tray (Horizontal) 150 x 100 mm TRC Powder Coating dan aksesoris</t>
  </si>
  <si>
    <t>5.1.1.12.68</t>
  </si>
  <si>
    <t>Pemasangan 1 Unit Kabel Tray (Horizontal) 150 x 100 mm TRC Hot Dip Galvanized</t>
  </si>
  <si>
    <t>Kabel Tray (Horizontal) 150 x 100 mm TRC Hot Dip Galvanized dan aksesoris</t>
  </si>
  <si>
    <t>5.1.1.12.69</t>
  </si>
  <si>
    <t>Pemasangan 1 Unit Kabel Tray (Horizontal) 150 x 100 mm TRC OCP</t>
  </si>
  <si>
    <t>Kabel Tray (Vertikal) 1000 x 100 mm TRU Powder Coating dan aksesoris</t>
  </si>
  <si>
    <t>5.1.1.12.70</t>
  </si>
  <si>
    <t>Pemasangan 1 Unit Kabel Tray (Vertikal) 1000 x 100 mm TRU Powder Coating</t>
  </si>
  <si>
    <t>5.1.1.12.71</t>
  </si>
  <si>
    <t>Pemasangan 1 Unit Kabel Tray (Vertikal) 1000 x 100 mm TRU Hot Dip Galvanized</t>
  </si>
  <si>
    <t>Kabel Tray (Vertikal) 1000 x 100 mm TRU Hot Dip Galvanized dan aksesoris</t>
  </si>
  <si>
    <t>5.1.1.12.72</t>
  </si>
  <si>
    <t>Pemasangan 1 Unit Kabel Tray (Vertikal) 1000 x 100 mm TRU OCP</t>
  </si>
  <si>
    <t>Kabel Tray (Vertikal) 1000 x 100 mm TRU OCP dan aksesoris</t>
  </si>
  <si>
    <t>5.1.1.12.73</t>
  </si>
  <si>
    <t>Pemasangan 1 Unit Kabel Tray (Vertikal) 1000 x 100 mm TRC Powder Coating</t>
  </si>
  <si>
    <t>Kabel Tray (Vertikal) 1000 x 100 mm TRC Powder Coating dan aksesoris</t>
  </si>
  <si>
    <t>5.1.1.12.74</t>
  </si>
  <si>
    <t>Pemasangan 1 Unit Kabel Tray (Vertikal) 1000 x 100 mm TRC Hot Dip Galvanized\</t>
  </si>
  <si>
    <t>Kabel Tray (Vertikal) 1000 x 100 mm TRC Hot Dip Galvanized dan aksesoris</t>
  </si>
  <si>
    <t>5.1.1.12.75</t>
  </si>
  <si>
    <t>Pemasangan 1 Unit Kabel Tray (Vertikal) 1000 x 100 mm TRC OCP</t>
  </si>
  <si>
    <t>Kabel Tray (Vertikal) 1000 x 100 mm TRC OCP dan aksesoris</t>
  </si>
  <si>
    <t>5.1.1.12.76</t>
  </si>
  <si>
    <t>Pemasangan 1 Unit Kabel Tray (Vertikal) 900 x 100 mm TRU Powder Coating</t>
  </si>
  <si>
    <t>Kabel Tray (Vertikal) 900 x 100 mm TRU Powder Coating dan aksesoris</t>
  </si>
  <si>
    <t>5.1.1.12.77</t>
  </si>
  <si>
    <t>Pemasangan 1 Unit Kabel Tray (Vertikal) 900 x 100 mm TRU Hot Dip Galvanized</t>
  </si>
  <si>
    <t>Kabel Tray (Vertikal) 900 x 100 mm TRU Hot Dip Galvanized dan aksesoris</t>
  </si>
  <si>
    <t>5.1.1.12.78</t>
  </si>
  <si>
    <t>Pemasangan 1 Unit Kabel Tray (Vertikal) 900 x 100 mm TRU OCP</t>
  </si>
  <si>
    <t>Kabel Tray (Vertikal) 900 x 100 mm TRU OCP dan aksesoris</t>
  </si>
  <si>
    <t>5.1.1.12.79</t>
  </si>
  <si>
    <t>Pemasangan 1 Unit Kabel Tray (Vertikal) 900 x 100 mm TRC Powder Coating</t>
  </si>
  <si>
    <t>Kabel Tray (Vertikal) 900 x 100 mm TRC Powder Coating dan aksesoris</t>
  </si>
  <si>
    <t>5.1.1.12.80</t>
  </si>
  <si>
    <t>Pemasangan 1 Unit Kabel Tray (Vertikal) 900 x 100 mm TRC Hot Dip Galvanized</t>
  </si>
  <si>
    <t>Kabel Tray (Vertikal) 900 x 100 mm TRC Hot Dip Galvanized dan aksesoris</t>
  </si>
  <si>
    <t>5.1.1.12.81</t>
  </si>
  <si>
    <t>Pemasangan 1 Unit Kabel Tray (Vertikal) 900 x 100 mm TRC OCP</t>
  </si>
  <si>
    <t>Kabel Tray (Vertikal) 900 x 100 mm TRC OCP dan aksesoris</t>
  </si>
  <si>
    <t>5.1.1.12.82</t>
  </si>
  <si>
    <t>Pemasangan 1 Unit Kabel Tray (Vertikal) 800 x 100 mm TRU Powder Coating</t>
  </si>
  <si>
    <t>Kabel Tray (Vertikal) 800 x 100 mm TRU Powder Coating dan aksesoris</t>
  </si>
  <si>
    <t>5.1.1.12.83</t>
  </si>
  <si>
    <t>Pemasangan 1 Unit Kabel Tray (Vertikal) 800 x 100 mm TRU Hot Dip Galvanized</t>
  </si>
  <si>
    <t>Kabel Tray (Vertikal) 800 x 100 mm TRU Hot Dip Galvanized dan aksesoris</t>
  </si>
  <si>
    <t>5.1.1.12.84</t>
  </si>
  <si>
    <t>Pemasangan 1 Unit Kabel Tray (Vertikal) 800 x 100 mm TRU OCP</t>
  </si>
  <si>
    <t>Kabel Tray (Vertikal) 800 x 100 mm TRU OCP dan aksesoris</t>
  </si>
  <si>
    <t>5.1.1.12.85</t>
  </si>
  <si>
    <t>Pemasangan 1 Unit Kabel Tray (Vertikal) 800 x 100 mm TRC Powder Coating</t>
  </si>
  <si>
    <t>Kabel Tray (Vertikal) 800 x 100 mm TRC Powder Coating dan aksesoris</t>
  </si>
  <si>
    <t>5.1.1.12.86</t>
  </si>
  <si>
    <t>Pemasangan 1 Unit Kabel Tray (Vertikal) 800 x 100 mm TRC Hot Dip Galvanized</t>
  </si>
  <si>
    <t>Kabel Tray (Vertikal) 800 x 100 mm TRC Hot Dip Galvanized dan aksesoris</t>
  </si>
  <si>
    <t>5.1.1.12.87</t>
  </si>
  <si>
    <t>Pemasangan 1 Unit Kabel Tray (Vertikal) 800 x 100 mm TRC OCP</t>
  </si>
  <si>
    <t>Kabel Tray (Vertikal) 800 x 100 mm TRC OCP dan aksesoris</t>
  </si>
  <si>
    <t>5.1.1.12.88</t>
  </si>
  <si>
    <t>Pemasangan 1 Unit Kabel Tray (Vertikal) 700 x 100 mm TRU Powder Coating</t>
  </si>
  <si>
    <t>Kabel Tray (Vertikal) 700 x 100 mm TRU Powder Coating dan aksesoris</t>
  </si>
  <si>
    <t>5.1.1.12.89</t>
  </si>
  <si>
    <t>Pemasangan 1 Unit Kabel Tray (Vertikal) 700 x 100 mm TRU Hot Dip Galvanized</t>
  </si>
  <si>
    <t>Kabel Tray (Vertikal) 700 x 100 mm TRU Hot Dip Galvanized dan aksesoris</t>
  </si>
  <si>
    <t>5.1.1.12.90</t>
  </si>
  <si>
    <t>Pemasangan 1 Unit Kabel Tray (Vertikal) 700 x 100 mm TRU OCP</t>
  </si>
  <si>
    <t>Kabel Tray (Vertikal) 700 x 100 mm TRU OCP dan aksesoris</t>
  </si>
  <si>
    <t>5.1.1.12.91</t>
  </si>
  <si>
    <t>Pemasangan 1 Unit Kabel Tray (Vertikal) 700 x 100 mm TRC Powder Coating</t>
  </si>
  <si>
    <t>Kabel Tray (Vertikal) 700 x 100 mm TRC Powder Coating dan aksesoris</t>
  </si>
  <si>
    <t>5.1.1.12.92</t>
  </si>
  <si>
    <t>Pemasangan 1 Unit Kabel Tray (Vertikal) 700 x 100 mm TRC Hot Dip Galvanized</t>
  </si>
  <si>
    <t>Kabel Tray (Vertikal) 700 x 100 mm TRC Hot Dip Galvanized dan aksesoris</t>
  </si>
  <si>
    <t>5.1.1.12.93</t>
  </si>
  <si>
    <t>Pemasangan 1 Unit Kabel Tray (Vertikal) 700 x 100 mm TRC OCP</t>
  </si>
  <si>
    <t>Kabel Tray (Vertikal) 700 x 100 mm TRC OCP dan aksesoris</t>
  </si>
  <si>
    <t>5.1.1.12.94</t>
  </si>
  <si>
    <t>Pemasangan 1 Unit Kabel Tray (Vertikal) 600 x 100 mm TRU Hot Dip Galvanized</t>
  </si>
  <si>
    <t>Kabel Tray (Vertikal) 600 x 100 mm TRU Hot Dip Galvanized dan aksesoris</t>
  </si>
  <si>
    <t>5.1.1.12.95</t>
  </si>
  <si>
    <t>Pemasangan 1 Unit Kabel Tray (Vertikal) 600 x 100 mm TRU OCP</t>
  </si>
  <si>
    <t>Kabel Tray (Vertikal) 600 x 100 mm TRU OCP dan aksesoris</t>
  </si>
  <si>
    <t>5.1.1.12.96</t>
  </si>
  <si>
    <t>Pemasangan 1 Unit Kabel Tray (Vertikal) 600 x 100 mm TRC
Powder Coating</t>
  </si>
  <si>
    <t>Kabel Tray (Vertikal)
600 x 100 mm TRC
Powder Coating dan
aksesoris</t>
  </si>
  <si>
    <t>5.1.1.12.97</t>
  </si>
  <si>
    <t>Pemasangan 1 Unit Kabel Tray (Vertikal) 600 x 100 mm TRC
Hot Dip Galvanized</t>
  </si>
  <si>
    <t>Kabel Tray (Vertikal)
600 x 100 mm TRC
Hot Dip Galvanized
dan aksesoris</t>
  </si>
  <si>
    <t>5.1.1.12.98</t>
  </si>
  <si>
    <t>Pemasangan 1 Unit Kabel Tray (Vertikal) 600 x 100 mm TRC
OCP</t>
  </si>
  <si>
    <t>Kabel Tray (Vertikal)
600 x 100 mm TRC
OCP dan aksesoris</t>
  </si>
  <si>
    <t>5.1.1.12.99</t>
  </si>
  <si>
    <t>Pemasangan 1 Unit Kabel Tray (Vertikal) 500 x 100 mm TRU
Hot Dip Galvanized</t>
  </si>
  <si>
    <t>Kabel Tray (Vertikal)
500 x 100 mm TRU
Hot Dip Galvanized
dan aksesoris</t>
  </si>
  <si>
    <t>5.1.1.12.100</t>
  </si>
  <si>
    <t>Pemasangan 1 Unit Kabel Tray (Vertikal) 500 x 100 mm TRU
OCP</t>
  </si>
  <si>
    <t>Kabel Tray (Vertikal)
500 x 100 mm TRU
OCP dan aksesoris</t>
  </si>
  <si>
    <t>5.1.1.12.101</t>
  </si>
  <si>
    <t>Pemasangan 1 Unit Kabel Tray (Vertikal) 500 x 100 mm TRC
Powder Coating</t>
  </si>
  <si>
    <t>Kabel Tray (Vertikal)
500 x 100 mm TRC
Powder Coating dan
aksesoris</t>
  </si>
  <si>
    <t>5.1.1.12.102</t>
  </si>
  <si>
    <t>Pemasangan 1 Unit Kabel Tray (Vertikal) 500 x 100 mm TRC
Hot Dip Galvanized</t>
  </si>
  <si>
    <t>Kabel Tray (Vertikal)
500 x 100 mm TRC
Hot Dip Galvanized
dan aksesoris</t>
  </si>
  <si>
    <t>5.1.1.12.103</t>
  </si>
  <si>
    <t>Pemasangan 1 Unit Kabel Tray (Vertikal) 500 x 100 mm TRC
OCP</t>
  </si>
  <si>
    <t>Kabel Tray (Vertikal)
500 x 100 mm TRC
OCP dan aksesoris</t>
  </si>
  <si>
    <t>5.1.1.12.104</t>
  </si>
  <si>
    <t>Pemasangan 1 Unit Kabel Tray (Vertikal) 400 x 100 mm TRU
Hot Dip Galvanized</t>
  </si>
  <si>
    <t>Kabel Tray (Vertikal)
400 x 100 mm TRU
Hot Dip Galvanized
dan aksesoris</t>
  </si>
  <si>
    <t>5.1.1.12.105</t>
  </si>
  <si>
    <t>Pemasangan 1 Unit Kabel Tray (Vertikal) 400 x 100 mm TRU
OCP</t>
  </si>
  <si>
    <t>Kabel Tray (Vertikal)
400 x 100 mm TRU
OCP dan aksesoris</t>
  </si>
  <si>
    <t>5.1.1.12.106</t>
  </si>
  <si>
    <t>Pemasangan 1 Unit Kabel Tray (Vertikal) 400 x 100 mm TRC
Powder Coating</t>
  </si>
  <si>
    <t>Kabel Tray (Vertikal)
400 x 100 mm TRC
Powder Coating dan
aksesoris</t>
  </si>
  <si>
    <t>5.1.1.12.107</t>
  </si>
  <si>
    <t>Pemasangan 1 Unit Kabel Tray (Vertikal) 400 x 100 mm TRC
Hot Dip Galvanized</t>
  </si>
  <si>
    <t>Kabel Tray (Vertikal)
400 x 100 mm TRC
Hot Dip Galvanized
dan aksesoris</t>
  </si>
  <si>
    <t>5.1.1.12.108</t>
  </si>
  <si>
    <t>Pemasangan 1 Unit Kabel Tray (Vertikal) 400 x 100 mm TRC
OCP</t>
  </si>
  <si>
    <t>Kabel Tray (Vertikal)
400 x 100 mm TRC
OCP dan aksesoris</t>
  </si>
  <si>
    <t>5.1.1.12.109</t>
  </si>
  <si>
    <t>Pemasangan 1 Unit Kabel Tray (Vertikal) 300 x 100 mm TRU
Hot Dip Galvanized</t>
  </si>
  <si>
    <t>Kabel Tray (Vertikal)
300 x 100 mm TRU
Hot Dip Galvanized
dan aksesoris</t>
  </si>
  <si>
    <t>5.1.1.12.110</t>
  </si>
  <si>
    <t>Pemasangan 1 Unit Kabel Tray (Vertikal) 300 x 100 mm TRU
OCP</t>
  </si>
  <si>
    <t>Kabel Tray (Vertikal)
300 x 100 mm TRU
OCP dan aksesoris</t>
  </si>
  <si>
    <t>5.1.1.12.111</t>
  </si>
  <si>
    <t>Pemasangan 1 Unit Kabel Tray (Vertikal) 300 x 100 mm TRC
Powder Coating</t>
  </si>
  <si>
    <t>Kabel Tray (Vertikal)
300 x 100 mm TRC
Powder Coating dan
aksesoris</t>
  </si>
  <si>
    <t>5.1.1.12.112</t>
  </si>
  <si>
    <t>Pemasangan 1 Unit Kabel Tray (Vertikal) 300 x 100 mm TRC
Hot Dip Galvanized</t>
  </si>
  <si>
    <t>Kabel Tray (Vertikal)
300 x 100 mm TRC
Hot Dip Galvanized
dan aksesoris</t>
  </si>
  <si>
    <t>5.1.1.12.113</t>
  </si>
  <si>
    <t>Pemasangan 1 Unit Kabel Tray (Vertikal) 300 x 100 mm TRC
OCP</t>
  </si>
  <si>
    <t>Kabel Tray (Vertikal)
300 x 100 mm TRC
OCP dan aksesoris</t>
  </si>
  <si>
    <t>5.1.1.12.114</t>
  </si>
  <si>
    <t>Pemasangan 1 Unit Kabel Tray (Vertikal) 200 x 100 mm TRU
Hot Dip Galvanized</t>
  </si>
  <si>
    <t>Kabel Tray (Vertikal)
200 x 100 mm TRU
Hot Dip Galvanized
dan aksesoris</t>
  </si>
  <si>
    <t>5.1.1.12.115</t>
  </si>
  <si>
    <t>Pemasangan 1 Unit Kabel Tray (Vertikal) 200 x 100 mm TRU
OCP</t>
  </si>
  <si>
    <t>Kabel Tray (Vertikal)
200 x 100 mm TRU
OCP dan aksesoris</t>
  </si>
  <si>
    <t>5.1.1.12.116</t>
  </si>
  <si>
    <t>Pemasangan 1 Unit Kabel Tray (Vertikal) 200 x 100 mm TRC
Powder Coating</t>
  </si>
  <si>
    <t>Kabel Tray (Vertikal)
200 x 100 mm TRC
Powder Coating dan
aksesoris</t>
  </si>
  <si>
    <t>5.1.1.12.117</t>
  </si>
  <si>
    <t>Pemasangan 1 Unit Kabel Tray (Vertikal) 200 x 100 mm TRC
Hot Dip Galvanized</t>
  </si>
  <si>
    <t>Kabel Tray (Vertikal)
200 x 100 mm TRC
Hot Dip Galvanized
dan aksesoris</t>
  </si>
  <si>
    <t>5.1.1.12.118</t>
  </si>
  <si>
    <t>Pemasangan 1 Unit Kabel Tray (Vertikal) 200 x 100 mm TRC
OCP</t>
  </si>
  <si>
    <t>Kabel Tray (Vertikal)
200 x 100 mm TRC
OCP dan aksesoris</t>
  </si>
  <si>
    <t>5.1.1.12.119</t>
  </si>
  <si>
    <t>Pemasangan 1 Unit Kabel Tray (Vertikal) 150 x 100 mm TRU
Powder Coating</t>
  </si>
  <si>
    <t>Kabel Tray (Vertikal)
150 x 100 mm TRU
Powder Coating dan
aksesoris</t>
  </si>
  <si>
    <t>5.1.1.12.120</t>
  </si>
  <si>
    <t>Pemasangan 1 Unit Kabel Tray (Vertikal) 150 x 100 mm TRU
Hot Dip Galvanized</t>
  </si>
  <si>
    <t>Kabel Tray (Vertikal)
150 x 100 mm TRU
Hot Dip Galvanized
dan aksesoris</t>
  </si>
  <si>
    <t>5.1.1.12.121</t>
  </si>
  <si>
    <t>Pemasangan 1 Unit Kabel Tray (Vertikal) 150 x 100 mm TRU
OCP</t>
  </si>
  <si>
    <t>Kabel Tray (Vertikal)
150 x 100 mm TRU
OCP dan aksesoris</t>
  </si>
  <si>
    <t>5.1.1.12.122</t>
  </si>
  <si>
    <t>Pemasangan 1 Unit Kabel Tray (Vertikal) 150 x 100 mm TRC
Powder Coating</t>
  </si>
  <si>
    <t>Kabel Tray (Vertikal)
150 x 100 mm TRC
Powder Coating dan
aksesoris</t>
  </si>
  <si>
    <t>5.1.1.12.123</t>
  </si>
  <si>
    <t>Pemasangan 1 Unit Kabel Tray (Vertikal) 150 x 100 mm TRC
Hot Dip Galvanized</t>
  </si>
  <si>
    <t>Kabel Tray (Vertikal)
150 x 100 mm TRC
Hot Dip Galvanized
dan aksesoris</t>
  </si>
  <si>
    <t>5.1.1.12.124</t>
  </si>
  <si>
    <t>Pemasangan 1 Unit Kabel Tray (Vertikal) 150 x 100 mm TRC
OCP</t>
  </si>
  <si>
    <t>Kabel Tray (Vertikal)
150 x 100 mm TRC
OCP dan aksesoris</t>
  </si>
  <si>
    <t>5.1.2</t>
  </si>
  <si>
    <t xml:space="preserve">Pemasangan Panel Listrik </t>
  </si>
  <si>
    <t>5.1.2.1</t>
  </si>
  <si>
    <t>Pemasangan 1 Unit Panel Utama Tegangan Menengah (PUTM)</t>
  </si>
  <si>
    <t>Panel Utama Tegangan Menengah</t>
  </si>
  <si>
    <t xml:space="preserve">unit </t>
  </si>
  <si>
    <t>5.1.2.2</t>
  </si>
  <si>
    <t xml:space="preserve">Pemasangan 1 Unit Panel Utama Tegangan Redah (PUTR) per Kubikal </t>
  </si>
  <si>
    <t>Panel Utama Tegangan Rendah</t>
  </si>
  <si>
    <t>5.1.2.3</t>
  </si>
  <si>
    <t xml:space="preserve">Pemasangan 1 Unit Main Distribution Panel (MDP) Floor Standing </t>
  </si>
  <si>
    <t>MDP Floor Standing</t>
  </si>
  <si>
    <t>5.1.2.4</t>
  </si>
  <si>
    <t xml:space="preserve">Pemasangan 1 Unit Main Distribution Panel (MDP) Wall Mounted </t>
  </si>
  <si>
    <t xml:space="preserve">MDP Wall Mounted </t>
  </si>
  <si>
    <t>5.1.2.5</t>
  </si>
  <si>
    <t xml:space="preserve">Pemasangan 1 Unit Sub Distribution Panel (SDP) Floor Standig </t>
  </si>
  <si>
    <t xml:space="preserve">SDP Floor Standing </t>
  </si>
  <si>
    <t>5.1.2.6</t>
  </si>
  <si>
    <t xml:space="preserve">Pemasangan 1 Unit Sub Distribution Panel (SDP) Wall Maunted  </t>
  </si>
  <si>
    <t xml:space="preserve">SDP Wall  Mounted </t>
  </si>
  <si>
    <t>5.1.2.7</t>
  </si>
  <si>
    <t>Pemasangan 1 Unit Panel Lantai Wall Mounted (800x 600 x200 mm)</t>
  </si>
  <si>
    <t>Panel Lantai Wall Mounted 800x600x200</t>
  </si>
  <si>
    <t>5.1.2.8</t>
  </si>
  <si>
    <t>Pemasangan 1 Unit Panel Lantai Wall Mounted (600x 400 x200 mm)</t>
  </si>
  <si>
    <t>Panel Lantai Wall Mounted 600x 400 x200</t>
  </si>
  <si>
    <t>5.1.2.9</t>
  </si>
  <si>
    <t xml:space="preserve">Pemasangan 1 Unit Panel kWh Meter </t>
  </si>
  <si>
    <t xml:space="preserve">Panel kWh Meter </t>
  </si>
  <si>
    <t>5.1.2.10</t>
  </si>
  <si>
    <t xml:space="preserve">Pemasangan 1 Unit Panel Penerang Luar Outdoor </t>
  </si>
  <si>
    <t xml:space="preserve">Panel Penerang Luar Outdoor termasuk material batu </t>
  </si>
  <si>
    <t xml:space="preserve">catt </t>
  </si>
  <si>
    <t xml:space="preserve">Material Batu /aksesoris 3-5% dari harga unit </t>
  </si>
  <si>
    <t>5.1.2.11</t>
  </si>
  <si>
    <r>
      <t>Pemasangan 1 Unit Panel Kontrol (</t>
    </r>
    <r>
      <rPr>
        <b/>
        <i/>
        <sz val="11"/>
        <color rgb="FF000000"/>
        <rFont val="Arial"/>
        <family val="2"/>
      </rPr>
      <t>Pompa Transfer</t>
    </r>
    <r>
      <rPr>
        <b/>
        <sz val="11"/>
        <color rgb="FF000000"/>
        <rFont val="Arial"/>
        <family val="2"/>
      </rPr>
      <t xml:space="preserve">, </t>
    </r>
    <r>
      <rPr>
        <b/>
        <i/>
        <sz val="11"/>
        <color rgb="FF000000"/>
        <rFont val="Arial"/>
        <family val="2"/>
      </rPr>
      <t>Pompa Kolam Renang</t>
    </r>
    <r>
      <rPr>
        <b/>
        <sz val="11"/>
        <color rgb="FF000000"/>
        <rFont val="Arial"/>
        <family val="2"/>
      </rPr>
      <t>,</t>
    </r>
    <r>
      <rPr>
        <b/>
        <i/>
        <sz val="11"/>
        <color rgb="FF000000"/>
        <rFont val="Arial"/>
        <family val="2"/>
      </rPr>
      <t xml:space="preserve">Water Treatment Plat </t>
    </r>
    <r>
      <rPr>
        <b/>
        <sz val="11"/>
        <color rgb="FF000000"/>
        <rFont val="Arial"/>
        <family val="2"/>
      </rPr>
      <t xml:space="preserve">(WTP), </t>
    </r>
    <r>
      <rPr>
        <b/>
        <i/>
        <sz val="11"/>
        <color rgb="FF000000"/>
        <rFont val="Arial"/>
        <family val="2"/>
      </rPr>
      <t>Instalasi Pengelolaan Air Limbah</t>
    </r>
    <r>
      <rPr>
        <b/>
        <sz val="11"/>
        <color rgb="FF000000"/>
        <rFont val="Arial"/>
        <family val="2"/>
      </rPr>
      <t xml:space="preserve"> ( IPAL), dan </t>
    </r>
    <r>
      <rPr>
        <b/>
        <i/>
        <sz val="11"/>
        <color rgb="FF000000"/>
        <rFont val="Arial"/>
        <family val="2"/>
      </rPr>
      <t>Power Lift)</t>
    </r>
  </si>
  <si>
    <t>Panel Kontrol Pompa</t>
  </si>
  <si>
    <t>5.1.2.16</t>
  </si>
  <si>
    <t xml:space="preserve">Pemasangan 1 Unit Panel Power Gondola </t>
  </si>
  <si>
    <t>Panel Power Gondola termasuk material bantu</t>
  </si>
  <si>
    <t>5.1.2.17</t>
  </si>
  <si>
    <t xml:space="preserve">Pemasangan 1 Unit Panel Power Elektronik </t>
  </si>
  <si>
    <t>Panel Power Elektronik termasuk material bantu</t>
  </si>
  <si>
    <t>5.1.2.18</t>
  </si>
  <si>
    <t>Pemasangan 1 Unit Panel Power AHU</t>
  </si>
  <si>
    <t xml:space="preserve">Panel Power AHU termasuk material bantu </t>
  </si>
  <si>
    <t xml:space="preserve">Material Batu /aksesoris 5-15% dari harga unit </t>
  </si>
  <si>
    <t>5.1.2.19</t>
  </si>
  <si>
    <t>Pemasangan 1 Unit Panel Power AC (VRF/DX System)</t>
  </si>
  <si>
    <t xml:space="preserve">Panel Power AC termasuk material bantu </t>
  </si>
  <si>
    <t xml:space="preserve">Material Batu /aksesoris 5-10% dari harga unit </t>
  </si>
  <si>
    <t>5.1.2.20</t>
  </si>
  <si>
    <t>Pemasangan 1 Unit Panel Power Chiller</t>
  </si>
  <si>
    <t xml:space="preserve">Panel Power Chiller termasuk material bantu </t>
  </si>
  <si>
    <t>5.1.2.21</t>
  </si>
  <si>
    <t>Pemasangan 1 Unit Panel Kontrol Power Chiller</t>
  </si>
  <si>
    <t>Panel Kontrol Power Chiller termasuk material bantu</t>
  </si>
  <si>
    <t>5.1.2.22</t>
  </si>
  <si>
    <t xml:space="preserve">Pemasangan 1 Unit Panel Kontrol Pompa Cooling Tower </t>
  </si>
  <si>
    <t xml:space="preserve">Panel Kontrol Power Cooling Tower termasuk material bantu </t>
  </si>
  <si>
    <t>5.1.2.23</t>
  </si>
  <si>
    <t xml:space="preserve">Pemasangan 1 Unit Panel Kontrol Fan Presurisasi </t>
  </si>
  <si>
    <t>Panel Kontrol Fan Presurisasi termasuk material bantu</t>
  </si>
  <si>
    <t xml:space="preserve">Material Batu /aksesoris 5-7% dari harga unit </t>
  </si>
  <si>
    <t>5.1.2.24</t>
  </si>
  <si>
    <t xml:space="preserve">Pemasangan 1 Unit MCB Box </t>
  </si>
  <si>
    <t xml:space="preserve">MCB Box </t>
  </si>
  <si>
    <t>5.1.3</t>
  </si>
  <si>
    <t xml:space="preserve">Pemasangan Genset </t>
  </si>
  <si>
    <t>5.1.3.1</t>
  </si>
  <si>
    <t xml:space="preserve">Pemasanga 1 Unit Genset Kap : 75 Kva Silent Type </t>
  </si>
  <si>
    <t xml:space="preserve">Genset Kap : 75kVA Silent Type dan aksesoris </t>
  </si>
  <si>
    <t>Sewa Tripot</t>
  </si>
  <si>
    <t xml:space="preserve">hari </t>
  </si>
  <si>
    <t>Upah tenaga untuk pemasagan genset berjarak lebih kurang 25 m dari power house, yang mencakup :</t>
  </si>
  <si>
    <t xml:space="preserve"> - Pengaturan posisi genset di ruang genset </t>
  </si>
  <si>
    <t xml:space="preserve"> - pemasangan knalpot </t>
  </si>
  <si>
    <t xml:space="preserve"> - pemasangan ducting udara pembuangan panas dasi radiator </t>
  </si>
  <si>
    <t xml:space="preserve"> - pemasangan fastener / angkur ke lantai </t>
  </si>
  <si>
    <t>5.1.3.2</t>
  </si>
  <si>
    <t xml:space="preserve">Pemasanga 1 Unit Genset Kap : 100 Kva Silent Type </t>
  </si>
  <si>
    <t xml:space="preserve">Genset Kap : 100 kVA Silent Type dan aksesoris </t>
  </si>
  <si>
    <t>5.1.3.3</t>
  </si>
  <si>
    <t xml:space="preserve">Pemasangan 1 Unit Genset Kap : 350 kVA Silent Type </t>
  </si>
  <si>
    <t xml:space="preserve">Genset Kap : 350 kVA Silent Type dan aksesoris </t>
  </si>
  <si>
    <t>350 kVA</t>
  </si>
  <si>
    <t xml:space="preserve">Crane </t>
  </si>
  <si>
    <t>5.1.3.4</t>
  </si>
  <si>
    <t xml:space="preserve">Pemasanga 1 Unit UPS KVA/3P Type  Online Back Up Battery 15 menit </t>
  </si>
  <si>
    <t xml:space="preserve">UPS 5 KVA </t>
  </si>
  <si>
    <t>5.1.3.5</t>
  </si>
  <si>
    <t>Pemasanga 1 Unit Tangki Solar Harian 200 Liter</t>
  </si>
  <si>
    <t xml:space="preserve">Tangki Solar Harian 200 liter </t>
  </si>
  <si>
    <t>5.1.3.6</t>
  </si>
  <si>
    <t>Pemasanga 1 Unit Tangki Solar (Hand Pump Solar + Aksesories)</t>
  </si>
  <si>
    <t xml:space="preserve">sebelumnya belum ada item ini </t>
  </si>
  <si>
    <t>Hand Pump Solar
dan aksesoris</t>
  </si>
  <si>
    <t>5.1.4</t>
  </si>
  <si>
    <t xml:space="preserve">Pemasangan Trafo </t>
  </si>
  <si>
    <t>5.1.4.1</t>
  </si>
  <si>
    <t>Pemasanga 1 Unit Trafo Kap : 400 kVA : Synthetic Oil Ester (Termasuk Terminasi Instalasi Trafo)</t>
  </si>
  <si>
    <t>Trafo Kap : 400 kVA : Synthetic Oil Ester</t>
  </si>
  <si>
    <t>5.1.5</t>
  </si>
  <si>
    <t xml:space="preserve">Pemasangan Saklar dan Stop Kontak </t>
  </si>
  <si>
    <t>5.1.5.1</t>
  </si>
  <si>
    <t xml:space="preserve">Pemasanga 1 Unit Saklar Tunggal </t>
  </si>
  <si>
    <t xml:space="preserve">Saklar Tunggal </t>
  </si>
  <si>
    <t xml:space="preserve">buah </t>
  </si>
  <si>
    <t>5.1.5.2</t>
  </si>
  <si>
    <t xml:space="preserve">Pemasanga 1 Unit Saklar Ganda </t>
  </si>
  <si>
    <t xml:space="preserve">Saklar Ganda </t>
  </si>
  <si>
    <t>5.1.5.3</t>
  </si>
  <si>
    <t xml:space="preserve">Pemasanga 1 Unit Saklar Triple  </t>
  </si>
  <si>
    <t xml:space="preserve">Saklar Triple </t>
  </si>
  <si>
    <t>5.1.5.4</t>
  </si>
  <si>
    <t xml:space="preserve">Pemasanga 1 Unit Grid Switch 2 x 2  </t>
  </si>
  <si>
    <t xml:space="preserve">Grid Switch </t>
  </si>
  <si>
    <t>5.1.5.5</t>
  </si>
  <si>
    <r>
      <t xml:space="preserve">Pemasanga 1 Unit Grid Switch </t>
    </r>
    <r>
      <rPr>
        <b/>
        <i/>
        <sz val="11"/>
        <color rgb="FF000000"/>
        <rFont val="Arial"/>
        <family val="2"/>
      </rPr>
      <t>2 x 12</t>
    </r>
    <r>
      <rPr>
        <b/>
        <sz val="11"/>
        <color rgb="FF000000"/>
        <rFont val="Arial"/>
        <family val="2"/>
      </rPr>
      <t xml:space="preserve">  dan </t>
    </r>
    <r>
      <rPr>
        <b/>
        <i/>
        <sz val="11"/>
        <color rgb="FF000000"/>
        <rFont val="Arial"/>
        <family val="2"/>
      </rPr>
      <t>14</t>
    </r>
  </si>
  <si>
    <t>5.1.5.7</t>
  </si>
  <si>
    <t xml:space="preserve">Pemasanga 1 Unit Grid Switch 2 x 24  </t>
  </si>
  <si>
    <t>5.1.5.8</t>
  </si>
  <si>
    <t xml:space="preserve">Pemasanga 1 Unit Grid Switch 4 x 2 Gang  </t>
  </si>
  <si>
    <t xml:space="preserve">Grid Switch 4 x 2 Gang </t>
  </si>
  <si>
    <t>5.1.5.9</t>
  </si>
  <si>
    <r>
      <t xml:space="preserve">Pemasanga 1 Unit Stop Kontak </t>
    </r>
    <r>
      <rPr>
        <b/>
        <i/>
        <sz val="11"/>
        <color rgb="FF000000"/>
        <rFont val="Arial"/>
        <family val="2"/>
      </rPr>
      <t>(1 P, 10 A, 200 W+ cover,hand Dryer 1 Ph.</t>
    </r>
    <r>
      <rPr>
        <b/>
        <sz val="11"/>
        <color rgb="FF000000"/>
        <rFont val="Arial"/>
        <family val="2"/>
      </rPr>
      <t xml:space="preserve"> 1000 w)</t>
    </r>
  </si>
  <si>
    <t xml:space="preserve">Stop Kontak </t>
  </si>
  <si>
    <t>5.1.5.12</t>
  </si>
  <si>
    <t xml:space="preserve">Pemasanga 1 Unit Stop Kontak AC </t>
  </si>
  <si>
    <t>Stop Kontak AC</t>
  </si>
  <si>
    <t>5.1.5.13</t>
  </si>
  <si>
    <t xml:space="preserve">Pemasanga 1 titik Instalasi Stop Kontak </t>
  </si>
  <si>
    <t>m</t>
  </si>
  <si>
    <t xml:space="preserve">Conduit HI 20 mm </t>
  </si>
  <si>
    <t xml:space="preserve">T Dus </t>
  </si>
  <si>
    <t>Socket Conduit 20 mm</t>
  </si>
  <si>
    <t xml:space="preserve">Klem 20 mm </t>
  </si>
  <si>
    <t xml:space="preserve">Fischer S6 + Sekrup </t>
  </si>
  <si>
    <t xml:space="preserve">Elbow </t>
  </si>
  <si>
    <t xml:space="preserve">Isolasi </t>
  </si>
  <si>
    <t xml:space="preserve">Lasdop </t>
  </si>
  <si>
    <t>5.1.5.14</t>
  </si>
  <si>
    <t>Pemasanga 1 titik Instalasi Stop Kontak (Kabel LSOH)</t>
  </si>
  <si>
    <t>Kabel NYM 3 x 2,5
mm2 (LSOH)</t>
  </si>
  <si>
    <t>5.1.6</t>
  </si>
  <si>
    <t xml:space="preserve">Pemasangan kWh meter token </t>
  </si>
  <si>
    <t>5.1.6.1</t>
  </si>
  <si>
    <t xml:space="preserve">Pemasangan 1 unit kWh Meter Token 1 Phase </t>
  </si>
  <si>
    <t xml:space="preserve">kWh meter token 1 phase </t>
  </si>
  <si>
    <t>5.1.6.2</t>
  </si>
  <si>
    <t xml:space="preserve">Pemasangan 1 unit kWh Meter Token 3 Phase </t>
  </si>
  <si>
    <t xml:space="preserve">kWh meter token 3 phase </t>
  </si>
  <si>
    <t>5.1.6.3</t>
  </si>
  <si>
    <t xml:space="preserve">Pemasangan 1 unit Softwer Sistem Offile / online untuk kWh Meter Swakelola Prabayar </t>
  </si>
  <si>
    <t xml:space="preserve">Software sistem kwh meter swakelola prabayar </t>
  </si>
  <si>
    <t>5.1.6.4</t>
  </si>
  <si>
    <t xml:space="preserve">Pemasangan 1 Unit PC Server termasuk OS Windows Server, monitor, keyboard dan Mouse </t>
  </si>
  <si>
    <t xml:space="preserve">PC Server </t>
  </si>
  <si>
    <t>5.1.7</t>
  </si>
  <si>
    <t>Pemasangan Panel Solar</t>
  </si>
  <si>
    <t xml:space="preserve">5.1.8 </t>
  </si>
  <si>
    <t xml:space="preserve">Pemasangan sistem Pembumian </t>
  </si>
  <si>
    <t xml:space="preserve">5.1.8.1 </t>
  </si>
  <si>
    <t>Pemasangan 1 set pembumian sistem elektrikal dengan batang tembaga dia.5/8"</t>
  </si>
  <si>
    <t>Bak Kontrol Pemeriksaan dari Batu Bata 45 x 45 x 45 cm + Tutup Beton 45 x 45 x 10 cm</t>
  </si>
  <si>
    <t>Terminal Busbar 300 x 50 x 5 mm</t>
  </si>
  <si>
    <t>Batang Tembaga Pembumian Dia.5/8” (kedalaman min. 12 m)</t>
  </si>
  <si>
    <t>batang</t>
  </si>
  <si>
    <t>Pantek (kedalaman min. 12 m)</t>
  </si>
  <si>
    <t>lot</t>
  </si>
  <si>
    <t>Kabel BC 95 mm2</t>
  </si>
  <si>
    <t>Kabel Skun 95 mm2</t>
  </si>
  <si>
    <t>Rod Coupling</t>
  </si>
  <si>
    <t>Material Bantu</t>
  </si>
  <si>
    <t>loat</t>
  </si>
  <si>
    <t>5.1.8.2</t>
  </si>
  <si>
    <t>Pemasangan 1 set pembumian sistem elektrikal dengan batang tembaga dia.3/4"</t>
  </si>
  <si>
    <t>Batang Tembaga Pembumian Dia.3/4” (kedalaman min. 12 m)</t>
  </si>
  <si>
    <t>5.2</t>
  </si>
  <si>
    <t xml:space="preserve">PEKERJAAN SISTEM PROTEKSI PETIR </t>
  </si>
  <si>
    <t>5.2.1</t>
  </si>
  <si>
    <t>Pemasangan 1 unit Air Terminal @1.000 mm</t>
  </si>
  <si>
    <t xml:space="preserve">Air Terminal </t>
  </si>
  <si>
    <t>5.2.2</t>
  </si>
  <si>
    <t xml:space="preserve">Pemasangan 1 unit Base Air Terminal </t>
  </si>
  <si>
    <t xml:space="preserve">Base Air Terminal </t>
  </si>
  <si>
    <t>5.2.3</t>
  </si>
  <si>
    <t xml:space="preserve">Pemasangan 1 Unit DC Clip Non Metalic Clamp </t>
  </si>
  <si>
    <t xml:space="preserve">DC Clip Non Metalic Clamp </t>
  </si>
  <si>
    <t>5.2.4</t>
  </si>
  <si>
    <t>Pemasangan 1 UnitSquare Tape Clamp</t>
  </si>
  <si>
    <t>Square Tape Clamp</t>
  </si>
  <si>
    <t>5.2.5</t>
  </si>
  <si>
    <t xml:space="preserve">Pemasangan 1 Unit Bimetallic Connector </t>
  </si>
  <si>
    <t xml:space="preserve">Bimetallic Connector </t>
  </si>
  <si>
    <t>5.2.6</t>
  </si>
  <si>
    <t xml:space="preserve">Pemasangan 1 Unit Grounding Test Box </t>
  </si>
  <si>
    <t>Grounding Test Box</t>
  </si>
  <si>
    <t>5.2.7</t>
  </si>
  <si>
    <t>Pemasangan 1 Unit 5/8" Rod Coupling</t>
  </si>
  <si>
    <t>Perubahan Koefisien  Bhandr 1,1 jadi 1,05</t>
  </si>
  <si>
    <t xml:space="preserve">5/8" Rod Coupling </t>
  </si>
  <si>
    <t>5.2.8</t>
  </si>
  <si>
    <t xml:space="preserve">Pemasangan 1 Unit 5/8"Driving Stud </t>
  </si>
  <si>
    <t xml:space="preserve">5/8" Driving Stud </t>
  </si>
  <si>
    <t>5.2.9</t>
  </si>
  <si>
    <t>Pemasangan 1 Unit Rod to Cable Clamp (Type GUV)</t>
  </si>
  <si>
    <t>Rod to Cable Clamp (Type GUV)</t>
  </si>
  <si>
    <t>5.2.10</t>
  </si>
  <si>
    <t>Pemasangan 1 Unit Polymer Inspection Pit</t>
  </si>
  <si>
    <t>Polymer Inspection Pit</t>
  </si>
  <si>
    <t>5.2.11</t>
  </si>
  <si>
    <t>Pemasangan 1 Unit Coupling Bonding Grounded Rod 70 mm2</t>
  </si>
  <si>
    <t>Coupling Bonding Grounded Rod 70 mm2</t>
  </si>
  <si>
    <t>5.2.12</t>
  </si>
  <si>
    <t>Pemasangan 1 Unit Clamp BC L ukuran BC 70 mm2</t>
  </si>
  <si>
    <t>Clamp BC L ukuran BC 70 mm2</t>
  </si>
  <si>
    <t>5.2.13</t>
  </si>
  <si>
    <t>Pemasangan 1 Unit Clamp PVC 1"</t>
  </si>
  <si>
    <t>Clamp PVC 1"</t>
  </si>
  <si>
    <t>5.2.14</t>
  </si>
  <si>
    <t>Pemasangan 1 unit Copper Air Terminal Base 15 mm (dudukan)</t>
  </si>
  <si>
    <t xml:space="preserve">Copper Air Terminal Base 15 mm </t>
  </si>
  <si>
    <t>5.2.15</t>
  </si>
  <si>
    <t xml:space="preserve">Pemasangan 1 unit 15x500 mm Aluminium Air Rod </t>
  </si>
  <si>
    <t xml:space="preserve">15x500 mm Aluminium Air Rod </t>
  </si>
  <si>
    <t>5.2.16</t>
  </si>
  <si>
    <t>Pemasangan 1 unit 15x500 mm Coper Air Rod</t>
  </si>
  <si>
    <t xml:space="preserve">15x500 mm Copper Air Rod </t>
  </si>
  <si>
    <t>5.2.17</t>
  </si>
  <si>
    <t>Pemasangan 1 m' 25x3 mm Bare Aluminium Tape</t>
  </si>
  <si>
    <t>25x3 mm Bare Aluminium Tape</t>
  </si>
  <si>
    <t>5.2.18</t>
  </si>
  <si>
    <t>Pemasangan 1 buah 5/8" x 1800 mm Extensible Copperbond Rod</t>
  </si>
  <si>
    <t xml:space="preserve">5/8" x 1800 mm Extensible Copperbond Rod </t>
  </si>
  <si>
    <t>5.2.19</t>
  </si>
  <si>
    <t>Pemasangan 1 buah 5/8" Copperbond Rod</t>
  </si>
  <si>
    <t xml:space="preserve">5/8" Copperbond Rod </t>
  </si>
  <si>
    <t>5.2.20</t>
  </si>
  <si>
    <t xml:space="preserve">Pemasangan 1 buah Grounding Rod Gip 1" Panjang 1 m </t>
  </si>
  <si>
    <t xml:space="preserve">Grounding Rod Gip 1" Panjang 1 m </t>
  </si>
  <si>
    <t>5.2.21</t>
  </si>
  <si>
    <t xml:space="preserve">Pemasangan 1 buah Grounding Rod Gip 1" Panjang 2m </t>
  </si>
  <si>
    <t xml:space="preserve">Grounding Rod Gip 1" Panjang 2 m </t>
  </si>
  <si>
    <t>5.2.22</t>
  </si>
  <si>
    <t xml:space="preserve">Pemasangan 1 buah 1" Rod Coupling </t>
  </si>
  <si>
    <t>5.2.23</t>
  </si>
  <si>
    <t xml:space="preserve">Pemasangan 1 buah Exothermic Welding </t>
  </si>
  <si>
    <t>Exothermic Welding</t>
  </si>
  <si>
    <t>5.2.24</t>
  </si>
  <si>
    <t>Pemasangan 1 unit Surge Arrester 1 Phase ( 15 KA)</t>
  </si>
  <si>
    <t>Surge Arrester 1 Phase (15 KA)</t>
  </si>
  <si>
    <t>5.2.25</t>
  </si>
  <si>
    <t>Pemasangan 1 unit Surge Arrester 3 Phase ( 15 KA)</t>
  </si>
  <si>
    <t>Surge Arrester 3 Phase (15 KA)</t>
  </si>
  <si>
    <t>5.3</t>
  </si>
  <si>
    <t xml:space="preserve">PEKERJAAN SISTEM PENCAHAYAAN </t>
  </si>
  <si>
    <t>5.3.1</t>
  </si>
  <si>
    <t xml:space="preserve">Pemasangan Lampu dan Armatur </t>
  </si>
  <si>
    <t>5.3.1.1</t>
  </si>
  <si>
    <t xml:space="preserve"> Pemasangan 1 titik Instalasi Lampu</t>
  </si>
  <si>
    <t>Klem 20 mm</t>
  </si>
  <si>
    <t>Flexible Conduit 20 mm</t>
  </si>
  <si>
    <t xml:space="preserve">m </t>
  </si>
  <si>
    <t xml:space="preserve">lasdop </t>
  </si>
  <si>
    <t>5.3.1.2</t>
  </si>
  <si>
    <t xml:space="preserve"> Pemasangan 1 titik Instalasi Lampu (Kabel LSOH)</t>
  </si>
  <si>
    <t>5.3.1.3</t>
  </si>
  <si>
    <t xml:space="preserve">Pemasangan 1 Unit Downlight 5 inch 14,5 Watt LED </t>
  </si>
  <si>
    <t>Downlight 5 Inch 14, 5 Watt LED + Aksesoris</t>
  </si>
  <si>
    <t>5.3.1.4</t>
  </si>
  <si>
    <t>Pemasangan 1 Unit Fitting E27 + 10 Watt LED</t>
  </si>
  <si>
    <t xml:space="preserve">Lampu LED E27 10 watt + Aksesoris </t>
  </si>
  <si>
    <t xml:space="preserve">Fitting E27 + Aksesoris </t>
  </si>
  <si>
    <t>5.3.1.5</t>
  </si>
  <si>
    <t>Pemasangan 1 Unit Fitting E27 + 10 Watt LED c/w Nicad Battery</t>
  </si>
  <si>
    <t xml:space="preserve">Nicad Battery </t>
  </si>
  <si>
    <t>5.3.1.6</t>
  </si>
  <si>
    <t xml:space="preserve">Pemasangan 1 Unit Fitting E27 + 19 Watt LED </t>
  </si>
  <si>
    <t>Lampu LED E27 19 watt</t>
  </si>
  <si>
    <t>5.3.1.7</t>
  </si>
  <si>
    <t>Pemasangan 1 Unit Fitting E27 + 19 Watt LED  c/w Nicad Battery</t>
  </si>
  <si>
    <t>5.3.1.8</t>
  </si>
  <si>
    <t xml:space="preserve">Pemasangan 1 Unit RM TKI 2 x 16 Watt LED </t>
  </si>
  <si>
    <t>RM TKI 2 x 16 Watt LED</t>
  </si>
  <si>
    <t>5.3.1.9</t>
  </si>
  <si>
    <t>Pemasangan 1 Unit Lampu Sorot LED 100 watt</t>
  </si>
  <si>
    <t>Lampu Sorot LED 100 Watt</t>
  </si>
  <si>
    <t>5.3.1.10</t>
  </si>
  <si>
    <t>Pemasangan 1 Unit Lampu Sorot RGB 30 Watt 100 untuk Outdoor</t>
  </si>
  <si>
    <t xml:space="preserve">Lampu Sorot RGB 30 Watt untuk Outdoor </t>
  </si>
  <si>
    <t xml:space="preserve">Pelindung Lampu </t>
  </si>
  <si>
    <t>5.3.1.11</t>
  </si>
  <si>
    <t>Pemasangan 1 Unit Lampu High Bay 100 Watt</t>
  </si>
  <si>
    <t xml:space="preserve">Lampu High Bay 100 Watt </t>
  </si>
  <si>
    <t>5.3.1.12</t>
  </si>
  <si>
    <t>Pemasangan 1 Unit Lampu Eksit LED 3 Watt c/w Battery</t>
  </si>
  <si>
    <t xml:space="preserve">Lampu Eksit LED 3 Watt c/w Battery </t>
  </si>
  <si>
    <t>5.3.1.13</t>
  </si>
  <si>
    <t>Pemasangan 1 Unit Lampu TLED 1 X 14 Watt 2.100 Lumen (Dust Proof)</t>
  </si>
  <si>
    <t xml:space="preserve">Lampu TLED 1  x 14 Watt 2.100 Lumen </t>
  </si>
  <si>
    <t>5.3.1.14</t>
  </si>
  <si>
    <t>Pemasangan 1 Unit Lampu TLED 1 X 24 Watt 2.100 Lumen (Balk)</t>
  </si>
  <si>
    <t>Lampu TLED 1 x 24 Watt 2.100 Lumen</t>
  </si>
  <si>
    <t>5.3.1.15</t>
  </si>
  <si>
    <t>Pemasangan 1 Unit Lampu TLED 1 X 24 Watt 2.100 Lumen (Balk) c/w Niced Battery</t>
  </si>
  <si>
    <t>5.3.1.16</t>
  </si>
  <si>
    <t>Pemasangan 1 Unit Lampu TLED 2 X 24 Watt 2.100 Lumen (Balk)</t>
  </si>
  <si>
    <t>Lampu TLED 2 x 24 Watt 2.100 Lumen</t>
  </si>
  <si>
    <t>5.3.1.17</t>
  </si>
  <si>
    <t>Pemasangan 1 Unit Lampu TLED 2 X 24 Watt 2.100 Lumen (Balk) c/w Nicad Battery</t>
  </si>
  <si>
    <t>5.3.1.18</t>
  </si>
  <si>
    <t>Pemasangan 1 unit Lampu PJU Kawasan LED 50 Watt + Tiang 6-7 M (single Pool)</t>
  </si>
  <si>
    <t xml:space="preserve">Lampu PJU LED 50 Watt </t>
  </si>
  <si>
    <t>Tiang PJU Kawasan 6-7 m</t>
  </si>
  <si>
    <t>5.3.1.19</t>
  </si>
  <si>
    <t>Pemasangan 1 Unit Lampu Kawasan LED 50 Watt + Solar Cell + Tiang 6-7 M ( Single Pool)</t>
  </si>
  <si>
    <t>Lampu PJU LED 50 Watt + Solar Cell</t>
  </si>
  <si>
    <t>5.3.1.20</t>
  </si>
  <si>
    <t>Pemasangan 1 Unit Lampu Taman 25 Watt + Tiang 1 M</t>
  </si>
  <si>
    <t>Lampu Taman 25 Watt +Tiang 1 m</t>
  </si>
  <si>
    <t>5.3.1.21</t>
  </si>
  <si>
    <t>Pemasangan 1 Unit Fitting + 7 Watt LED</t>
  </si>
  <si>
    <t xml:space="preserve">Lampu LED 7 Watt </t>
  </si>
  <si>
    <t>Fitting</t>
  </si>
  <si>
    <t>5.3.1.22</t>
  </si>
  <si>
    <t>Pemasangan 1 Unit Fitting + 7 Watt LED c/w Nicad Battery</t>
  </si>
  <si>
    <t>5.3.1.23</t>
  </si>
  <si>
    <t xml:space="preserve">Pemasangan 1 Unit Fitting +  9 Watt LED </t>
  </si>
  <si>
    <t xml:space="preserve">Lampu LED 9 Watt </t>
  </si>
  <si>
    <t>5.3.1.24</t>
  </si>
  <si>
    <t xml:space="preserve">Pemasangan 1 Unit Fitting +  9 Watt LED c/w Nicad Battery </t>
  </si>
  <si>
    <t>5.3.1.25</t>
  </si>
  <si>
    <t xml:space="preserve">Pemasangan 1 Unit Fitting +  20 Watt Baret c/w Nicad Battery </t>
  </si>
  <si>
    <t>Lampu Baret 20 Watt</t>
  </si>
  <si>
    <t>5.3.1.26</t>
  </si>
  <si>
    <t xml:space="preserve">Pemasangan 1 Unit Fitting +  32 Watt Baret c/w Nicad Battery </t>
  </si>
  <si>
    <t>Lampu Baret 32 Watt</t>
  </si>
  <si>
    <t>5.3.1.27</t>
  </si>
  <si>
    <t>Pemasangan 1 Unit Fitting +  40 Watt Lampu Pijar</t>
  </si>
  <si>
    <t xml:space="preserve">Lampu Pijar 40 Watt </t>
  </si>
  <si>
    <t>5.3.1.28</t>
  </si>
  <si>
    <t>Pemasangan 1 Unit Lampu TL 18 Watt ( Balk)</t>
  </si>
  <si>
    <t xml:space="preserve">Lampu TL 18 Watt </t>
  </si>
  <si>
    <t>5.3.1.29</t>
  </si>
  <si>
    <t>Pemasangan 1 Unit Lampu TLED 18 Watt ( Balk)</t>
  </si>
  <si>
    <t xml:space="preserve">Lampu TLED 18 Watt </t>
  </si>
  <si>
    <t>5.3.1. 30</t>
  </si>
  <si>
    <t>Pemasangan 1 Unit Lampu TL  36 Watt ( Balk)</t>
  </si>
  <si>
    <t>Lampu TL  36 Watt</t>
  </si>
  <si>
    <t>5.3.1. 31</t>
  </si>
  <si>
    <t>Pemasangan 1 Unit Lampu TL ED 36 Watt ( Balk)</t>
  </si>
  <si>
    <t>Lampu TLED  36 Watt</t>
  </si>
  <si>
    <t>5.3.1. 32</t>
  </si>
  <si>
    <t>Pemasangan 1 titik Instalasi Lampu Luar/Taman ( dengan Kabel NYFGBY)</t>
  </si>
  <si>
    <t xml:space="preserve">Perubahan Koefisien Bahan Kabel 8,8 jadi 16,5 </t>
  </si>
  <si>
    <t>5.3.1. 33</t>
  </si>
  <si>
    <t>Pemasangan 1 titik Instalasi Lampu Luar/Taman ( dengan Kabel NYY)</t>
  </si>
  <si>
    <t>5.3.1. 34</t>
  </si>
  <si>
    <t>Pemasangan 1 titik Instalasi Lampu Luar/Taman ( dengan Kabel NYM)</t>
  </si>
  <si>
    <t>5.3.1. 35</t>
  </si>
  <si>
    <t>Pemasangan 1 titik Instalasi Lampu PJU ( dengan Kabel NYFGBY)</t>
  </si>
  <si>
    <t>5.3.1. 36</t>
  </si>
  <si>
    <t>Pemasangan 1 titik Instalasi Lampu PJU ( dengan Kabel NYY)</t>
  </si>
  <si>
    <t>5.3.1. 37</t>
  </si>
  <si>
    <t>Pemasangan 1 titik Instalasi Lampu PJU Tiang 7 m  ( dengan Kabel NYM)</t>
  </si>
  <si>
    <t>5.3.1. 38</t>
  </si>
  <si>
    <t>Pemasangan 1 titik Instalasi Lampu PJU Tiang 9 m  ( dengan Kabel NYM)</t>
  </si>
  <si>
    <t>5.3.1. 39</t>
  </si>
  <si>
    <t>Pemasangan 1 Unit Sport Floodlight LED, Min 180000 Lumen, Max. 1340 W, 5700K, min. CRI 80, min. IP 66 c/w DMX Led Driver &amp; Customized Bracklet ( Field of Play)</t>
  </si>
  <si>
    <t xml:space="preserve">Lampu Sport Floodlight Led </t>
  </si>
  <si>
    <t xml:space="preserve">Brackket </t>
  </si>
  <si>
    <t xml:space="preserve">Boom Lift </t>
  </si>
  <si>
    <t>5.3.1. 40</t>
  </si>
  <si>
    <t xml:space="preserve">Pemasangan 1 buah Junction Box IP Rated </t>
  </si>
  <si>
    <t xml:space="preserve">Junction Box IP Rated </t>
  </si>
  <si>
    <t>5.3.1. 41</t>
  </si>
  <si>
    <t xml:space="preserve">Setting &amp; Aiming 1 titik Lampu Field Of Play (FOP) Eksisting </t>
  </si>
  <si>
    <t xml:space="preserve">Tenaga Terampil Operator </t>
  </si>
  <si>
    <t xml:space="preserve">Tenaga Ahli Muda </t>
  </si>
  <si>
    <t>5.3.1. 42</t>
  </si>
  <si>
    <t>Pemasangan 1 m' Kabel Fiber Optic Dual Core Single Mode + Pipa HDPE Conduit 20 mm</t>
  </si>
  <si>
    <t>Kepala Tukang</t>
  </si>
  <si>
    <t xml:space="preserve">Kabel Fiber Optic Dual Core Single Mode </t>
  </si>
  <si>
    <t>Pipa HDPE Conduit 20 mm</t>
  </si>
  <si>
    <t>5.3.1. 43</t>
  </si>
  <si>
    <t xml:space="preserve">Pemasangan 1 buah DMX LED Controller , 1 Universe </t>
  </si>
  <si>
    <t>DMX LED Controller 1 Universe</t>
  </si>
  <si>
    <t>5.3.2</t>
  </si>
  <si>
    <t xml:space="preserve">Pemasangan Sensor </t>
  </si>
  <si>
    <t>5.3.2.1</t>
  </si>
  <si>
    <t xml:space="preserve">Pemasangan 1 Unit Sensor Cahaya </t>
  </si>
  <si>
    <t xml:space="preserve">Sensor Cahaya </t>
  </si>
  <si>
    <t>5.3.2.2</t>
  </si>
  <si>
    <t>Pemasangan 1 Unit Sensor Gerak</t>
  </si>
  <si>
    <t xml:space="preserve">Sensor Gerak </t>
  </si>
  <si>
    <t>5.4</t>
  </si>
  <si>
    <t>PEKERJAAN SISTEM ELEKTRONIK</t>
  </si>
  <si>
    <t>5.4.1</t>
  </si>
  <si>
    <t xml:space="preserve">Sistem Alarm Kebakaran </t>
  </si>
  <si>
    <t>5.4.1.1</t>
  </si>
  <si>
    <t>Pemasangan 1 Unit MCP-FA (Semi Addressable 1 Loop)</t>
  </si>
  <si>
    <t>Perubahan Penghapusan bahan "Programming, Testing &amp; commisioning"</t>
  </si>
  <si>
    <t>MCP-FA (Semi Addressable 1 Loop)</t>
  </si>
  <si>
    <t>CATATAN      1 loop hingga 250 address</t>
  </si>
  <si>
    <t>5.4.1.2</t>
  </si>
  <si>
    <t>Pemasangan 1  Unit PC Komputer</t>
  </si>
  <si>
    <t xml:space="preserve">PC Komputer </t>
  </si>
  <si>
    <t>5.4.1.3</t>
  </si>
  <si>
    <t>Pemasangan 1 Unit Alarm Printer</t>
  </si>
  <si>
    <t xml:space="preserve">Alarm Printer </t>
  </si>
  <si>
    <t>5.4.1.4</t>
  </si>
  <si>
    <t>Pemasangan 1 Unit Report Printer</t>
  </si>
  <si>
    <t>Report Printer</t>
  </si>
  <si>
    <t>5.4.1.5</t>
  </si>
  <si>
    <t xml:space="preserve">Pemasangan 1 Unit Announciator </t>
  </si>
  <si>
    <t>Announciator</t>
  </si>
  <si>
    <t>5.4.1.6</t>
  </si>
  <si>
    <t xml:space="preserve">Pemasangan 1 Unit Terminal Box Fire Alarm (Lengkap dengan Modul) </t>
  </si>
  <si>
    <t xml:space="preserve">Terminal Box Fire Alarm </t>
  </si>
  <si>
    <t>5.4.1.7</t>
  </si>
  <si>
    <t xml:space="preserve">Pemasangan 1 Unit Some Detector Addressable </t>
  </si>
  <si>
    <t xml:space="preserve">Smoke Detector Addressable </t>
  </si>
  <si>
    <t>5.4.1.8</t>
  </si>
  <si>
    <t xml:space="preserve">Pemasangan 1 Unit Rate of Rise Detector Addressable </t>
  </si>
  <si>
    <t xml:space="preserve">Rate of Rise Detector Addressable </t>
  </si>
  <si>
    <t>5.4.1.9</t>
  </si>
  <si>
    <t xml:space="preserve">Pemasangan 1 Unit Fix Heat Detector Addressable </t>
  </si>
  <si>
    <t xml:space="preserve">Fix Heat Detector Addressable </t>
  </si>
  <si>
    <t>5.4.1.10</t>
  </si>
  <si>
    <t xml:space="preserve">Pemasangan 1 Unit Smoke Detector Konvensional </t>
  </si>
  <si>
    <t xml:space="preserve">Smoke Detector Konvensional </t>
  </si>
  <si>
    <t>5.4.1.11</t>
  </si>
  <si>
    <t>Pemasangan 1 Unit Rate of Rise Detector Konvensional</t>
  </si>
  <si>
    <t>Rate of Rise Detector Konvensional</t>
  </si>
  <si>
    <t>5.4.1.12</t>
  </si>
  <si>
    <t xml:space="preserve">Pemasangan 1 Unit Fix Heat Detector Konvensional </t>
  </si>
  <si>
    <t>Fix Heat Detector Konvensioanl</t>
  </si>
  <si>
    <t>5.4.1.13</t>
  </si>
  <si>
    <t xml:space="preserve">Pemasangan 1 Unit  Lamp Indicator </t>
  </si>
  <si>
    <t xml:space="preserve">Lamp Indicator </t>
  </si>
  <si>
    <t>5.4.1.14</t>
  </si>
  <si>
    <t>Pemasangan 1 Unit Manual Break Glass</t>
  </si>
  <si>
    <t>Manual Break Glass</t>
  </si>
  <si>
    <t>5.4.1.15</t>
  </si>
  <si>
    <t>Pemasangan 1 Unit  Horn Strobe</t>
  </si>
  <si>
    <t>Horn Strobe</t>
  </si>
  <si>
    <t>5.4.1.16</t>
  </si>
  <si>
    <t>Pemasangan 1 Unit  Fire Fighting Telepon</t>
  </si>
  <si>
    <t xml:space="preserve">Fire Fighting Telepon </t>
  </si>
  <si>
    <t>5.4.1.17</t>
  </si>
  <si>
    <t>Pemasangan 1 Unit  Alrm Bell</t>
  </si>
  <si>
    <t>Alarm Bell</t>
  </si>
  <si>
    <t>5.4.1.18</t>
  </si>
  <si>
    <t>Pemasangan 1 titik Instalasi Detector Adressable Per Titik</t>
  </si>
  <si>
    <t xml:space="preserve">Kabel STP AWG 18 </t>
  </si>
  <si>
    <t>5.4.1.19</t>
  </si>
  <si>
    <t>Pemasangan 1 titik Instalasi Detector Konvensional Per Tititk</t>
  </si>
  <si>
    <t>5.4.1.20</t>
  </si>
  <si>
    <t>Pemasangan 1 titik Instalasi Lamp Indicator</t>
  </si>
  <si>
    <t>5.4.1.21</t>
  </si>
  <si>
    <t>Pemasangan 1 titik Instalasi Manual Push Button</t>
  </si>
  <si>
    <t>Kabel FRC 2 x 1,5 mm²</t>
  </si>
  <si>
    <t>5.4.1.22</t>
  </si>
  <si>
    <t>Pemasangan 1 titik Instalasi Alarm Bell</t>
  </si>
  <si>
    <t>5.4.1.23</t>
  </si>
  <si>
    <t>Pemasangan 1 titik Instalasi  Indicator Bell</t>
  </si>
  <si>
    <t>5.4.1.24</t>
  </si>
  <si>
    <t>Pemasangan 1 titik Instalasi Intercom Jack</t>
  </si>
  <si>
    <t>Kabel ITC 2x2x0,6 mm2</t>
  </si>
  <si>
    <t>5.4.1.25</t>
  </si>
  <si>
    <t>Pemasangan 1 titik Instalasi Flow &amp; Temper Switch</t>
  </si>
  <si>
    <t>5.4.1.26</t>
  </si>
  <si>
    <t>Pemasangan 1 buah Sirine Module</t>
  </si>
  <si>
    <t xml:space="preserve">Sirine Module </t>
  </si>
  <si>
    <t>5.4.1.27</t>
  </si>
  <si>
    <t>Pemasangan 1 buah Control Module</t>
  </si>
  <si>
    <t>Control Module</t>
  </si>
  <si>
    <t>5.4.1.28</t>
  </si>
  <si>
    <t>Pemasangan 1 buah Relay Module</t>
  </si>
  <si>
    <t>Relay Module</t>
  </si>
  <si>
    <t>5.4.1.29</t>
  </si>
  <si>
    <t xml:space="preserve">Pemasangan 1 buah Isolator Module </t>
  </si>
  <si>
    <t xml:space="preserve">Isolator Module </t>
  </si>
  <si>
    <t>5.4.1.30</t>
  </si>
  <si>
    <t xml:space="preserve">Pemasangan 1 buah Monitor  Module </t>
  </si>
  <si>
    <t>Monitor Module</t>
  </si>
  <si>
    <t>5.4.1.31</t>
  </si>
  <si>
    <t>Pemasangan 1 buah Terminal Box Fire Alarm ( Tanpa Modul)</t>
  </si>
  <si>
    <t>5.4.1.32</t>
  </si>
  <si>
    <t>Pemasangan 1 buah Kabel Power Fire Alarm NYA 20x1,5 mm2</t>
  </si>
  <si>
    <t>5.4.1.33</t>
  </si>
  <si>
    <t>Pemasangan 1 buah Kabel Power Fire Alarm NYA 3x2x2,5 mm2</t>
  </si>
  <si>
    <t>5.4.1.34</t>
  </si>
  <si>
    <t>Pemasangan 1 buah Kabel Power Fire Alarm NYA 5x2x2,5 mm2</t>
  </si>
  <si>
    <t>5.4.1.35</t>
  </si>
  <si>
    <t>Pemasangan 1 Unit Rectifier</t>
  </si>
  <si>
    <t>Rectifier</t>
  </si>
  <si>
    <t xml:space="preserve"> </t>
  </si>
  <si>
    <t>5.4.1.36</t>
  </si>
  <si>
    <t>Pemasangan 1 Unit Power Surge Arrester</t>
  </si>
  <si>
    <t>Power Surge Arrester</t>
  </si>
  <si>
    <t>5.4.1.37</t>
  </si>
  <si>
    <t>Pemasangan 1 Unit UPS 2 KVA ( Inverter, Rectifier, Battery Backup 15 menit)</t>
  </si>
  <si>
    <t xml:space="preserve">UPS 2 KVA 15 Menit </t>
  </si>
  <si>
    <t>5.4.1.38</t>
  </si>
  <si>
    <t>Pemasangan 1 Unit UPS 2 KVA ( Inverter, Rectifier, Battery Backup 30 menit)</t>
  </si>
  <si>
    <t>UPS 2 KVA 30 Menit</t>
  </si>
  <si>
    <t>5.4.1.39</t>
  </si>
  <si>
    <t>Pemasangan 1 Unit UPS 2 KVA ( Inverter, Rectifier, Battery Backup 1 Jam)</t>
  </si>
  <si>
    <t>UPS 2 KVA 1 Jam</t>
  </si>
  <si>
    <t>5.4.1.40</t>
  </si>
  <si>
    <t>Pemasangan 1 Unit UPS 2 KVA ( Inverter, Rectifier, Battery Backup 2Jam)</t>
  </si>
  <si>
    <t>UPS 2 KVA 2 Jam</t>
  </si>
  <si>
    <t>5.4.1.41</t>
  </si>
  <si>
    <t>Pemasangan 1 Unit UPS 2 KVA ( Inverter, Rectifier, Battery Backup 4 Jam)</t>
  </si>
  <si>
    <t>UPS 2 KVA 4 Jam</t>
  </si>
  <si>
    <t>5.4.1.42</t>
  </si>
  <si>
    <t xml:space="preserve">Pemasangan 1 Buah End of Line Resistor </t>
  </si>
  <si>
    <t xml:space="preserve">End of Line Resistor </t>
  </si>
  <si>
    <t>5.4.2</t>
  </si>
  <si>
    <t>Sistem CCTV</t>
  </si>
  <si>
    <t>5.4.2.1</t>
  </si>
  <si>
    <t>Pemasangan 1 Unit Patch Panel UTP Cat 6 4 Port</t>
  </si>
  <si>
    <t>Patch Panel UTP Cat 6 4 Port</t>
  </si>
  <si>
    <t>5.4.2.2</t>
  </si>
  <si>
    <t xml:space="preserve">Pemasangan 1 Unit  Wirig Mangement </t>
  </si>
  <si>
    <t>Wiring Management</t>
  </si>
  <si>
    <t>5.4.2.3</t>
  </si>
  <si>
    <t>Pemasangan 1 Unit  PoE Switch HUB</t>
  </si>
  <si>
    <t>PoE Switch HUB + aksesories</t>
  </si>
  <si>
    <t>5.4.2.4</t>
  </si>
  <si>
    <t>Pemasangan 1 Unit  Network Video Recorder (NVR) Kapasitas 32 Chanel + 8TB Hardisk</t>
  </si>
  <si>
    <t>Network  Video Recorder (NVR) Kapasitas 32 Chanel</t>
  </si>
  <si>
    <t xml:space="preserve">8 TB Hardisk </t>
  </si>
  <si>
    <t>5.4.2.5</t>
  </si>
  <si>
    <t>Pemasangan 1 Unit  RAK HUB 12 U ( Lengkap dengan Power Outlet)</t>
  </si>
  <si>
    <t xml:space="preserve">Rak 19" 12 U Lengkap dengan Power Outlet </t>
  </si>
  <si>
    <t>5.4.2.6</t>
  </si>
  <si>
    <t>Pemasangan 1 Unit  LCD Monitor 32"</t>
  </si>
  <si>
    <t>LCD Monitor 32"</t>
  </si>
  <si>
    <t>Bracket Monitor 32"</t>
  </si>
  <si>
    <t>5.4.2.7</t>
  </si>
  <si>
    <t>Pemasangan 1 Unit  LCD Monitor 50"</t>
  </si>
  <si>
    <t>LCD Monitor 50"</t>
  </si>
  <si>
    <t>Bracket Monitor 50"</t>
  </si>
  <si>
    <t>5.4.2.8</t>
  </si>
  <si>
    <t>Pemasangan 1 Unit  Keyboard + Mouse</t>
  </si>
  <si>
    <t xml:space="preserve">Keyboard + Mouse </t>
  </si>
  <si>
    <t>5.4.2.9</t>
  </si>
  <si>
    <t>Pemasangan 1 Unit  Indoor Fix Dome IP Camera</t>
  </si>
  <si>
    <t xml:space="preserve">Indoor Fix Dome IP Camera </t>
  </si>
  <si>
    <t>5.4.2.10</t>
  </si>
  <si>
    <t>Pemasangan 1 Unit Outdoor Fix Dome IP Camera</t>
  </si>
  <si>
    <t xml:space="preserve">Outdoor Fix Dome IP Camera </t>
  </si>
  <si>
    <t>5.4.2.11</t>
  </si>
  <si>
    <t>Pemasangan 1 titik Instalasi Camera CCTV</t>
  </si>
  <si>
    <t>Kabel UTP Cat 6</t>
  </si>
  <si>
    <t>5.4.3</t>
  </si>
  <si>
    <t xml:space="preserve">Sistem Tata Suara </t>
  </si>
  <si>
    <t>5.4.3.1</t>
  </si>
  <si>
    <t>Pemasangan 1 Unit MDF - SS</t>
  </si>
  <si>
    <t>MDF-SS</t>
  </si>
  <si>
    <t>5.4.3.2</t>
  </si>
  <si>
    <t xml:space="preserve">Pemasangan 1 Unit Selector Switch c/w Control Panel </t>
  </si>
  <si>
    <t>Selector Switch c/w Control Panel</t>
  </si>
  <si>
    <t>5.4.3.3</t>
  </si>
  <si>
    <t>Pemasangan 1 Unit Power Amplifier 360 Watt</t>
  </si>
  <si>
    <t>Power Amplifier 360 Watt</t>
  </si>
  <si>
    <t>5.4.3.4</t>
  </si>
  <si>
    <t>Pemasangan 1 Unit Power Amplifier 240 Watt</t>
  </si>
  <si>
    <t>Power Amplifier 240 Watt</t>
  </si>
  <si>
    <t>5.4.3.5</t>
  </si>
  <si>
    <t>Pemasangan 1 Unit Power Amplifier 120 Watt</t>
  </si>
  <si>
    <t>Power Amplifier 120 Watt</t>
  </si>
  <si>
    <t>5.4.3.6</t>
  </si>
  <si>
    <t>Pemasangan 1 Unit  System Controller ( Mixer Pre Amp-Equalizer)</t>
  </si>
  <si>
    <t>System Controller (Mixer Pre Amp + Equalizer)</t>
  </si>
  <si>
    <t>5.4.3.7</t>
  </si>
  <si>
    <t>Pemasangan 1 Unit VCD/DVD/MP3/MP4</t>
  </si>
  <si>
    <t>VCD/DVD/MP3/Mp4</t>
  </si>
  <si>
    <t>5.4.3.8</t>
  </si>
  <si>
    <t>Pemasangan 1 Unit Sound Source</t>
  </si>
  <si>
    <t>5.4.3.9</t>
  </si>
  <si>
    <t>Pemasangan 1 Unit Automatic Alarm System</t>
  </si>
  <si>
    <t>Automatic Alarm System</t>
  </si>
  <si>
    <t>5.4.3.10</t>
  </si>
  <si>
    <t>Pemasangan 1 Unit Paging Mic Keyboard</t>
  </si>
  <si>
    <t>Paging Mic Keypad</t>
  </si>
  <si>
    <t>5.4.3.11</t>
  </si>
  <si>
    <t>Pemasangan 1 Unit UPS 1 KVA ( Inverter, Rectifier, Battery Backup 4 Jam)</t>
  </si>
  <si>
    <t xml:space="preserve">UPS 1 KVA 4 Jam </t>
  </si>
  <si>
    <t>5.4.3.12</t>
  </si>
  <si>
    <t xml:space="preserve">Pemasangan 1 Unit Rack Cabinet </t>
  </si>
  <si>
    <t>Rack Cabinet</t>
  </si>
  <si>
    <t>5.4.3.13</t>
  </si>
  <si>
    <t>Pemasangan 1 Unit Terminal Box Tata Suara (TBTS)</t>
  </si>
  <si>
    <t>Terminal Box Tata Suara (TBTS)</t>
  </si>
  <si>
    <t>5.4.3.14</t>
  </si>
  <si>
    <t xml:space="preserve">Pemasangan 1 Unit Ceiling Speaker </t>
  </si>
  <si>
    <t>Ceiling Speaker</t>
  </si>
  <si>
    <t>5.4.3.15</t>
  </si>
  <si>
    <t xml:space="preserve">Pemasangan 1 Unit Wall Speaker </t>
  </si>
  <si>
    <t>Wall Speaker</t>
  </si>
  <si>
    <t>5.4.3.16</t>
  </si>
  <si>
    <t>Pemasangan 1 Unit Horn Speaker</t>
  </si>
  <si>
    <t>Horn Speaker</t>
  </si>
  <si>
    <t>5.4.3.17</t>
  </si>
  <si>
    <t>Pemasangan 1 Unit Horn Speaker+ Tiang</t>
  </si>
  <si>
    <t xml:space="preserve">Tiang </t>
  </si>
  <si>
    <t>5.4.3.18</t>
  </si>
  <si>
    <t>Pemasangan 1 titik Instalasi  Horn Speaker</t>
  </si>
  <si>
    <t>5.4.3.19</t>
  </si>
  <si>
    <t xml:space="preserve">Pemasangan 1 titik Instalasi  Ceiling Speaker </t>
  </si>
  <si>
    <t>5.4.4.</t>
  </si>
  <si>
    <t xml:space="preserve">Sistem Telepon </t>
  </si>
  <si>
    <t>5.4.4.1</t>
  </si>
  <si>
    <t xml:space="preserve">Pemasangan 1 Unit MDF 2 x 8 pair </t>
  </si>
  <si>
    <t>MDF 2 x 8 Pair</t>
  </si>
  <si>
    <t>5.4.4.2</t>
  </si>
  <si>
    <t xml:space="preserve">Pemasangan 1 Unit MDF 2 x 10 pair </t>
  </si>
  <si>
    <t>MDF 2 x 10 Pair</t>
  </si>
  <si>
    <t>5.4.4.3</t>
  </si>
  <si>
    <t>Pemasangan 1 Unit PABX Kap: 1 Line 10 Extension ( Lengkap dengan Pemprograman)</t>
  </si>
  <si>
    <t xml:space="preserve">Pemasangan 1 Unit PABX Kap: 1 Line 10 Extension </t>
  </si>
  <si>
    <t>5.4.4.4</t>
  </si>
  <si>
    <t>Pemasangan 1 Unit PABX Kap: 1 Line 8 Extension ( Lengkap dengan Pemprograman)</t>
  </si>
  <si>
    <t xml:space="preserve">Pemasangan 1 Unit PABX Kap: 1 Line 8 Extension </t>
  </si>
  <si>
    <t>5.4.4.5</t>
  </si>
  <si>
    <t xml:space="preserve">Pemasangan 1 Unit Terminal Box Telepon </t>
  </si>
  <si>
    <t>Terminal Box Telepon</t>
  </si>
  <si>
    <t>5.4.4.6</t>
  </si>
  <si>
    <t>Pemasangan 1 Unit Outlet Telepon</t>
  </si>
  <si>
    <t>Outlet Telepon</t>
  </si>
  <si>
    <t>5.4.4.7</t>
  </si>
  <si>
    <t>Pemasangan 1 Unit Instalasi Outlet Telepon</t>
  </si>
  <si>
    <t xml:space="preserve"> buah</t>
  </si>
  <si>
    <t>5.4.5</t>
  </si>
  <si>
    <t xml:space="preserve">Sistem Data dan Internet </t>
  </si>
  <si>
    <t>5.4.5.1</t>
  </si>
  <si>
    <t xml:space="preserve">Pemasangan 1 Unit Sever / Gateway c/w PC, Monitor, Keyboar, Mouse </t>
  </si>
  <si>
    <t>Server / Gateway c/w PC, Monitor, Keyboard, Mouse</t>
  </si>
  <si>
    <t xml:space="preserve">Unit </t>
  </si>
  <si>
    <t>5.4.5.2</t>
  </si>
  <si>
    <t xml:space="preserve">Pemasangan 1 Unit Main Switch HUB 24 Port </t>
  </si>
  <si>
    <t>Main Switch HUB 24 Port</t>
  </si>
  <si>
    <t>5.4.5.3</t>
  </si>
  <si>
    <t xml:space="preserve">Pemasangan 1 Unit Main Switch HUB 12 Port </t>
  </si>
  <si>
    <t>Main Switch HUB 12 Port</t>
  </si>
  <si>
    <t>5.4.5.4</t>
  </si>
  <si>
    <t>Pemasangan 1 Unit Router Broadband</t>
  </si>
  <si>
    <t>Router Broadband</t>
  </si>
  <si>
    <t>5.4.5.5</t>
  </si>
  <si>
    <t xml:space="preserve">Pemasangan 1 Unit Fire Wall + Anti Virus </t>
  </si>
  <si>
    <t>Fire Wall + Anti Virus</t>
  </si>
  <si>
    <t>5.4.5.6</t>
  </si>
  <si>
    <t xml:space="preserve">Pemasangan 1 Unit  Outlet Data </t>
  </si>
  <si>
    <t>Outlet Data</t>
  </si>
  <si>
    <t>5.4.5.7</t>
  </si>
  <si>
    <t xml:space="preserve">Pemasangan 1 Titik Instalasi Outlet Data </t>
  </si>
  <si>
    <t>5.4.5.8</t>
  </si>
  <si>
    <t xml:space="preserve">Pemasangan 1 Unit Patch Cord </t>
  </si>
  <si>
    <t>Patch Cord</t>
  </si>
  <si>
    <t>5.4.5.9</t>
  </si>
  <si>
    <t>Pemasangan 1 Unit Patch  Panel 24 Port</t>
  </si>
  <si>
    <t>Patch Panel 24 Port</t>
  </si>
  <si>
    <t>5.4.5.10</t>
  </si>
  <si>
    <t>Pemasangan 1 Unit Wifi Access Ponit ( Wifi 6 Radius 50 m)</t>
  </si>
  <si>
    <t>Wifi Access Point (Wifi 6 Radius 50 M)</t>
  </si>
  <si>
    <t>5.4.5.11</t>
  </si>
  <si>
    <t>Pemasangan 1 Unit Switch HUB 8 Port, Unmanaged c/w OTB</t>
  </si>
  <si>
    <t>Switch Hub 8 Port</t>
  </si>
  <si>
    <t xml:space="preserve">Media Converter </t>
  </si>
  <si>
    <t xml:space="preserve">OTB </t>
  </si>
  <si>
    <t>5.4.5.12</t>
  </si>
  <si>
    <t>Pemasangan 1 Unit Touch Screen Panel 7"</t>
  </si>
  <si>
    <t>Touch Screen Panel 7"</t>
  </si>
  <si>
    <t>5.4.5.13</t>
  </si>
  <si>
    <t>Pemasangan 1 Unit Touch Screen Panel 10"</t>
  </si>
  <si>
    <t>Touch Screen Panel 10"</t>
  </si>
  <si>
    <t>5.4.5.14</t>
  </si>
  <si>
    <t>Pemasangan 1 Unit Touch Screen Panel 12"</t>
  </si>
  <si>
    <t>Touch Screen Panel 12"</t>
  </si>
  <si>
    <t>5.4.5.15</t>
  </si>
  <si>
    <t>Pemasangan 1 Unit Touch Screen Panel 14"</t>
  </si>
  <si>
    <t>Touch Screen Panel 14"</t>
  </si>
  <si>
    <t>5.4.5.16</t>
  </si>
  <si>
    <t>Pemasangan 1 Unit Wall Mounted Rack 15U</t>
  </si>
  <si>
    <t>Wall Mounted Rack 15U</t>
  </si>
  <si>
    <t>5.4.5.17</t>
  </si>
  <si>
    <t xml:space="preserve">Pemasangan 1 Unit Workstation, Meja + Kursi </t>
  </si>
  <si>
    <t>Workstation, Meja+Kursi</t>
  </si>
  <si>
    <t>5.4.6</t>
  </si>
  <si>
    <t>Sistem MATV</t>
  </si>
  <si>
    <t>5.4.6.1</t>
  </si>
  <si>
    <t xml:space="preserve">Pemasangan 1 Titik Instalasi TV </t>
  </si>
  <si>
    <t xml:space="preserve">Connector </t>
  </si>
  <si>
    <t>5.4.6.2</t>
  </si>
  <si>
    <t xml:space="preserve">Pemasangan 1 Unit Splitter TV 6 Port </t>
  </si>
  <si>
    <t>Splitter TV 6 Port</t>
  </si>
  <si>
    <t>Unit</t>
  </si>
  <si>
    <t>5.4.6.3</t>
  </si>
  <si>
    <t xml:space="preserve">Pemasangan 1 Unit Splitter TV 7 Port </t>
  </si>
  <si>
    <t>Splitter TV 7 Port</t>
  </si>
  <si>
    <t>5.4.6.4</t>
  </si>
  <si>
    <t>Pemasangan 1 Unit Terminal Box TV</t>
  </si>
  <si>
    <t>Terminal Bocx TV</t>
  </si>
  <si>
    <t>5.4.6.5</t>
  </si>
  <si>
    <t xml:space="preserve">Pemasangan 1 Unit Antena UHF </t>
  </si>
  <si>
    <t>Antena UHF</t>
  </si>
  <si>
    <t>5.4.6.6</t>
  </si>
  <si>
    <t>Pemasangan 1 Unit Antena VHF</t>
  </si>
  <si>
    <t>Antena VHF</t>
  </si>
  <si>
    <t>5.5</t>
  </si>
  <si>
    <t xml:space="preserve">PEKERJAAN SISTEM TATA UDARA </t>
  </si>
  <si>
    <t>5.5.1</t>
  </si>
  <si>
    <t>Pemasangan Unit AC</t>
  </si>
  <si>
    <t>5.5.1.1</t>
  </si>
  <si>
    <t xml:space="preserve">Pemasangan 1 Unit AC Wall Mounted Kap: 5.000 BTUH </t>
  </si>
  <si>
    <t>AC Wall Mounted Kap : 5.000 BTUH</t>
  </si>
  <si>
    <t>5.5.1.2</t>
  </si>
  <si>
    <t xml:space="preserve">Pemasangan 1 Unit AC Wall Mounted Kap: 6.500 BTUH </t>
  </si>
  <si>
    <t>AC Wall Mounted Kap : 6.500 BTUH</t>
  </si>
  <si>
    <t>5.5.1.3</t>
  </si>
  <si>
    <t xml:space="preserve">Pemasangan 1 Unit AC Wall Mounted Kap: 7.000 BTUH </t>
  </si>
  <si>
    <t>AC Wall Mounted Kap : 7.000 BTUH</t>
  </si>
  <si>
    <t>5.5.1.4</t>
  </si>
  <si>
    <t xml:space="preserve">Pemasangan 1 Unit AC Wall Mounted Kap: 9.000 BTUH </t>
  </si>
  <si>
    <t>AC Wall Mounted Kap : 9.000 BTUH</t>
  </si>
  <si>
    <t>5.5.1.5</t>
  </si>
  <si>
    <t xml:space="preserve">Pemasangan 1 Unit AC Wall Mounted Kap:12.000 BTUH </t>
  </si>
  <si>
    <t>AC Wall Mounted Kap : 12.000 BTUH</t>
  </si>
  <si>
    <t>5.5.1.6</t>
  </si>
  <si>
    <t xml:space="preserve">Pemasangan 1 Unit AC Wall Mounted Kap:24.000 BTUH </t>
  </si>
  <si>
    <t>AC Wall Mounted Kap : 24.000 BTUH</t>
  </si>
  <si>
    <t>5.5.1.7</t>
  </si>
  <si>
    <t xml:space="preserve">Pemasangan 1 Unit AC Wall Mounted Kap:35.000 BTUH </t>
  </si>
  <si>
    <t>AC Wall Mounted Kap : 35.000 BTUH</t>
  </si>
  <si>
    <t>5.5.1.8</t>
  </si>
  <si>
    <t>Pemasangan 1 Titik Kabel Power AC NYM 3x2,5 mm2</t>
  </si>
  <si>
    <t>5.5.1.9</t>
  </si>
  <si>
    <t>Pemasangan 1 Titik Kabel Kontrol AC NYM 3x2,5 mm2</t>
  </si>
  <si>
    <t>5.5.2</t>
  </si>
  <si>
    <t xml:space="preserve">Pemasangan Fan </t>
  </si>
  <si>
    <t>5.5.2.1</t>
  </si>
  <si>
    <t xml:space="preserve">Pemasangan 1 Unit Ceiling Fan : 50 CFM </t>
  </si>
  <si>
    <t>Ceiling Fan, 50 CFM</t>
  </si>
  <si>
    <t>5.5.2.2</t>
  </si>
  <si>
    <t xml:space="preserve">Pemasangan 1 Unit Ceiling Fan : 75 CFM </t>
  </si>
  <si>
    <t>Ceiling Fan, 75 CFM</t>
  </si>
  <si>
    <t>5.5.2.3</t>
  </si>
  <si>
    <t xml:space="preserve">Pemasangan 1 Unit Ceiling Fan : 100 CFM </t>
  </si>
  <si>
    <t>Ceiling Fan, 100 CFM</t>
  </si>
  <si>
    <t>5.5.2.4</t>
  </si>
  <si>
    <t xml:space="preserve">Pemasangan 1 Unit Ceiling Fan : 200 CFM </t>
  </si>
  <si>
    <t>Ceiling Fan, 200 CFM</t>
  </si>
  <si>
    <t>5.5.2.5</t>
  </si>
  <si>
    <t xml:space="preserve">Pemasangan 1 Unit Inline Fan : 500 CFM </t>
  </si>
  <si>
    <t>Inline  Fan, 500 CFM</t>
  </si>
  <si>
    <t>5.5.2.6</t>
  </si>
  <si>
    <t xml:space="preserve">Pemasangan 1 Unit Inline Fan : 700 CFM </t>
  </si>
  <si>
    <t>Inline  Fan, 700 CFM</t>
  </si>
  <si>
    <t>5.5.2.7</t>
  </si>
  <si>
    <t xml:space="preserve">Pemasangan 1 Unit Axial Fan : 2.600 CFM </t>
  </si>
  <si>
    <t>Axial Fan ; 2.600 CFM</t>
  </si>
  <si>
    <t>5.5.2.8</t>
  </si>
  <si>
    <t xml:space="preserve">Pemasangan 1 Unit Axial Fan : 2.800 CFM </t>
  </si>
  <si>
    <t>Axial Fan ; 2.800 CFM</t>
  </si>
  <si>
    <t>5.5.2.9</t>
  </si>
  <si>
    <t xml:space="preserve">Pemasangan 1 Unit Axial Fan : 3.200 CFM </t>
  </si>
  <si>
    <t>Axial Fan ; 3.200 CFM</t>
  </si>
  <si>
    <t>5.5.2.10</t>
  </si>
  <si>
    <t xml:space="preserve">Pemasangan 1 Unit Axial Fan : 3.500 CFM </t>
  </si>
  <si>
    <t>Axial Fan ; 3.500 CFM</t>
  </si>
  <si>
    <t>5.5.2.11</t>
  </si>
  <si>
    <t xml:space="preserve">Pemasangan 1 Unit Axial Fan : 4.000 CFM </t>
  </si>
  <si>
    <t>Axial Fan ; 4.000 CFM</t>
  </si>
  <si>
    <t>5.5.2.12</t>
  </si>
  <si>
    <t xml:space="preserve">Pemasangan 1 Unit Axial Fan : 5.500 CFM </t>
  </si>
  <si>
    <t>Axial Fan ; 5.500 CFM</t>
  </si>
  <si>
    <t>5.5.2.13</t>
  </si>
  <si>
    <t xml:space="preserve">Pemasangan 1 Unit Rotary Fan </t>
  </si>
  <si>
    <t>Rotary Fan</t>
  </si>
  <si>
    <t>5.5.2.14</t>
  </si>
  <si>
    <t xml:space="preserve">Pemasangan 1 Unit Ceiling Fan Rotary </t>
  </si>
  <si>
    <t>Ceiling Fan Rotary</t>
  </si>
  <si>
    <t>5.5.2.15</t>
  </si>
  <si>
    <t xml:space="preserve">Pemasangan 1 Unit Bifurcated Fan : 1.500 CFM </t>
  </si>
  <si>
    <t>Bifurcated Fan; 1.500 CFM</t>
  </si>
  <si>
    <t>5.5.2.16</t>
  </si>
  <si>
    <t xml:space="preserve">Pemasangan 1 Unit Propeller Fan ; 75 CFM </t>
  </si>
  <si>
    <t>Propeller Fan, 75 CFM</t>
  </si>
  <si>
    <t>5.5.2.17</t>
  </si>
  <si>
    <t xml:space="preserve">Pemasangan 1 Unit Propeller Fan ; 100 CFM </t>
  </si>
  <si>
    <t>Propeller Fan, 100 CFM</t>
  </si>
  <si>
    <t>5.5.2.18</t>
  </si>
  <si>
    <t xml:space="preserve">Pemasangan 1 Unit Propeller Fan ; 150 CFM </t>
  </si>
  <si>
    <t>Propeller Fan, 150 CFM</t>
  </si>
  <si>
    <t>5.5.2.19</t>
  </si>
  <si>
    <t xml:space="preserve">Pemasangan 1 Unit Propeller Fan ; 375 CFM </t>
  </si>
  <si>
    <t>Propeller Fan, 375 CFM</t>
  </si>
  <si>
    <t>5.5.2.20</t>
  </si>
  <si>
    <t xml:space="preserve">Pemasangan 1 Unit Propeller Fan ; 500 CFM </t>
  </si>
  <si>
    <t>Propeller Fan, 500 CFM</t>
  </si>
  <si>
    <t>5.5.2.21</t>
  </si>
  <si>
    <t xml:space="preserve">Pemasangan 1 Unit Propeller Fan ; 600 CFM </t>
  </si>
  <si>
    <t>Propeller Fan, 600 CFM</t>
  </si>
  <si>
    <t>5.5.2.22</t>
  </si>
  <si>
    <t>Pemasangan 1 Unit Intake Grille 600x300 mm</t>
  </si>
  <si>
    <t>Intake Grille 600 x 300 mm</t>
  </si>
  <si>
    <t>5.5.2.23</t>
  </si>
  <si>
    <t>Pemasangan 1 Unit Intake Grille 650x350 mm</t>
  </si>
  <si>
    <t>Intake Grille 650 x 350 mm</t>
  </si>
  <si>
    <t>5.5.2.24</t>
  </si>
  <si>
    <t>Pemasangan 1 Unit Intake Grille 800x350 mm</t>
  </si>
  <si>
    <t>Intake Grille 800 x 350 mm</t>
  </si>
  <si>
    <t>5.5.2.25</t>
  </si>
  <si>
    <t>Pemasangan 1 Unit Intake Grille 800x400 mm</t>
  </si>
  <si>
    <t>Intake Grille 800 x 400 mm</t>
  </si>
  <si>
    <t>5.5.2.26</t>
  </si>
  <si>
    <t>Pemasangan 1 Unit Intake Louvre 700x400 mm</t>
  </si>
  <si>
    <t xml:space="preserve"> Intake Louvre 700 x 400 mm</t>
  </si>
  <si>
    <t>5.5.2.27</t>
  </si>
  <si>
    <t>Pemasangan 1 Unit Intake Louvre 750x400 mm</t>
  </si>
  <si>
    <t xml:space="preserve"> Fan Louvre 750 x 400 mm</t>
  </si>
  <si>
    <t>5.5.2.28</t>
  </si>
  <si>
    <t>Pemasangan 1 Unit Fan Louvre900 x 500</t>
  </si>
  <si>
    <t xml:space="preserve"> Fan Louvre 900 x 500 mm</t>
  </si>
  <si>
    <t>5.5.2.29</t>
  </si>
  <si>
    <t xml:space="preserve">Pemasangan 1 Unit Fan Louvre 1.000 x 400 mm </t>
  </si>
  <si>
    <t xml:space="preserve"> Fan Louvre 1.000 x 400 mm</t>
  </si>
  <si>
    <t>5.5.2.30</t>
  </si>
  <si>
    <t xml:space="preserve">Pemasangan 1 Unit Fan Louvre 1.000 x 450 mm </t>
  </si>
  <si>
    <t xml:space="preserve"> Fan Louvre 1.000 x 450 mm</t>
  </si>
  <si>
    <t>5.5.2.31</t>
  </si>
  <si>
    <t>Pemasangan 1 Unit Exhaust Grille 150 x 150 mm</t>
  </si>
  <si>
    <t>Exhaust Grille 150 x 150 mm</t>
  </si>
  <si>
    <t>5.5.2.32</t>
  </si>
  <si>
    <t>Pemasangan 1 Unit Exhaust Grille 200 x 200 mm</t>
  </si>
  <si>
    <t>Exhaust Grille 200 x 200 mm</t>
  </si>
  <si>
    <t>5.5.2.33</t>
  </si>
  <si>
    <t>Pemasangan 1 Unit Exhaust Grille 600 x 300 mm</t>
  </si>
  <si>
    <t>Exhaust Grille 600 x 300 mm</t>
  </si>
  <si>
    <t>5.5.2.34</t>
  </si>
  <si>
    <t>Pemasangan 1 Unit Exhaust Grille 650 x 350 mm</t>
  </si>
  <si>
    <t>Exhaust Grille 650 x 350 mm</t>
  </si>
  <si>
    <t>5.5.2.35</t>
  </si>
  <si>
    <t>Pemasangan 1 Unit Exhaust Grille 900 x 400 mm</t>
  </si>
  <si>
    <t>Exhaust Grille 900 x 400 mm</t>
  </si>
  <si>
    <t>5.5.2.36</t>
  </si>
  <si>
    <t>Pemasangan 1 Unit Exhaust Louvre 200 x 200 mm s/d 750 x 350 mm</t>
  </si>
  <si>
    <t>Exhaust Louvre</t>
  </si>
  <si>
    <t>5.5.2.40</t>
  </si>
  <si>
    <t>Pemasangan 1 Unit Exhaust Louvre 800 x 400 mm</t>
  </si>
  <si>
    <t>5.5.2.41</t>
  </si>
  <si>
    <t>Pemasangan 1 Unit Exhaust Louvre 850 x 400 mm &amp; 900 X 500 mm</t>
  </si>
  <si>
    <t>5.5.2.43</t>
  </si>
  <si>
    <t>Pemasangan 1 Unit Exhaust Louvre 1.000 x 400 mm</t>
  </si>
  <si>
    <t>5.5.2.44</t>
  </si>
  <si>
    <t>Pemasangan 1 Unit Exhaust Louvre 1.000 x 400 mm &amp; 1.000 x 450 mm</t>
  </si>
  <si>
    <t>5.5.2.45</t>
  </si>
  <si>
    <t>Pemasangan 1 Tititk Kabel Powwer Fan NYM 3 x 2,5 mm2</t>
  </si>
  <si>
    <t>5.5.2.46</t>
  </si>
  <si>
    <t>Pemasangan 1 Tititk Kabel Kontrol  Fan NYM 3 x 2,5 mm2</t>
  </si>
  <si>
    <t>5.5.2.47</t>
  </si>
  <si>
    <t xml:space="preserve">Pemasangan 1 Unit Proppeller Fan ; 370 CMF </t>
  </si>
  <si>
    <t>Propeller Fan, 370 CFM</t>
  </si>
  <si>
    <t>5.5.2.48</t>
  </si>
  <si>
    <t xml:space="preserve">Pemasangan 1 Unit Proppeller Fan ; 1200 CMF </t>
  </si>
  <si>
    <t>Propeller Fan, 1200 CFM</t>
  </si>
  <si>
    <t>5.5.3</t>
  </si>
  <si>
    <t xml:space="preserve">Pemasagan Ducting </t>
  </si>
  <si>
    <t>5.5.3.1</t>
  </si>
  <si>
    <t>Pemasangan 1 m2 BJLS 50, 60, 70, 80, 100 ( Tanpa Isolasi )</t>
  </si>
  <si>
    <t xml:space="preserve">ZINK BJLS </t>
  </si>
  <si>
    <t>m3</t>
  </si>
  <si>
    <t xml:space="preserve">Flinkote </t>
  </si>
  <si>
    <t xml:space="preserve">Finish Cat </t>
  </si>
  <si>
    <t>Hanger + Support</t>
  </si>
  <si>
    <t>5.5.3.6</t>
  </si>
  <si>
    <t>Pemasangan 1 m2 BJLS 50, 60, 70, 80, 100 ( Isolasi Luar )</t>
  </si>
  <si>
    <t>5.5.3.11</t>
  </si>
  <si>
    <r>
      <t>Pemasangan 1 m2 BJLS</t>
    </r>
    <r>
      <rPr>
        <b/>
        <i/>
        <sz val="11"/>
        <color rgb="FF000000"/>
        <rFont val="Arial"/>
        <family val="2"/>
      </rPr>
      <t xml:space="preserve"> (50, 60, 70, 80, 100 ( Isolasi Luar  Dalam 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</si>
</sst>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"/>
    <numFmt numFmtId="166" formatCode="0.000"/>
    <numFmt numFmtId="167" formatCode="0.0000"/>
    <numFmt numFmtId="168" formatCode="_(* #,##0_);_(* \(#,##0\);_(* &quot;-&quot;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center" shrinkToFit="1"/>
    </xf>
    <xf numFmtId="4" fontId="2" fillId="0" borderId="0" xfId="0" applyNumberFormat="1" applyFont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43" fontId="4" fillId="2" borderId="0" xfId="1" applyFont="1" applyFill="1" applyAlignment="1">
      <alignment vertical="center"/>
    </xf>
    <xf numFmtId="1" fontId="3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left" vertical="top" wrapText="1" indent="1"/>
    </xf>
    <xf numFmtId="166" fontId="3" fillId="0" borderId="3" xfId="0" applyNumberFormat="1" applyFont="1" applyBorder="1" applyAlignment="1">
      <alignment horizontal="right" vertical="top" shrinkToFit="1"/>
    </xf>
    <xf numFmtId="4" fontId="3" fillId="0" borderId="3" xfId="0" applyNumberFormat="1" applyFont="1" applyBorder="1" applyAlignment="1">
      <alignment horizontal="right" vertical="top" shrinkToFit="1"/>
    </xf>
    <xf numFmtId="9" fontId="4" fillId="2" borderId="0" xfId="0" applyNumberFormat="1" applyFont="1" applyFill="1" applyAlignment="1">
      <alignment vertical="center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167" fontId="4" fillId="0" borderId="5" xfId="0" applyNumberFormat="1" applyFont="1" applyBorder="1" applyAlignment="1">
      <alignment horizontal="centerContinuous" vertical="center"/>
    </xf>
    <xf numFmtId="167" fontId="4" fillId="0" borderId="6" xfId="0" applyNumberFormat="1" applyFont="1" applyBorder="1" applyAlignment="1">
      <alignment horizontal="centerContinuous" vertical="center"/>
    </xf>
    <xf numFmtId="167" fontId="2" fillId="0" borderId="0" xfId="0" applyNumberFormat="1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6" xfId="0" applyFont="1" applyBorder="1" applyAlignment="1">
      <alignment horizontal="centerContinuous" vertical="center"/>
    </xf>
    <xf numFmtId="168" fontId="4" fillId="0" borderId="3" xfId="0" applyNumberFormat="1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9" fontId="3" fillId="0" borderId="3" xfId="0" applyNumberFormat="1" applyFont="1" applyBorder="1" applyAlignment="1">
      <alignment vertical="top"/>
    </xf>
    <xf numFmtId="4" fontId="2" fillId="0" borderId="3" xfId="0" applyNumberFormat="1" applyFont="1" applyBorder="1" applyAlignment="1">
      <alignment vertical="top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4" fontId="2" fillId="0" borderId="7" xfId="0" applyNumberFormat="1" applyFont="1" applyBorder="1" applyAlignment="1">
      <alignment horizontal="right" vertical="top" shrinkToFit="1"/>
    </xf>
    <xf numFmtId="43" fontId="4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top" shrinkToFit="1"/>
    </xf>
    <xf numFmtId="1" fontId="3" fillId="0" borderId="3" xfId="0" applyNumberFormat="1" applyFont="1" applyBorder="1" applyAlignment="1">
      <alignment horizontal="left" vertical="top" indent="1" shrinkToFit="1"/>
    </xf>
    <xf numFmtId="4" fontId="3" fillId="0" borderId="4" xfId="0" applyNumberFormat="1" applyFont="1" applyBorder="1" applyAlignment="1">
      <alignment horizontal="right" vertical="top" shrinkToFit="1"/>
    </xf>
    <xf numFmtId="0" fontId="2" fillId="0" borderId="8" xfId="0" applyFont="1" applyBorder="1" applyAlignment="1">
      <alignment horizontal="left" vertical="top"/>
    </xf>
    <xf numFmtId="4" fontId="2" fillId="0" borderId="4" xfId="0" applyNumberFormat="1" applyFont="1" applyBorder="1" applyAlignment="1">
      <alignment vertical="top"/>
    </xf>
    <xf numFmtId="0" fontId="3" fillId="0" borderId="3" xfId="0" applyFont="1" applyBorder="1" applyAlignment="1">
      <alignment horizontal="right" vertical="top" shrinkToFi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3" fillId="0" borderId="3" xfId="0" applyFont="1" applyBorder="1" applyAlignment="1">
      <alignment horizontal="center" wrapText="1"/>
    </xf>
    <xf numFmtId="166" fontId="4" fillId="0" borderId="5" xfId="0" applyNumberFormat="1" applyFont="1" applyBorder="1" applyAlignment="1">
      <alignment horizontal="centerContinuous" vertical="center"/>
    </xf>
    <xf numFmtId="166" fontId="3" fillId="0" borderId="3" xfId="0" applyNumberFormat="1" applyFont="1" applyBorder="1" applyAlignment="1">
      <alignment horizontal="left" wrapText="1"/>
    </xf>
    <xf numFmtId="0" fontId="5" fillId="3" borderId="0" xfId="0" applyFont="1" applyFill="1" applyAlignment="1">
      <alignment vertical="center"/>
    </xf>
    <xf numFmtId="1" fontId="2" fillId="3" borderId="1" xfId="0" applyNumberFormat="1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 shrinkToFit="1"/>
    </xf>
    <xf numFmtId="2" fontId="3" fillId="0" borderId="3" xfId="0" applyNumberFormat="1" applyFont="1" applyBorder="1" applyAlignment="1">
      <alignment horizontal="right" vertical="top" shrinkToFit="1"/>
    </xf>
    <xf numFmtId="0" fontId="5" fillId="4" borderId="0" xfId="0" applyFont="1" applyFill="1" applyAlignment="1">
      <alignment vertical="center"/>
    </xf>
    <xf numFmtId="1" fontId="2" fillId="4" borderId="1" xfId="0" applyNumberFormat="1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vertical="top" shrinkToFit="1"/>
    </xf>
    <xf numFmtId="1" fontId="3" fillId="0" borderId="3" xfId="0" quotePrefix="1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3" borderId="0" xfId="0" applyFont="1" applyFill="1" applyAlignment="1">
      <alignment horizontal="left" vertical="top"/>
    </xf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top"/>
    </xf>
    <xf numFmtId="1" fontId="3" fillId="0" borderId="2" xfId="0" quotePrefix="1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right" vertical="top" shrinkToFit="1"/>
    </xf>
    <xf numFmtId="4" fontId="3" fillId="0" borderId="2" xfId="0" applyNumberFormat="1" applyFont="1" applyBorder="1" applyAlignment="1">
      <alignment horizontal="right" vertical="top" shrinkToFit="1"/>
    </xf>
    <xf numFmtId="0" fontId="4" fillId="0" borderId="9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centerContinuous" vertical="center"/>
    </xf>
    <xf numFmtId="0" fontId="3" fillId="3" borderId="0" xfId="0" applyFont="1" applyFill="1" applyAlignment="1">
      <alignment horizontal="left" vertical="top"/>
    </xf>
    <xf numFmtId="1" fontId="3" fillId="0" borderId="11" xfId="0" quotePrefix="1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horizontal="right" vertical="top" shrinkToFit="1"/>
    </xf>
    <xf numFmtId="0" fontId="4" fillId="3" borderId="0" xfId="0" applyFont="1" applyFill="1" applyAlignment="1">
      <alignment vertical="center"/>
    </xf>
    <xf numFmtId="1" fontId="7" fillId="0" borderId="3" xfId="0" quotePrefix="1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top"/>
    </xf>
    <xf numFmtId="2" fontId="7" fillId="0" borderId="3" xfId="0" applyNumberFormat="1" applyFont="1" applyBorder="1" applyAlignment="1">
      <alignment horizontal="right" vertical="top" shrinkToFit="1"/>
    </xf>
    <xf numFmtId="4" fontId="7" fillId="0" borderId="3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right" vertical="top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wrapText="1"/>
    </xf>
    <xf numFmtId="2" fontId="3" fillId="0" borderId="11" xfId="0" applyNumberFormat="1" applyFont="1" applyBorder="1" applyAlignment="1">
      <alignment horizontal="right" wrapText="1"/>
    </xf>
    <xf numFmtId="1" fontId="2" fillId="4" borderId="1" xfId="0" applyNumberFormat="1" applyFont="1" applyFill="1" applyBorder="1" applyAlignment="1">
      <alignment vertical="center"/>
    </xf>
    <xf numFmtId="1" fontId="4" fillId="0" borderId="3" xfId="0" quotePrefix="1" applyNumberFormat="1" applyFont="1" applyBorder="1" applyAlignment="1">
      <alignment horizontal="center" vertical="top" shrinkToFit="1"/>
    </xf>
    <xf numFmtId="0" fontId="4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center" vertical="top"/>
    </xf>
    <xf numFmtId="2" fontId="4" fillId="5" borderId="3" xfId="0" applyNumberFormat="1" applyFont="1" applyFill="1" applyBorder="1" applyAlignment="1">
      <alignment horizontal="right" vertical="top" shrinkToFit="1"/>
    </xf>
    <xf numFmtId="4" fontId="4" fillId="5" borderId="3" xfId="0" applyNumberFormat="1" applyFont="1" applyFill="1" applyBorder="1" applyAlignment="1">
      <alignment horizontal="right" vertical="top" shrinkToFit="1"/>
    </xf>
    <xf numFmtId="0" fontId="8" fillId="5" borderId="0" xfId="0" applyFont="1" applyFill="1" applyAlignment="1">
      <alignment horizontal="left" vertical="top"/>
    </xf>
    <xf numFmtId="2" fontId="4" fillId="0" borderId="3" xfId="0" applyNumberFormat="1" applyFont="1" applyBorder="1" applyAlignment="1">
      <alignment horizontal="right" vertical="top" shrinkToFit="1"/>
    </xf>
    <xf numFmtId="4" fontId="4" fillId="0" borderId="3" xfId="0" applyNumberFormat="1" applyFont="1" applyBorder="1" applyAlignment="1">
      <alignment horizontal="right" vertical="top" shrinkToFit="1"/>
    </xf>
    <xf numFmtId="1" fontId="10" fillId="0" borderId="3" xfId="0" quotePrefix="1" applyNumberFormat="1" applyFont="1" applyBorder="1" applyAlignment="1">
      <alignment horizontal="center" vertical="top" shrinkToFit="1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top"/>
    </xf>
    <xf numFmtId="2" fontId="10" fillId="0" borderId="3" xfId="0" applyNumberFormat="1" applyFont="1" applyBorder="1" applyAlignment="1">
      <alignment horizontal="right" vertical="top" shrinkToFit="1"/>
    </xf>
    <xf numFmtId="4" fontId="10" fillId="0" borderId="3" xfId="0" applyNumberFormat="1" applyFont="1" applyBorder="1" applyAlignment="1">
      <alignment horizontal="right" vertical="top" shrinkToFi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166" fontId="3" fillId="0" borderId="3" xfId="0" applyNumberFormat="1" applyFont="1" applyBorder="1" applyAlignment="1">
      <alignment horizontal="right" wrapText="1"/>
    </xf>
    <xf numFmtId="0" fontId="5" fillId="5" borderId="0" xfId="0" applyFont="1" applyFill="1" applyAlignment="1">
      <alignment vertical="center"/>
    </xf>
    <xf numFmtId="1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top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rha\Downloads\AHSP%20CIPTA%20KARYA%20SE%20BINA%20KONSTRUKSI%20NO%2030%20TAHUN%202025%20Rev%201.xlsx" TargetMode="External"/><Relationship Id="rId1" Type="http://schemas.openxmlformats.org/officeDocument/2006/relationships/externalLinkPath" Target="file:///C:\Users\farha\Downloads\AHSP%20CIPTA%20KARYA%20SE%20BINA%20KONSTRUKSI%20NO%2030%20TAHUN%202025%20Rev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ah Bahan"/>
      <sheetName val="Daftar Harga Satuan Pekerjaan"/>
      <sheetName val="Persiapan"/>
      <sheetName val="Galian Tanah"/>
      <sheetName val="Timbunan Pemadatan"/>
      <sheetName val="Angkut Material"/>
      <sheetName val="Geotekstil &amp; Geomembran "/>
      <sheetName val="Pembongkaran"/>
      <sheetName val="Rangka Atap"/>
      <sheetName val="Beton"/>
      <sheetName val="Pondasi"/>
      <sheetName val="BAJA"/>
      <sheetName val="Beton Pracetak"/>
      <sheetName val="Beton Prategang "/>
      <sheetName val="Struktur Kayu"/>
      <sheetName val="Dinding Penahan Tanah "/>
      <sheetName val="Penutup Atap"/>
      <sheetName val="Plafon"/>
      <sheetName val="Pasangan Dinding"/>
      <sheetName val="Plesteran Dan Acian"/>
      <sheetName val="Pengecatan dan Pelituran"/>
      <sheetName val="Penutup Lantai dan Dinding"/>
      <sheetName val="Pintu dan Jendela"/>
      <sheetName val="Kaca"/>
      <sheetName val="Besi dan Aluminium"/>
      <sheetName val="Kayu"/>
      <sheetName val="Ornamen"/>
      <sheetName val="Signage"/>
      <sheetName val="Sanitair"/>
      <sheetName val="Lansekap"/>
      <sheetName val="Jaringan Listrik"/>
      <sheetName val="Perpipaan dan proteksi kebakar "/>
      <sheetName val="Sistem Air Minum"/>
      <sheetName val="Sistem Air Limbah"/>
      <sheetName val="Bak Kontrol"/>
      <sheetName val="Perpipaan dalam Gedung "/>
      <sheetName val="Sistem Air Hujan"/>
      <sheetName val="Jalan Pada Pemukiman"/>
      <sheetName val="Drainase"/>
      <sheetName val="Jaringan Pipa Luar Gedung"/>
      <sheetName val="Strutur Risha "/>
    </sheetNames>
    <sheetDataSet>
      <sheetData sheetId="0">
        <row r="9">
          <cell r="F9" t="str">
            <v>Pekerja</v>
          </cell>
          <cell r="G9" t="str">
            <v>OH</v>
          </cell>
          <cell r="H9">
            <v>100000</v>
          </cell>
        </row>
        <row r="10">
          <cell r="F10" t="str">
            <v>Tukang batu</v>
          </cell>
          <cell r="G10" t="str">
            <v>OH</v>
          </cell>
          <cell r="H10">
            <v>145000</v>
          </cell>
        </row>
        <row r="11">
          <cell r="F11" t="str">
            <v>Tukang kayu</v>
          </cell>
          <cell r="G11" t="str">
            <v>OH</v>
          </cell>
          <cell r="H11">
            <v>145000</v>
          </cell>
        </row>
        <row r="12">
          <cell r="F12" t="str">
            <v>Tukang besi</v>
          </cell>
          <cell r="G12" t="str">
            <v>OH</v>
          </cell>
          <cell r="H12">
            <v>145000</v>
          </cell>
        </row>
        <row r="13">
          <cell r="F13" t="str">
            <v>Tukang cat</v>
          </cell>
          <cell r="G13" t="str">
            <v>OH</v>
          </cell>
          <cell r="H13">
            <v>145000</v>
          </cell>
        </row>
        <row r="14">
          <cell r="F14" t="str">
            <v>Tukang pelitur</v>
          </cell>
          <cell r="G14" t="str">
            <v>OH</v>
          </cell>
          <cell r="H14">
            <v>145000</v>
          </cell>
        </row>
        <row r="15">
          <cell r="F15" t="str">
            <v>Tukang pipa</v>
          </cell>
          <cell r="G15" t="str">
            <v>OH</v>
          </cell>
          <cell r="H15">
            <v>145000</v>
          </cell>
        </row>
        <row r="16">
          <cell r="F16" t="str">
            <v>Tukang penganyam bronjong</v>
          </cell>
          <cell r="G16" t="str">
            <v>OH</v>
          </cell>
          <cell r="H16">
            <v>145000</v>
          </cell>
        </row>
        <row r="17">
          <cell r="F17" t="str">
            <v>Tukang tebas</v>
          </cell>
          <cell r="G17" t="str">
            <v>OH</v>
          </cell>
          <cell r="H17">
            <v>145000</v>
          </cell>
        </row>
        <row r="18">
          <cell r="F18" t="str">
            <v>Tukang las</v>
          </cell>
          <cell r="G18" t="str">
            <v>OH</v>
          </cell>
          <cell r="H18">
            <v>145000</v>
          </cell>
        </row>
        <row r="19">
          <cell r="F19" t="str">
            <v>Tukang las geotextile</v>
          </cell>
          <cell r="G19" t="str">
            <v>OH</v>
          </cell>
          <cell r="H19">
            <v>145000</v>
          </cell>
        </row>
        <row r="20">
          <cell r="F20" t="str">
            <v>Tukang listrik</v>
          </cell>
          <cell r="G20" t="str">
            <v>OH</v>
          </cell>
          <cell r="H20">
            <v>145000</v>
          </cell>
        </row>
        <row r="21">
          <cell r="F21" t="str">
            <v>Tukang alumunium</v>
          </cell>
          <cell r="G21" t="str">
            <v>OH</v>
          </cell>
          <cell r="H21">
            <v>145000</v>
          </cell>
        </row>
        <row r="22">
          <cell r="F22" t="str">
            <v>Tukang kaca</v>
          </cell>
          <cell r="G22" t="str">
            <v>OH</v>
          </cell>
        </row>
        <row r="23">
          <cell r="F23" t="str">
            <v>Tukang erection</v>
          </cell>
          <cell r="G23" t="str">
            <v>OH</v>
          </cell>
          <cell r="H23">
            <v>145000</v>
          </cell>
        </row>
        <row r="24">
          <cell r="F24" t="str">
            <v>Tukang tanam</v>
          </cell>
          <cell r="G24" t="str">
            <v>OH</v>
          </cell>
          <cell r="H24">
            <v>145000</v>
          </cell>
        </row>
        <row r="25">
          <cell r="F25" t="str">
            <v xml:space="preserve">Tukang Tanam </v>
          </cell>
          <cell r="G25" t="str">
            <v xml:space="preserve">OH </v>
          </cell>
          <cell r="H25">
            <v>181250</v>
          </cell>
        </row>
        <row r="26">
          <cell r="F26" t="str">
            <v xml:space="preserve">Kepala Tukang Tanam </v>
          </cell>
          <cell r="G26" t="str">
            <v xml:space="preserve">OH </v>
          </cell>
          <cell r="H26">
            <v>218750</v>
          </cell>
        </row>
        <row r="27">
          <cell r="F27" t="str">
            <v>Tukang pemelihara taman</v>
          </cell>
          <cell r="G27" t="str">
            <v xml:space="preserve">OH </v>
          </cell>
          <cell r="H27">
            <v>145000</v>
          </cell>
        </row>
        <row r="28">
          <cell r="F28" t="str">
            <v>Tukang pemelihara taman (115% Pekerja)</v>
          </cell>
          <cell r="G28" t="str">
            <v xml:space="preserve">OH </v>
          </cell>
          <cell r="H28">
            <v>114999.99999999999</v>
          </cell>
        </row>
        <row r="29">
          <cell r="F29" t="str">
            <v>Tukang gali</v>
          </cell>
          <cell r="G29" t="str">
            <v>OH</v>
          </cell>
          <cell r="H29">
            <v>120000</v>
          </cell>
        </row>
        <row r="30">
          <cell r="F30" t="str">
            <v>Tukang aspal</v>
          </cell>
          <cell r="G30" t="str">
            <v>OH</v>
          </cell>
          <cell r="H30">
            <v>120000</v>
          </cell>
        </row>
        <row r="31">
          <cell r="F31" t="str">
            <v>Kepala tukang</v>
          </cell>
          <cell r="G31" t="str">
            <v>OH</v>
          </cell>
          <cell r="H31">
            <v>175000</v>
          </cell>
        </row>
        <row r="32">
          <cell r="F32" t="str">
            <v>Mandor</v>
          </cell>
          <cell r="G32" t="str">
            <v>OH</v>
          </cell>
          <cell r="H32">
            <v>200000</v>
          </cell>
        </row>
        <row r="33">
          <cell r="F33" t="str">
            <v>Juru ukur</v>
          </cell>
          <cell r="G33" t="str">
            <v>OH</v>
          </cell>
          <cell r="H33">
            <v>175000</v>
          </cell>
        </row>
        <row r="34">
          <cell r="F34" t="str">
            <v>Pembantu juru ukur</v>
          </cell>
          <cell r="G34" t="str">
            <v>OH</v>
          </cell>
          <cell r="H34">
            <v>150000</v>
          </cell>
        </row>
        <row r="35">
          <cell r="F35" t="str">
            <v>Mekanik alat berat</v>
          </cell>
          <cell r="G35" t="str">
            <v>OH</v>
          </cell>
          <cell r="H35">
            <v>220000</v>
          </cell>
        </row>
        <row r="36">
          <cell r="F36" t="str">
            <v>Operator alat berat</v>
          </cell>
          <cell r="G36" t="str">
            <v>OH</v>
          </cell>
          <cell r="H36">
            <v>250000</v>
          </cell>
        </row>
        <row r="37">
          <cell r="F37" t="str">
            <v>Pembantu operator alat berat</v>
          </cell>
          <cell r="G37" t="str">
            <v>OH</v>
          </cell>
          <cell r="H37">
            <v>130000</v>
          </cell>
        </row>
        <row r="38">
          <cell r="F38" t="str">
            <v>Sopir</v>
          </cell>
          <cell r="G38" t="str">
            <v>OH</v>
          </cell>
          <cell r="H38">
            <v>200000</v>
          </cell>
        </row>
        <row r="39">
          <cell r="F39" t="str">
            <v>Kenek</v>
          </cell>
          <cell r="G39" t="str">
            <v>OH</v>
          </cell>
          <cell r="H39">
            <v>135000</v>
          </cell>
        </row>
        <row r="40">
          <cell r="F40" t="str">
            <v>Administrasi bor</v>
          </cell>
          <cell r="G40" t="str">
            <v>OH</v>
          </cell>
          <cell r="H40">
            <v>110000</v>
          </cell>
        </row>
        <row r="41">
          <cell r="F41" t="str">
            <v>Ahli geologist</v>
          </cell>
          <cell r="G41" t="str">
            <v>OH</v>
          </cell>
          <cell r="H41">
            <v>400000</v>
          </cell>
        </row>
        <row r="42">
          <cell r="F42" t="str">
            <v>Ahli topografi</v>
          </cell>
          <cell r="G42" t="str">
            <v>OH</v>
          </cell>
          <cell r="H42">
            <v>400000</v>
          </cell>
        </row>
        <row r="43">
          <cell r="F43" t="str">
            <v>Crew driller</v>
          </cell>
          <cell r="G43" t="str">
            <v>OH</v>
          </cell>
          <cell r="H43">
            <v>125000</v>
          </cell>
        </row>
        <row r="44">
          <cell r="F44" t="str">
            <v>Driller</v>
          </cell>
          <cell r="G44" t="str">
            <v>OH</v>
          </cell>
          <cell r="H44">
            <v>140000</v>
          </cell>
        </row>
        <row r="45">
          <cell r="F45" t="str">
            <v>Juru gambar</v>
          </cell>
          <cell r="G45" t="str">
            <v>OH</v>
          </cell>
          <cell r="H45">
            <v>150000</v>
          </cell>
        </row>
        <row r="46">
          <cell r="F46" t="str">
            <v>Koordinator driller</v>
          </cell>
          <cell r="G46" t="str">
            <v>OH</v>
          </cell>
          <cell r="H46">
            <v>155000</v>
          </cell>
        </row>
        <row r="47">
          <cell r="F47" t="str">
            <v>Operator pompa</v>
          </cell>
          <cell r="G47" t="str">
            <v>OH</v>
          </cell>
          <cell r="H47">
            <v>130000</v>
          </cell>
        </row>
        <row r="48">
          <cell r="F48" t="str">
            <v>Pembantu driller</v>
          </cell>
          <cell r="G48" t="str">
            <v>OH</v>
          </cell>
          <cell r="H48">
            <v>130000</v>
          </cell>
        </row>
        <row r="49">
          <cell r="F49" t="str">
            <v>Pembantu mekanik alat berat</v>
          </cell>
          <cell r="G49" t="str">
            <v>OH</v>
          </cell>
          <cell r="H49">
            <v>130000</v>
          </cell>
        </row>
        <row r="50">
          <cell r="F50" t="str">
            <v>Supir kendaraan &lt;  2 ton (termasuk sedan)</v>
          </cell>
          <cell r="G50" t="str">
            <v>OH</v>
          </cell>
          <cell r="H50">
            <v>160000</v>
          </cell>
        </row>
        <row r="51">
          <cell r="F51" t="str">
            <v xml:space="preserve">Tenaga Terampil Operator </v>
          </cell>
          <cell r="G51" t="str">
            <v xml:space="preserve">OH </v>
          </cell>
          <cell r="H51">
            <v>145000</v>
          </cell>
        </row>
        <row r="52">
          <cell r="F52" t="str">
            <v xml:space="preserve">Tenaga Ahli Muda </v>
          </cell>
          <cell r="G52" t="str">
            <v xml:space="preserve">OH </v>
          </cell>
          <cell r="H52">
            <v>145000</v>
          </cell>
        </row>
        <row r="54">
          <cell r="F54" t="str">
            <v>MATERIAL</v>
          </cell>
        </row>
        <row r="55">
          <cell r="F55" t="str">
            <v>MATERIAL  TANAH DAN  BATUAN</v>
          </cell>
        </row>
        <row r="56">
          <cell r="F56" t="str">
            <v>Agregat kasar</v>
          </cell>
          <cell r="G56" t="str">
            <v>m3</v>
          </cell>
          <cell r="H56">
            <v>385000</v>
          </cell>
        </row>
        <row r="57">
          <cell r="F57" t="str">
            <v xml:space="preserve">Agregar Kasar </v>
          </cell>
          <cell r="G57" t="str">
            <v xml:space="preserve">kg </v>
          </cell>
          <cell r="H57">
            <v>226.47058823529412</v>
          </cell>
        </row>
        <row r="58">
          <cell r="F58" t="str">
            <v>Agg Pokok</v>
          </cell>
          <cell r="G58" t="str">
            <v>m3</v>
          </cell>
          <cell r="H58">
            <v>350000</v>
          </cell>
        </row>
        <row r="59">
          <cell r="F59" t="str">
            <v>Agg Pengunci</v>
          </cell>
          <cell r="G59" t="str">
            <v>m3</v>
          </cell>
          <cell r="H59">
            <v>360000</v>
          </cell>
        </row>
        <row r="60">
          <cell r="F60" t="str">
            <v>Agg Penutup</v>
          </cell>
          <cell r="G60" t="str">
            <v>m3</v>
          </cell>
          <cell r="H60">
            <v>370000</v>
          </cell>
        </row>
        <row r="61">
          <cell r="F61" t="str">
            <v>Bata merah</v>
          </cell>
          <cell r="G61" t="str">
            <v>buah</v>
          </cell>
          <cell r="H61">
            <v>700</v>
          </cell>
        </row>
        <row r="62">
          <cell r="F62" t="str">
            <v>Bata merah 5 x  11 x  22 cm (per m3)</v>
          </cell>
          <cell r="G62" t="str">
            <v>m3</v>
          </cell>
          <cell r="H62">
            <v>590000</v>
          </cell>
        </row>
        <row r="63">
          <cell r="F63" t="str">
            <v>Bata ringan</v>
          </cell>
          <cell r="G63" t="str">
            <v>m3</v>
          </cell>
          <cell r="H63">
            <v>703500</v>
          </cell>
        </row>
        <row r="64">
          <cell r="F64" t="str">
            <v>Bata ringan t=10 cm</v>
          </cell>
          <cell r="G64" t="str">
            <v>m3</v>
          </cell>
          <cell r="H64">
            <v>685800</v>
          </cell>
        </row>
        <row r="65">
          <cell r="F65" t="str">
            <v>Bata ringan tebal 10 cm</v>
          </cell>
          <cell r="G65" t="str">
            <v>buah</v>
          </cell>
          <cell r="H65">
            <v>11000</v>
          </cell>
        </row>
        <row r="66">
          <cell r="F66" t="str">
            <v>Bata ringan tebal 20 cm</v>
          </cell>
          <cell r="G66" t="str">
            <v>buah</v>
          </cell>
          <cell r="H66">
            <v>20000</v>
          </cell>
        </row>
        <row r="67">
          <cell r="F67" t="str">
            <v>Bata ringan tebal 7,5 cm</v>
          </cell>
          <cell r="G67" t="str">
            <v>buah</v>
          </cell>
          <cell r="H67">
            <v>8500</v>
          </cell>
        </row>
        <row r="68">
          <cell r="F68" t="str">
            <v>Bata rooster</v>
          </cell>
          <cell r="G68" t="str">
            <v>buah</v>
          </cell>
          <cell r="H68">
            <v>15000</v>
          </cell>
        </row>
        <row r="69">
          <cell r="F69" t="str">
            <v xml:space="preserve">Bata Berongga Uk. 12x11x24 </v>
          </cell>
          <cell r="G69" t="str">
            <v xml:space="preserve">buah </v>
          </cell>
          <cell r="H69">
            <v>15000</v>
          </cell>
        </row>
        <row r="70">
          <cell r="F70" t="str">
            <v>Batu alam andesit  bakar</v>
          </cell>
          <cell r="G70" t="str">
            <v>m²</v>
          </cell>
          <cell r="H70">
            <v>179300</v>
          </cell>
        </row>
        <row r="71">
          <cell r="F71" t="str">
            <v>Batu alam andesit  non bakar</v>
          </cell>
          <cell r="G71" t="str">
            <v>m²</v>
          </cell>
          <cell r="H71">
            <v>177500</v>
          </cell>
        </row>
        <row r="72">
          <cell r="F72" t="str">
            <v>Batu belah (base camp - lokasi pekerjaan)</v>
          </cell>
          <cell r="G72" t="str">
            <v>m3</v>
          </cell>
          <cell r="H72">
            <v>339861</v>
          </cell>
        </row>
        <row r="73">
          <cell r="F73" t="str">
            <v>Batu belah (quarry - base camp)</v>
          </cell>
          <cell r="G73" t="str">
            <v>m3</v>
          </cell>
          <cell r="H73">
            <v>235000</v>
          </cell>
        </row>
        <row r="74">
          <cell r="F74" t="str">
            <v>Batu belah (quarry - lokasi pekerjaan)</v>
          </cell>
          <cell r="G74" t="str">
            <v>m3</v>
          </cell>
          <cell r="H74">
            <v>286500</v>
          </cell>
        </row>
        <row r="75">
          <cell r="F75" t="str">
            <v>Pasangan batu ukuran 20/50 t=40cm</v>
          </cell>
          <cell r="G75" t="str">
            <v>m3</v>
          </cell>
          <cell r="H75">
            <v>286500</v>
          </cell>
        </row>
        <row r="76">
          <cell r="F76" t="str">
            <v>Fondasi pasangan batu</v>
          </cell>
          <cell r="G76" t="str">
            <v>m3</v>
          </cell>
          <cell r="H76">
            <v>286500</v>
          </cell>
        </row>
        <row r="77">
          <cell r="F77" t="str">
            <v>Batu belah (quarry)</v>
          </cell>
          <cell r="G77" t="str">
            <v>m3</v>
          </cell>
          <cell r="H77">
            <v>127500</v>
          </cell>
        </row>
        <row r="78">
          <cell r="F78" t="str">
            <v>Batu candi</v>
          </cell>
          <cell r="G78" t="str">
            <v>m²</v>
          </cell>
          <cell r="H78">
            <v>152000</v>
          </cell>
        </row>
        <row r="79">
          <cell r="F79" t="str">
            <v>Batu kali (quarry - base camp)</v>
          </cell>
          <cell r="G79" t="str">
            <v>m3</v>
          </cell>
          <cell r="H79">
            <v>187400</v>
          </cell>
        </row>
        <row r="80">
          <cell r="F80" t="str">
            <v>Batu kali (quarry)</v>
          </cell>
          <cell r="G80" t="str">
            <v>m3</v>
          </cell>
          <cell r="H80">
            <v>142500</v>
          </cell>
        </row>
        <row r="81">
          <cell r="F81" t="str">
            <v>Batu Muka ukuran 12x18 cm</v>
          </cell>
          <cell r="G81" t="str">
            <v>m2</v>
          </cell>
          <cell r="H81">
            <v>97500</v>
          </cell>
        </row>
        <row r="82">
          <cell r="F82" t="str">
            <v xml:space="preserve">Batu </v>
          </cell>
          <cell r="G82" t="str">
            <v>m3</v>
          </cell>
          <cell r="H82">
            <v>97500</v>
          </cell>
        </row>
        <row r="83">
          <cell r="F83" t="str">
            <v>Batu paras</v>
          </cell>
          <cell r="G83" t="str">
            <v>m3</v>
          </cell>
          <cell r="H83">
            <v>125000</v>
          </cell>
        </row>
        <row r="84">
          <cell r="F84" t="str">
            <v>Batu pecah</v>
          </cell>
          <cell r="G84" t="str">
            <v>kg</v>
          </cell>
          <cell r="H84">
            <v>210</v>
          </cell>
        </row>
        <row r="85">
          <cell r="F85" t="str">
            <v>Batu pecah 3/5</v>
          </cell>
          <cell r="G85" t="str">
            <v>m3</v>
          </cell>
          <cell r="H85">
            <v>363800</v>
          </cell>
        </row>
        <row r="86">
          <cell r="F86" t="str">
            <v>Batu pecah 5/7</v>
          </cell>
          <cell r="G86" t="str">
            <v>m3</v>
          </cell>
          <cell r="H86">
            <v>351800</v>
          </cell>
        </row>
        <row r="87">
          <cell r="F87" t="str">
            <v>Batu putih</v>
          </cell>
          <cell r="G87" t="str">
            <v>m²</v>
          </cell>
          <cell r="H87">
            <v>123000</v>
          </cell>
        </row>
        <row r="88">
          <cell r="F88" t="str">
            <v>Batu putih breksi</v>
          </cell>
          <cell r="G88" t="str">
            <v>m²</v>
          </cell>
          <cell r="H88">
            <v>117700</v>
          </cell>
        </row>
        <row r="89">
          <cell r="F89" t="str">
            <v>Batu sikat</v>
          </cell>
          <cell r="G89" t="str">
            <v>kg</v>
          </cell>
          <cell r="H89">
            <v>6000</v>
          </cell>
        </row>
        <row r="90">
          <cell r="F90" t="str">
            <v>Batu split 1/2</v>
          </cell>
          <cell r="G90" t="str">
            <v>m3</v>
          </cell>
          <cell r="H90">
            <v>370200</v>
          </cell>
        </row>
        <row r="91">
          <cell r="F91" t="str">
            <v>Batu split 2/3</v>
          </cell>
          <cell r="G91" t="str">
            <v>m3</v>
          </cell>
          <cell r="H91">
            <v>352300</v>
          </cell>
        </row>
        <row r="92">
          <cell r="F92" t="str">
            <v>Koral Beton</v>
          </cell>
          <cell r="G92" t="str">
            <v>m3</v>
          </cell>
          <cell r="H92">
            <v>352300</v>
          </cell>
        </row>
        <row r="93">
          <cell r="F93" t="str">
            <v>Batu tempel hitam</v>
          </cell>
          <cell r="G93" t="str">
            <v>m3</v>
          </cell>
          <cell r="H93">
            <v>121600</v>
          </cell>
        </row>
        <row r="94">
          <cell r="F94" t="str">
            <v>Fly ash</v>
          </cell>
          <cell r="G94" t="str">
            <v>kg</v>
          </cell>
          <cell r="H94">
            <v>600</v>
          </cell>
        </row>
        <row r="95">
          <cell r="F95" t="str">
            <v>HB-10</v>
          </cell>
          <cell r="G95" t="str">
            <v>buah</v>
          </cell>
          <cell r="H95">
            <v>12000</v>
          </cell>
        </row>
        <row r="96">
          <cell r="F96" t="str">
            <v>HB-15</v>
          </cell>
          <cell r="G96" t="str">
            <v>buah</v>
          </cell>
          <cell r="H96">
            <v>12000</v>
          </cell>
        </row>
        <row r="97">
          <cell r="F97" t="str">
            <v>HB-20</v>
          </cell>
          <cell r="G97" t="str">
            <v>buah</v>
          </cell>
          <cell r="H97">
            <v>13000</v>
          </cell>
        </row>
        <row r="98">
          <cell r="F98" t="str">
            <v>Kerikil</v>
          </cell>
          <cell r="G98" t="str">
            <v>kg</v>
          </cell>
          <cell r="H98">
            <v>210</v>
          </cell>
        </row>
        <row r="99">
          <cell r="F99" t="str">
            <v xml:space="preserve">Kerikil </v>
          </cell>
          <cell r="G99" t="str">
            <v>m3</v>
          </cell>
          <cell r="H99">
            <v>352300</v>
          </cell>
        </row>
        <row r="100">
          <cell r="F100" t="str">
            <v>Koral bulat</v>
          </cell>
          <cell r="G100" t="str">
            <v>m3</v>
          </cell>
          <cell r="H100">
            <v>225000</v>
          </cell>
        </row>
        <row r="101">
          <cell r="F101" t="str">
            <v>Pasir Beton</v>
          </cell>
          <cell r="G101" t="str">
            <v>kg</v>
          </cell>
          <cell r="H101">
            <v>300</v>
          </cell>
        </row>
        <row r="102">
          <cell r="F102" t="str">
            <v>Pasir Beton</v>
          </cell>
          <cell r="G102" t="str">
            <v>m3</v>
          </cell>
          <cell r="H102">
            <v>370200</v>
          </cell>
        </row>
        <row r="103">
          <cell r="F103" t="str">
            <v>Pasir beton (Base camp - lokasi pekerjaan)</v>
          </cell>
          <cell r="G103" t="str">
            <v>m3</v>
          </cell>
          <cell r="H103">
            <v>422600</v>
          </cell>
        </row>
        <row r="104">
          <cell r="F104" t="str">
            <v>Pasir beton (quarry - Base camp)</v>
          </cell>
          <cell r="G104" t="str">
            <v>m3</v>
          </cell>
          <cell r="H104">
            <v>325200</v>
          </cell>
        </row>
        <row r="105">
          <cell r="F105" t="str">
            <v>Pasir beton (quarry - lokasi pekerjaan)</v>
          </cell>
          <cell r="G105" t="str">
            <v>m3</v>
          </cell>
          <cell r="H105">
            <v>370200</v>
          </cell>
        </row>
        <row r="106">
          <cell r="F106" t="str">
            <v>Pasir beton (quarry)</v>
          </cell>
          <cell r="G106" t="str">
            <v>m3</v>
          </cell>
          <cell r="H106">
            <v>170000</v>
          </cell>
        </row>
        <row r="107">
          <cell r="F107" t="str">
            <v>Pasir pasang</v>
          </cell>
          <cell r="G107" t="str">
            <v>m3</v>
          </cell>
          <cell r="H107">
            <v>200000</v>
          </cell>
        </row>
        <row r="108">
          <cell r="F108" t="str">
            <v>Pasir pasang (quarry - base camp)</v>
          </cell>
          <cell r="G108" t="str">
            <v>m3</v>
          </cell>
          <cell r="H108">
            <v>200000</v>
          </cell>
        </row>
        <row r="109">
          <cell r="F109" t="str">
            <v>Pasir pasang (quarry - lokasi pekerjaan)</v>
          </cell>
          <cell r="G109" t="str">
            <v>m3</v>
          </cell>
          <cell r="H109">
            <v>275000</v>
          </cell>
        </row>
        <row r="110">
          <cell r="F110" t="str">
            <v>Pasir pasang (quarry)</v>
          </cell>
          <cell r="G110" t="str">
            <v>m3</v>
          </cell>
          <cell r="H110">
            <v>150000</v>
          </cell>
        </row>
        <row r="111">
          <cell r="F111" t="str">
            <v>Pasir urug (quarry - base camp)</v>
          </cell>
          <cell r="G111" t="str">
            <v>m3</v>
          </cell>
          <cell r="H111">
            <v>165500</v>
          </cell>
        </row>
        <row r="112">
          <cell r="F112" t="str">
            <v>Pasir urug (quarry - lokasi pekerjaan)</v>
          </cell>
          <cell r="G112" t="str">
            <v>m3</v>
          </cell>
          <cell r="H112">
            <v>254700</v>
          </cell>
        </row>
        <row r="113">
          <cell r="F113" t="str">
            <v>Pasir Urug (quarry)</v>
          </cell>
          <cell r="G113" t="str">
            <v>m3</v>
          </cell>
          <cell r="H113">
            <v>120000</v>
          </cell>
        </row>
        <row r="114">
          <cell r="F114" t="str">
            <v>Urukan Pasir Uruk</v>
          </cell>
          <cell r="G114" t="str">
            <v>m3</v>
          </cell>
          <cell r="H114">
            <v>488180</v>
          </cell>
        </row>
        <row r="115">
          <cell r="F115" t="str">
            <v>Serbuk batu granit</v>
          </cell>
          <cell r="G115" t="str">
            <v>kg</v>
          </cell>
          <cell r="H115">
            <v>12000</v>
          </cell>
        </row>
        <row r="116">
          <cell r="F116" t="str">
            <v>Serbuk batu traso</v>
          </cell>
          <cell r="G116" t="str">
            <v>kg</v>
          </cell>
          <cell r="H116">
            <v>13000</v>
          </cell>
        </row>
        <row r="117">
          <cell r="F117" t="str">
            <v>Sirtu (base camp - lokasi pekerjaan)</v>
          </cell>
          <cell r="G117" t="str">
            <v>m3</v>
          </cell>
          <cell r="H117">
            <v>288700</v>
          </cell>
        </row>
        <row r="118">
          <cell r="F118" t="str">
            <v>Sirtu (quarry - base camp)</v>
          </cell>
          <cell r="G118" t="str">
            <v>m3</v>
          </cell>
          <cell r="H118">
            <v>184400</v>
          </cell>
        </row>
        <row r="119">
          <cell r="F119" t="str">
            <v>Sirtu (quarry - lokasi pekerjaan)</v>
          </cell>
          <cell r="G119" t="str">
            <v>m3</v>
          </cell>
          <cell r="H119">
            <v>261800</v>
          </cell>
        </row>
        <row r="120">
          <cell r="F120" t="str">
            <v>Sirtu (quarry)</v>
          </cell>
          <cell r="G120" t="str">
            <v>m3</v>
          </cell>
          <cell r="H120">
            <v>120000</v>
          </cell>
        </row>
        <row r="121">
          <cell r="F121" t="str">
            <v>Tanah biasa (quarry - lokasi pekerjaan)</v>
          </cell>
          <cell r="G121" t="str">
            <v>m3</v>
          </cell>
          <cell r="H121">
            <v>146900</v>
          </cell>
        </row>
        <row r="122">
          <cell r="F122" t="str">
            <v>Tanah biasa (quarry)</v>
          </cell>
          <cell r="G122" t="str">
            <v>m3</v>
          </cell>
          <cell r="H122">
            <v>44000</v>
          </cell>
        </row>
        <row r="123">
          <cell r="F123" t="str">
            <v>Tanah liat  (quarry)</v>
          </cell>
          <cell r="G123" t="str">
            <v>m3</v>
          </cell>
          <cell r="H123">
            <v>64500</v>
          </cell>
        </row>
        <row r="124">
          <cell r="F124" t="str">
            <v>Tanah liat (quarry-lokasi pekerjaan)</v>
          </cell>
          <cell r="G124" t="str">
            <v>m3</v>
          </cell>
          <cell r="H124">
            <v>160000</v>
          </cell>
        </row>
        <row r="125">
          <cell r="F125" t="str">
            <v>Tanah padas  (quarry - lokasi pekerjaan)</v>
          </cell>
          <cell r="G125" t="str">
            <v>m3</v>
          </cell>
          <cell r="H125">
            <v>163600</v>
          </cell>
        </row>
        <row r="126">
          <cell r="F126" t="str">
            <v>Tanah padas  (quarry)</v>
          </cell>
          <cell r="G126" t="str">
            <v>m3</v>
          </cell>
          <cell r="H126">
            <v>47500</v>
          </cell>
        </row>
        <row r="127">
          <cell r="F127" t="str">
            <v>Tanah Pilihan (quarry - lokasi pekerjaan)</v>
          </cell>
          <cell r="G127" t="str">
            <v>m3</v>
          </cell>
          <cell r="H127">
            <v>146900</v>
          </cell>
        </row>
        <row r="128">
          <cell r="F128" t="str">
            <v>Tanah Pilihan (quarry)</v>
          </cell>
          <cell r="G128" t="str">
            <v>m3</v>
          </cell>
          <cell r="H128">
            <v>48000</v>
          </cell>
        </row>
        <row r="129">
          <cell r="F129" t="str">
            <v>Tanah Subur</v>
          </cell>
          <cell r="G129" t="str">
            <v>m3</v>
          </cell>
          <cell r="H129">
            <v>165000</v>
          </cell>
        </row>
        <row r="130">
          <cell r="F130" t="str">
            <v>MATERIAL KAYU DAN BAMBU</v>
          </cell>
        </row>
        <row r="131">
          <cell r="F131" t="str">
            <v>Bambu cerucuk Ø 10 cm panjang 600 cm</v>
          </cell>
          <cell r="G131" t="str">
            <v>batang</v>
          </cell>
          <cell r="H131">
            <v>17800</v>
          </cell>
        </row>
        <row r="132">
          <cell r="F132" t="str">
            <v>Bambu cerucuk Ø 15 cm panjang 600 cm</v>
          </cell>
          <cell r="G132" t="str">
            <v>batang</v>
          </cell>
          <cell r="H132">
            <v>22600</v>
          </cell>
        </row>
        <row r="133">
          <cell r="F133" t="str">
            <v>Bambu Ø 10 cm panjang 600 cm</v>
          </cell>
          <cell r="G133" t="str">
            <v>batang</v>
          </cell>
          <cell r="H133">
            <v>14800</v>
          </cell>
        </row>
        <row r="134">
          <cell r="F134" t="str">
            <v>Bambu Ø 6 - 8 cm, pjg 6m</v>
          </cell>
          <cell r="G134" t="str">
            <v>batang</v>
          </cell>
          <cell r="H134">
            <v>12900</v>
          </cell>
        </row>
        <row r="135">
          <cell r="F135" t="str">
            <v>Bambu panjang 4,5 m</v>
          </cell>
          <cell r="G135" t="str">
            <v>batang</v>
          </cell>
          <cell r="H135">
            <v>14500</v>
          </cell>
        </row>
        <row r="136">
          <cell r="F136" t="str">
            <v>bambu panjang 2 meter</v>
          </cell>
          <cell r="G136" t="str">
            <v>batang</v>
          </cell>
          <cell r="H136">
            <v>7000</v>
          </cell>
        </row>
        <row r="137">
          <cell r="F137" t="str">
            <v xml:space="preserve">Anyaman Bambu </v>
          </cell>
          <cell r="G137" t="str">
            <v xml:space="preserve">lembar </v>
          </cell>
          <cell r="H137">
            <v>50000</v>
          </cell>
        </row>
        <row r="138">
          <cell r="F138" t="str">
            <v>Bilik bambu</v>
          </cell>
          <cell r="G138" t="str">
            <v>m2</v>
          </cell>
          <cell r="H138">
            <v>21000</v>
          </cell>
        </row>
        <row r="139">
          <cell r="F139" t="str">
            <v>Blockboard tebal 18 mm</v>
          </cell>
          <cell r="G139" t="str">
            <v>m2</v>
          </cell>
          <cell r="H139">
            <v>410600</v>
          </cell>
        </row>
        <row r="140">
          <cell r="F140" t="str">
            <v>Dolken kayu φ 8-10 panjang 400 cm</v>
          </cell>
          <cell r="G140" t="str">
            <v>m'</v>
          </cell>
          <cell r="H140">
            <v>5000</v>
          </cell>
        </row>
        <row r="141">
          <cell r="F141" t="str">
            <v>Dolken kayu φ 8-10 panjang 400 cm</v>
          </cell>
          <cell r="G141" t="str">
            <v>batang</v>
          </cell>
          <cell r="H141">
            <v>20000</v>
          </cell>
        </row>
        <row r="142">
          <cell r="F142" t="str">
            <v>Kayu</v>
          </cell>
          <cell r="G142" t="str">
            <v>m3</v>
          </cell>
          <cell r="H142">
            <v>11950000</v>
          </cell>
        </row>
        <row r="143">
          <cell r="F143" t="str">
            <v>Kayu Balok Borneo</v>
          </cell>
          <cell r="G143" t="str">
            <v>M3</v>
          </cell>
          <cell r="H143">
            <v>2700000</v>
          </cell>
        </row>
        <row r="144">
          <cell r="F144" t="str">
            <v>Kayu balok 6/12 kelas I</v>
          </cell>
          <cell r="G144" t="str">
            <v>m3</v>
          </cell>
          <cell r="H144">
            <v>25000000</v>
          </cell>
        </row>
        <row r="145">
          <cell r="F145" t="str">
            <v>Kayu balok 6/12 kelas II</v>
          </cell>
          <cell r="G145" t="str">
            <v>m3</v>
          </cell>
          <cell r="H145">
            <v>11950000</v>
          </cell>
        </row>
        <row r="146">
          <cell r="F146" t="str">
            <v xml:space="preserve">Kayu balok kelas II </v>
          </cell>
          <cell r="G146" t="str">
            <v>M3</v>
          </cell>
          <cell r="H146">
            <v>20000000</v>
          </cell>
        </row>
        <row r="147">
          <cell r="F147" t="str">
            <v>Kayu balok 6/15 kelas I</v>
          </cell>
          <cell r="G147" t="str">
            <v>m3</v>
          </cell>
          <cell r="H147">
            <v>25000000</v>
          </cell>
        </row>
        <row r="148">
          <cell r="F148" t="str">
            <v>Kayu balok 6/15 kelas II</v>
          </cell>
          <cell r="G148" t="str">
            <v>m3</v>
          </cell>
          <cell r="H148">
            <v>11950000</v>
          </cell>
        </row>
        <row r="149">
          <cell r="F149" t="str">
            <v>Kayu balok 6/15 kelas II (batang)</v>
          </cell>
          <cell r="G149" t="str">
            <v>batang</v>
          </cell>
          <cell r="H149">
            <v>414000</v>
          </cell>
        </row>
        <row r="150">
          <cell r="F150" t="str">
            <v>Tiang kayu 8/12 kelas II tinggi 4m</v>
          </cell>
          <cell r="G150" t="str">
            <v>m3</v>
          </cell>
          <cell r="H150">
            <v>11950000</v>
          </cell>
        </row>
        <row r="151">
          <cell r="F151" t="str">
            <v>Tiang kayu 5/7 kelas II tinggi 3m</v>
          </cell>
          <cell r="G151" t="str">
            <v>m3</v>
          </cell>
          <cell r="H151">
            <v>11950000</v>
          </cell>
        </row>
        <row r="152">
          <cell r="F152" t="str">
            <v>Kaso 5/7</v>
          </cell>
          <cell r="G152" t="str">
            <v>m3</v>
          </cell>
          <cell r="H152">
            <v>10214200</v>
          </cell>
        </row>
        <row r="153">
          <cell r="F153" t="str">
            <v>Kaso 5/7 kayu kelas II</v>
          </cell>
          <cell r="G153" t="str">
            <v>m3</v>
          </cell>
          <cell r="H153">
            <v>10214200</v>
          </cell>
        </row>
        <row r="154">
          <cell r="F154" t="str">
            <v>Kayu kaso 5/7 kelas III</v>
          </cell>
          <cell r="G154" t="str">
            <v>m3</v>
          </cell>
          <cell r="H154">
            <v>3500000</v>
          </cell>
        </row>
        <row r="155">
          <cell r="F155" t="str">
            <v>Kayu Meranti (papan)</v>
          </cell>
          <cell r="G155" t="str">
            <v>m³</v>
          </cell>
          <cell r="H155">
            <v>6966600</v>
          </cell>
        </row>
        <row r="156">
          <cell r="F156" t="str">
            <v>Papan Kayu ukuran 2/20 cm</v>
          </cell>
          <cell r="G156" t="str">
            <v>m3</v>
          </cell>
          <cell r="H156">
            <v>2500000</v>
          </cell>
        </row>
        <row r="157">
          <cell r="F157" t="str">
            <v xml:space="preserve">Papan Cor </v>
          </cell>
          <cell r="G157" t="str">
            <v>m3</v>
          </cell>
          <cell r="H157">
            <v>2500000</v>
          </cell>
        </row>
        <row r="158">
          <cell r="F158" t="str">
            <v>Kayu papan 3/20 cm</v>
          </cell>
          <cell r="G158" t="str">
            <v>m3</v>
          </cell>
          <cell r="H158">
            <v>2825000</v>
          </cell>
        </row>
        <row r="159">
          <cell r="F159" t="str">
            <v>Kayu papan kelas I</v>
          </cell>
          <cell r="G159" t="str">
            <v>m3</v>
          </cell>
          <cell r="H159">
            <v>26000000</v>
          </cell>
        </row>
        <row r="160">
          <cell r="F160" t="str">
            <v>Kayu papan kelas II</v>
          </cell>
          <cell r="G160" t="str">
            <v>m3</v>
          </cell>
          <cell r="H160">
            <v>14000000</v>
          </cell>
        </row>
        <row r="161">
          <cell r="F161" t="str">
            <v>Kayu papan kelas III</v>
          </cell>
          <cell r="G161" t="str">
            <v>m3</v>
          </cell>
          <cell r="H161">
            <v>8000000</v>
          </cell>
        </row>
        <row r="162">
          <cell r="F162" t="str">
            <v>Kayu Papan tebal 9 mm</v>
          </cell>
          <cell r="G162" t="str">
            <v>M3</v>
          </cell>
          <cell r="H162">
            <v>4750000</v>
          </cell>
        </row>
        <row r="163">
          <cell r="F163" t="str">
            <v>Kayu papan kelas III (m2)</v>
          </cell>
          <cell r="G163" t="str">
            <v>m2</v>
          </cell>
          <cell r="H163">
            <v>160000</v>
          </cell>
        </row>
        <row r="164">
          <cell r="F164" t="str">
            <v>Kayu sengon (balok)</v>
          </cell>
          <cell r="G164" t="str">
            <v>m3</v>
          </cell>
          <cell r="H164">
            <v>4000000</v>
          </cell>
        </row>
        <row r="165">
          <cell r="F165" t="str">
            <v>Kayu Sengon (papan)</v>
          </cell>
          <cell r="G165" t="str">
            <v>m³</v>
          </cell>
          <cell r="H165">
            <v>3573600</v>
          </cell>
        </row>
        <row r="166">
          <cell r="F166" t="str">
            <v>List kayu 2x4 cm</v>
          </cell>
          <cell r="G166" t="str">
            <v>m3</v>
          </cell>
          <cell r="H166">
            <v>6000000</v>
          </cell>
        </row>
        <row r="167">
          <cell r="F167" t="str">
            <v>List kayu profil</v>
          </cell>
          <cell r="G167" t="str">
            <v>m'</v>
          </cell>
          <cell r="H167">
            <v>5000</v>
          </cell>
        </row>
        <row r="168">
          <cell r="F168" t="str">
            <v>List kayu profil kelas II</v>
          </cell>
          <cell r="G168" t="str">
            <v>M</v>
          </cell>
          <cell r="H168">
            <v>5500</v>
          </cell>
        </row>
        <row r="169">
          <cell r="F169" t="str">
            <v>Multiplek tebal 4 mm</v>
          </cell>
          <cell r="G169" t="str">
            <v>lembar</v>
          </cell>
          <cell r="H169">
            <v>116700</v>
          </cell>
        </row>
        <row r="170">
          <cell r="F170" t="str">
            <v>Multiplek tebal 9 mm</v>
          </cell>
          <cell r="G170" t="str">
            <v>lembar</v>
          </cell>
          <cell r="H170">
            <v>116700</v>
          </cell>
        </row>
        <row r="171">
          <cell r="F171" t="str">
            <v>Multiplek tebal 12 mm</v>
          </cell>
          <cell r="G171" t="str">
            <v>lembar</v>
          </cell>
          <cell r="H171">
            <v>152600</v>
          </cell>
        </row>
        <row r="172">
          <cell r="F172" t="str">
            <v>Multiplek tebal 18 mm</v>
          </cell>
          <cell r="G172" t="str">
            <v>lembar</v>
          </cell>
          <cell r="H172">
            <v>226600</v>
          </cell>
        </row>
        <row r="173">
          <cell r="F173" t="str">
            <v>Perancah kayu</v>
          </cell>
          <cell r="G173" t="str">
            <v>m3</v>
          </cell>
          <cell r="H173">
            <v>2500000</v>
          </cell>
        </row>
        <row r="174">
          <cell r="F174" t="str">
            <v>Phenol film 12mm</v>
          </cell>
          <cell r="G174" t="str">
            <v>lembar</v>
          </cell>
          <cell r="H174">
            <v>230000</v>
          </cell>
        </row>
        <row r="175">
          <cell r="F175" t="str">
            <v>Pintu Double teakwood rangka kayu</v>
          </cell>
          <cell r="G175" t="str">
            <v>m2</v>
          </cell>
          <cell r="H175">
            <v>150000</v>
          </cell>
        </row>
        <row r="176">
          <cell r="F176" t="str">
            <v>Pintu panel kayu lapis timbal uk. 1x2 m</v>
          </cell>
          <cell r="G176" t="str">
            <v>unit</v>
          </cell>
          <cell r="H176">
            <v>10000000</v>
          </cell>
        </row>
        <row r="177">
          <cell r="F177" t="str">
            <v>Plywood 12 mm</v>
          </cell>
          <cell r="G177" t="str">
            <v>lembar</v>
          </cell>
          <cell r="H177">
            <v>167300</v>
          </cell>
        </row>
        <row r="178">
          <cell r="F178" t="str">
            <v>Plywood 4 mm m3</v>
          </cell>
          <cell r="G178" t="str">
            <v>m3</v>
          </cell>
          <cell r="H178">
            <v>6298700</v>
          </cell>
        </row>
        <row r="179">
          <cell r="F179" t="str">
            <v>Plywood 3 mm</v>
          </cell>
          <cell r="G179" t="str">
            <v>lembar</v>
          </cell>
          <cell r="H179">
            <v>62500</v>
          </cell>
        </row>
        <row r="180">
          <cell r="F180" t="str">
            <v>Plywood 4 mm</v>
          </cell>
          <cell r="G180" t="str">
            <v>lembar</v>
          </cell>
          <cell r="H180">
            <v>75000</v>
          </cell>
        </row>
        <row r="181">
          <cell r="F181" t="str">
            <v>Plywood 6 mm</v>
          </cell>
          <cell r="G181" t="str">
            <v>lembar</v>
          </cell>
          <cell r="H181">
            <v>84200</v>
          </cell>
        </row>
        <row r="182">
          <cell r="F182" t="str">
            <v>Plywood 9 mm (120x240)</v>
          </cell>
          <cell r="G182" t="str">
            <v>lembar</v>
          </cell>
          <cell r="H182">
            <v>127000</v>
          </cell>
        </row>
        <row r="183">
          <cell r="F183" t="str">
            <v>Reng 2x3 cm</v>
          </cell>
          <cell r="G183" t="str">
            <v>m3</v>
          </cell>
          <cell r="H183">
            <v>8750000</v>
          </cell>
        </row>
        <row r="184">
          <cell r="F184" t="str">
            <v>Reng 3x4 cm</v>
          </cell>
          <cell r="G184" t="str">
            <v>m3</v>
          </cell>
          <cell r="H184">
            <v>9302000</v>
          </cell>
        </row>
        <row r="185">
          <cell r="F185" t="str">
            <v>Teakwood 4 mm (120x240)</v>
          </cell>
          <cell r="G185" t="str">
            <v>lembar</v>
          </cell>
          <cell r="H185">
            <v>76300</v>
          </cell>
        </row>
        <row r="186">
          <cell r="F186" t="str">
            <v>Teakwood 4 mm (90x210)</v>
          </cell>
          <cell r="G186" t="str">
            <v>lembar</v>
          </cell>
          <cell r="H186">
            <v>65600</v>
          </cell>
        </row>
        <row r="187">
          <cell r="F187" t="str">
            <v>Teakwood 9 mm (90x210)</v>
          </cell>
          <cell r="G187" t="str">
            <v>lembar</v>
          </cell>
          <cell r="H187">
            <v>114000</v>
          </cell>
        </row>
        <row r="188">
          <cell r="F188" t="str">
            <v>Tripleks  t=9mm</v>
          </cell>
          <cell r="G188" t="str">
            <v>lembar</v>
          </cell>
          <cell r="H188">
            <v>101200</v>
          </cell>
        </row>
        <row r="189">
          <cell r="F189" t="str">
            <v>Veeneer tebal 2 mm</v>
          </cell>
          <cell r="G189" t="str">
            <v>m2</v>
          </cell>
          <cell r="H189">
            <v>150000</v>
          </cell>
        </row>
        <row r="190">
          <cell r="F190" t="str">
            <v>MATERIAL PIPA PVC DAN HDPE</v>
          </cell>
        </row>
        <row r="191">
          <cell r="F191" t="str">
            <v>Assesoris  PVC</v>
          </cell>
          <cell r="G191" t="str">
            <v>m'</v>
          </cell>
          <cell r="H191">
            <v>5700</v>
          </cell>
        </row>
        <row r="192">
          <cell r="F192" t="str">
            <v>Pipa HDPE 40/33 mm</v>
          </cell>
          <cell r="G192" t="str">
            <v>m'</v>
          </cell>
          <cell r="H192">
            <v>13300</v>
          </cell>
        </row>
        <row r="193">
          <cell r="F193" t="str">
            <v>Pipa PVC  tipe D Ø 2"</v>
          </cell>
          <cell r="G193" t="str">
            <v>m'</v>
          </cell>
          <cell r="H193">
            <v>23500</v>
          </cell>
        </row>
        <row r="194">
          <cell r="F194" t="str">
            <v>Pipa PVC AW Ø 1"</v>
          </cell>
          <cell r="G194" t="str">
            <v>m'</v>
          </cell>
          <cell r="H194">
            <v>11250</v>
          </cell>
        </row>
        <row r="195">
          <cell r="F195" t="str">
            <v>PIPA PVC AW ; DN. 1"
(25 mm) dan
aksesoris</v>
          </cell>
          <cell r="G195" t="str">
            <v>m'</v>
          </cell>
          <cell r="H195">
            <v>11500</v>
          </cell>
        </row>
        <row r="196">
          <cell r="F196" t="str">
            <v>Pipa PVC AW ; DN. 1"
(25 mm) + fitting &amp;
aksesoris</v>
          </cell>
          <cell r="G196" t="str">
            <v>m'</v>
          </cell>
          <cell r="H196">
            <v>11700</v>
          </cell>
        </row>
        <row r="197">
          <cell r="F197" t="str">
            <v>Pipa PVC AW Ø 1/2"</v>
          </cell>
          <cell r="G197" t="str">
            <v>batang</v>
          </cell>
          <cell r="H197">
            <v>27500</v>
          </cell>
        </row>
        <row r="198">
          <cell r="F198" t="str">
            <v>Pipa PVC AW Ø 1/2" (m)</v>
          </cell>
          <cell r="G198" t="str">
            <v>m'</v>
          </cell>
          <cell r="H198">
            <v>6875</v>
          </cell>
        </row>
        <row r="199">
          <cell r="F199" t="str">
            <v>PIPA PVC AW ; DN.
1/2" (15 mm) dan
aksesoris</v>
          </cell>
          <cell r="G199" t="str">
            <v>m'</v>
          </cell>
          <cell r="H199">
            <v>6900</v>
          </cell>
        </row>
        <row r="200">
          <cell r="F200" t="str">
            <v>Pipa PVC AW ; DN.
1/2" (15 mm) +
fitting &amp; aksesoris</v>
          </cell>
          <cell r="G200" t="str">
            <v>m'</v>
          </cell>
          <cell r="H200">
            <v>7100</v>
          </cell>
        </row>
        <row r="201">
          <cell r="F201" t="str">
            <v>Pipa PVC AW Ø 10"</v>
          </cell>
          <cell r="G201" t="str">
            <v>m'</v>
          </cell>
          <cell r="H201">
            <v>150000</v>
          </cell>
        </row>
        <row r="202">
          <cell r="F202" t="str">
            <v>Pipa PVC AW Ø 1-1/2"</v>
          </cell>
          <cell r="G202" t="str">
            <v>m'</v>
          </cell>
          <cell r="H202">
            <v>20000</v>
          </cell>
        </row>
        <row r="203">
          <cell r="F203" t="str">
            <v>PIPA PVC AW ; DN. 1-
1/2" (40 mm) dan
aksesoris</v>
          </cell>
          <cell r="G203" t="str">
            <v>m'</v>
          </cell>
          <cell r="H203">
            <v>20500</v>
          </cell>
        </row>
        <row r="204">
          <cell r="F204" t="str">
            <v>Pipa PVC AW ; DN. 1-
1/2" (40 mm) +
fitting &amp; aksesoris</v>
          </cell>
          <cell r="G204" t="str">
            <v>m'</v>
          </cell>
          <cell r="H204">
            <v>22000</v>
          </cell>
        </row>
        <row r="205">
          <cell r="F205" t="str">
            <v>Pipa PVC AW Ø 1-1/4"</v>
          </cell>
          <cell r="G205" t="str">
            <v>m'</v>
          </cell>
          <cell r="H205">
            <v>18500</v>
          </cell>
        </row>
        <row r="206">
          <cell r="F206" t="str">
            <v>PIPA PVC AW ; DN. 1-
1/4" (32 mm) dan
aksesoris</v>
          </cell>
          <cell r="G206" t="str">
            <v>m'</v>
          </cell>
          <cell r="H206">
            <v>18900</v>
          </cell>
        </row>
        <row r="207">
          <cell r="F207" t="str">
            <v>Pipa PVC AW ; DN. 1-
1/4" (32 mm) +
fitting &amp; aksesoris</v>
          </cell>
          <cell r="G207" t="str">
            <v>m'</v>
          </cell>
          <cell r="H207">
            <v>19000</v>
          </cell>
        </row>
        <row r="208">
          <cell r="F208" t="str">
            <v>Pipa PVC AW Ø 12"</v>
          </cell>
          <cell r="G208" t="str">
            <v>m'</v>
          </cell>
          <cell r="H208">
            <v>177500</v>
          </cell>
        </row>
        <row r="209">
          <cell r="F209" t="str">
            <v>Pipa PVC AW ; DN. 12" (300 mm) + fitting &amp; aksesoris</v>
          </cell>
          <cell r="G209" t="str">
            <v>m'</v>
          </cell>
          <cell r="H209">
            <v>179000</v>
          </cell>
        </row>
        <row r="210">
          <cell r="F210" t="str">
            <v>Pipa PVC AW Ø 14"</v>
          </cell>
          <cell r="G210" t="str">
            <v>m'</v>
          </cell>
          <cell r="H210">
            <v>200000</v>
          </cell>
        </row>
        <row r="211">
          <cell r="F211" t="str">
            <v>Pipa PVC AW ; DN. 14" (350 mm) + fitting &amp; aksesoris</v>
          </cell>
          <cell r="G211" t="str">
            <v>m'</v>
          </cell>
          <cell r="H211">
            <v>201000</v>
          </cell>
        </row>
        <row r="212">
          <cell r="F212" t="str">
            <v>Pipa PVC AW Ø 16"</v>
          </cell>
          <cell r="G212" t="str">
            <v>m'</v>
          </cell>
          <cell r="H212">
            <v>233750</v>
          </cell>
        </row>
        <row r="213">
          <cell r="F213" t="str">
            <v>Pipa PVC AW ; DN. 16" (400 mm) + fitting &amp; aksesoris</v>
          </cell>
          <cell r="G213" t="str">
            <v>m'</v>
          </cell>
          <cell r="H213">
            <v>234000</v>
          </cell>
        </row>
        <row r="214">
          <cell r="F214" t="str">
            <v>Pipa PVC AW Ø 2"</v>
          </cell>
          <cell r="G214" t="str">
            <v>m'</v>
          </cell>
          <cell r="H214">
            <v>26000</v>
          </cell>
        </row>
        <row r="215">
          <cell r="F215" t="str">
            <v>PIPA PVC AW ; DN. 2"
(50 mm) dan
aksesoris</v>
          </cell>
          <cell r="G215" t="str">
            <v>m'</v>
          </cell>
          <cell r="H215">
            <v>26500</v>
          </cell>
        </row>
        <row r="216">
          <cell r="F216" t="str">
            <v>Pipa PVC AW ; DN. 2" (50 mm) + fitting &amp; aksesoris</v>
          </cell>
          <cell r="G216" t="str">
            <v>m'</v>
          </cell>
          <cell r="H216">
            <v>28000</v>
          </cell>
        </row>
        <row r="217">
          <cell r="F217" t="str">
            <v>Pipa PVC AW Ø 2-1/2"</v>
          </cell>
          <cell r="G217" t="str">
            <v>m'</v>
          </cell>
          <cell r="H217">
            <v>33625</v>
          </cell>
        </row>
        <row r="218">
          <cell r="F218" t="str">
            <v>PIPA PVC AW ; DN. 2-
1/2" (65 mm) dan
aksesoris</v>
          </cell>
          <cell r="G218" t="str">
            <v>m'</v>
          </cell>
          <cell r="H218">
            <v>33900</v>
          </cell>
        </row>
        <row r="219">
          <cell r="F219" t="str">
            <v>Pipa PVC AW ; DN. 2-1/2" (65 mm) + fitting &amp; aksesoris</v>
          </cell>
          <cell r="G219" t="str">
            <v>m'</v>
          </cell>
          <cell r="H219">
            <v>40000</v>
          </cell>
        </row>
        <row r="220">
          <cell r="F220" t="str">
            <v>Pipa PVC AW Ø 3"</v>
          </cell>
          <cell r="G220" t="str">
            <v>m'</v>
          </cell>
          <cell r="H220">
            <v>51075</v>
          </cell>
        </row>
        <row r="221">
          <cell r="F221" t="str">
            <v>PIPA PVC AW ; DN. 3"
(80 mm) dan
aksesoris</v>
          </cell>
          <cell r="G221" t="str">
            <v>m'</v>
          </cell>
          <cell r="H221">
            <v>51500</v>
          </cell>
        </row>
        <row r="222">
          <cell r="F222" t="str">
            <v>Pipa PVC AW ; DN. 3"
(80 mm) + fitting &amp;
aksesoris</v>
          </cell>
          <cell r="G222" t="str">
            <v>m'</v>
          </cell>
          <cell r="H222">
            <v>53000</v>
          </cell>
        </row>
        <row r="223">
          <cell r="F223" t="str">
            <v>Pipa PVC AW Ø 3/4"</v>
          </cell>
          <cell r="G223" t="str">
            <v>batang</v>
          </cell>
          <cell r="H223">
            <v>35000</v>
          </cell>
        </row>
        <row r="224">
          <cell r="F224" t="str">
            <v>Pipa PVC AW Ø 3/4" (m)</v>
          </cell>
          <cell r="G224" t="str">
            <v>m'</v>
          </cell>
          <cell r="H224">
            <v>8750</v>
          </cell>
        </row>
        <row r="225">
          <cell r="F225" t="str">
            <v>PIPA PVC AW ; DN.
3/4" (20 mm) dan
aksesoris</v>
          </cell>
          <cell r="G225" t="str">
            <v>m'</v>
          </cell>
          <cell r="H225">
            <v>8900</v>
          </cell>
        </row>
        <row r="226">
          <cell r="F226" t="str">
            <v>Pipa PVC AW ; DN.
3/4" (20 mm) +
fitting &amp; aksesoris</v>
          </cell>
          <cell r="G226" t="str">
            <v>m'</v>
          </cell>
          <cell r="H226">
            <v>9300</v>
          </cell>
        </row>
        <row r="227">
          <cell r="F227" t="str">
            <v>Pipa PVC AW Ø 4"</v>
          </cell>
          <cell r="G227" t="str">
            <v>m'</v>
          </cell>
          <cell r="H227">
            <v>72375</v>
          </cell>
        </row>
        <row r="228">
          <cell r="F228" t="str">
            <v>PIPA PVC AW ; DN. 4"
(100 mm) dan
aksesoris</v>
          </cell>
          <cell r="G228" t="str">
            <v>m'</v>
          </cell>
          <cell r="H228">
            <v>72700</v>
          </cell>
        </row>
        <row r="229">
          <cell r="F229" t="str">
            <v>Pipa PVC AW ; DN. 4"
(100 mm) + fitting &amp;
aksesoris</v>
          </cell>
          <cell r="G229" t="str">
            <v>m'</v>
          </cell>
          <cell r="H229">
            <v>74000</v>
          </cell>
        </row>
        <row r="230">
          <cell r="F230" t="str">
            <v>Pipa PVC AW Ø 5"</v>
          </cell>
          <cell r="G230" t="str">
            <v>m'</v>
          </cell>
          <cell r="H230">
            <v>100000</v>
          </cell>
        </row>
        <row r="231">
          <cell r="F231" t="str">
            <v>Pipa PVC AW ; DN. 5"
(125 mm) + fitting &amp;
aksesoris</v>
          </cell>
          <cell r="G231" t="str">
            <v>m'</v>
          </cell>
          <cell r="H231">
            <v>101000</v>
          </cell>
        </row>
        <row r="232">
          <cell r="F232" t="str">
            <v>Pipa PVC AW Ø 6"</v>
          </cell>
          <cell r="G232" t="str">
            <v>m'</v>
          </cell>
          <cell r="H232">
            <v>107500</v>
          </cell>
        </row>
        <row r="233">
          <cell r="F233" t="str">
            <v>Pemasangan 1 m pipa PVC AW, DN. 6" (150 mm)</v>
          </cell>
          <cell r="G233" t="str">
            <v>m'</v>
          </cell>
          <cell r="H233">
            <v>108000</v>
          </cell>
        </row>
        <row r="234">
          <cell r="F234" t="str">
            <v>Pipa PVC AW Ø 8"</v>
          </cell>
          <cell r="G234" t="str">
            <v>m'</v>
          </cell>
          <cell r="H234">
            <v>132500</v>
          </cell>
        </row>
        <row r="235">
          <cell r="F235" t="str">
            <v>Pipa PVC AW ; DN. 8"
(200 mm) + fitting &amp;
aksesoris</v>
          </cell>
          <cell r="G235" t="str">
            <v>m'</v>
          </cell>
          <cell r="H235">
            <v>133000</v>
          </cell>
        </row>
        <row r="236">
          <cell r="F236" t="str">
            <v>Pipa PVC D Ø 10"</v>
          </cell>
          <cell r="G236" t="str">
            <v>m'</v>
          </cell>
          <cell r="H236">
            <v>232900</v>
          </cell>
        </row>
        <row r="237">
          <cell r="F237" t="str">
            <v>Pipa PVC D ; DN.
10" (250 mm) +
fitting &amp; aksesoris</v>
          </cell>
          <cell r="G237" t="str">
            <v>m'</v>
          </cell>
          <cell r="H237">
            <v>233000</v>
          </cell>
        </row>
        <row r="238">
          <cell r="F238" t="str">
            <v>Pipa PVC AW ; DN.
10" (250 mm) +
fitting &amp; aksesoris</v>
          </cell>
          <cell r="G238" t="str">
            <v>m'</v>
          </cell>
          <cell r="H238">
            <v>232000</v>
          </cell>
        </row>
        <row r="239">
          <cell r="F239" t="str">
            <v>Pipa PVC D Ø 1-1/2"</v>
          </cell>
          <cell r="G239" t="str">
            <v>m'</v>
          </cell>
          <cell r="H239">
            <v>11175</v>
          </cell>
        </row>
        <row r="240">
          <cell r="F240" t="str">
            <v>Pipa PVC D ; DN. 1-1/2" (40 mm) + fitting &amp; aksesoris</v>
          </cell>
          <cell r="G240" t="str">
            <v>m'</v>
          </cell>
          <cell r="H240">
            <v>12000</v>
          </cell>
        </row>
        <row r="241">
          <cell r="F241" t="str">
            <v>Pipa PVC D Ø 1-1/4"</v>
          </cell>
          <cell r="G241" t="str">
            <v>m'</v>
          </cell>
          <cell r="H241">
            <v>10000</v>
          </cell>
        </row>
        <row r="242">
          <cell r="F242" t="str">
            <v>Pipa PVC D ; DN. 1-1/4" (32 mm) + fitting &amp; aksesoris</v>
          </cell>
          <cell r="G242" t="str">
            <v>m'</v>
          </cell>
          <cell r="H242">
            <v>11000</v>
          </cell>
        </row>
        <row r="243">
          <cell r="F243" t="str">
            <v>Pipa PVC D Ø 12"</v>
          </cell>
          <cell r="G243" t="str">
            <v>m'</v>
          </cell>
          <cell r="H243">
            <v>319750</v>
          </cell>
        </row>
        <row r="244">
          <cell r="F244" t="str">
            <v>Pipa PVC D ; DN.
12" (300 mm) +
fitting &amp; aksesoris</v>
          </cell>
          <cell r="G244" t="str">
            <v>m'</v>
          </cell>
          <cell r="H244">
            <v>320000</v>
          </cell>
        </row>
        <row r="245">
          <cell r="F245" t="str">
            <v>Pipa PVC D Ø 14"</v>
          </cell>
          <cell r="G245" t="str">
            <v>m'</v>
          </cell>
          <cell r="H245">
            <v>325000</v>
          </cell>
        </row>
        <row r="246">
          <cell r="F246" t="str">
            <v>Pipa PVC D ; DN.
14" (350 mm) +
fitting &amp; aksesoris</v>
          </cell>
          <cell r="G246" t="str">
            <v>m'</v>
          </cell>
          <cell r="H246">
            <v>323000</v>
          </cell>
        </row>
        <row r="247">
          <cell r="F247" t="str">
            <v>Pipa PVC D Ø 16"</v>
          </cell>
          <cell r="G247" t="str">
            <v>m'</v>
          </cell>
          <cell r="H247">
            <v>362500</v>
          </cell>
        </row>
        <row r="248">
          <cell r="F248" t="str">
            <v>Pipa PVC D ; DN.
16" (400 mm) +
fitting &amp; aksesoris</v>
          </cell>
          <cell r="G248" t="str">
            <v>m'</v>
          </cell>
          <cell r="H248">
            <v>363000</v>
          </cell>
        </row>
        <row r="249">
          <cell r="F249" t="str">
            <v>Pipa PVC D Ø 2"</v>
          </cell>
          <cell r="G249" t="str">
            <v>m'</v>
          </cell>
          <cell r="H249">
            <v>14750</v>
          </cell>
        </row>
        <row r="250">
          <cell r="F250" t="str">
            <v>Pipa PVC D ; DN. 2" (50 mm) + fitting &amp; aksesoris</v>
          </cell>
          <cell r="G250" t="str">
            <v>m'</v>
          </cell>
          <cell r="H250">
            <v>15000</v>
          </cell>
        </row>
        <row r="251">
          <cell r="F251" t="str">
            <v>Pipa PVC D Ø 2-1/2"</v>
          </cell>
          <cell r="G251" t="str">
            <v>m'</v>
          </cell>
          <cell r="H251">
            <v>20625</v>
          </cell>
        </row>
        <row r="252">
          <cell r="F252" t="str">
            <v>Pipa PVC D ; DN.
2-1/2" (65 mm) +
fitting &amp; aksesoris</v>
          </cell>
          <cell r="G252" t="str">
            <v>m'</v>
          </cell>
          <cell r="H252">
            <v>21000</v>
          </cell>
        </row>
        <row r="253">
          <cell r="F253" t="str">
            <v>Pipa PVC D Ø 3"</v>
          </cell>
          <cell r="G253" t="str">
            <v>m'</v>
          </cell>
          <cell r="H253">
            <v>28600</v>
          </cell>
        </row>
        <row r="254">
          <cell r="F254" t="str">
            <v>Pipa PVC D ; DN.
3" (80 mm) + fitting &amp;
aksesoris</v>
          </cell>
          <cell r="G254" t="str">
            <v>m'</v>
          </cell>
          <cell r="H254">
            <v>29000</v>
          </cell>
        </row>
        <row r="255">
          <cell r="F255" t="str">
            <v>Pipa PVC D Ø 4"</v>
          </cell>
          <cell r="G255" t="str">
            <v>m'</v>
          </cell>
          <cell r="H255">
            <v>39575</v>
          </cell>
        </row>
        <row r="256">
          <cell r="F256" t="str">
            <v>Pipa PVC D ; DN. 4" (100 mm) + fitting &amp; aksesoris</v>
          </cell>
          <cell r="G256" t="str">
            <v>m'</v>
          </cell>
          <cell r="H256">
            <v>40000</v>
          </cell>
        </row>
        <row r="257">
          <cell r="F257" t="str">
            <v>Pipa PVC D Ø 5"</v>
          </cell>
          <cell r="G257" t="str">
            <v>m'</v>
          </cell>
          <cell r="H257">
            <v>63200</v>
          </cell>
        </row>
        <row r="258">
          <cell r="F258" t="str">
            <v>Pipa PVC D ; DN. 5" (125 mm) + fitting &amp; aksesoris</v>
          </cell>
          <cell r="G258" t="str">
            <v>m'</v>
          </cell>
          <cell r="H258">
            <v>64000</v>
          </cell>
        </row>
        <row r="259">
          <cell r="F259" t="str">
            <v>Pipa PVC D Ø 6"</v>
          </cell>
          <cell r="G259" t="str">
            <v>m'</v>
          </cell>
          <cell r="H259">
            <v>79775</v>
          </cell>
        </row>
        <row r="260">
          <cell r="F260" t="str">
            <v>Pipa PVC D ; DN. 6" (150 mm) + fitting &amp; aksesoris</v>
          </cell>
          <cell r="G260" t="str">
            <v>m'</v>
          </cell>
          <cell r="H260">
            <v>80000</v>
          </cell>
        </row>
        <row r="261">
          <cell r="F261" t="str">
            <v>Pipa PVC D Ø 8"</v>
          </cell>
          <cell r="G261" t="str">
            <v>m'</v>
          </cell>
          <cell r="H261">
            <v>139575</v>
          </cell>
        </row>
        <row r="262">
          <cell r="F262" t="str">
            <v>Pipa PVC D ; DN. 8" (200 mm) + fitting &amp; aksesoris</v>
          </cell>
          <cell r="G262" t="str">
            <v>m'</v>
          </cell>
          <cell r="H262">
            <v>140000</v>
          </cell>
        </row>
        <row r="263">
          <cell r="F263" t="str">
            <v>Pipa PVC dia. 1"</v>
          </cell>
          <cell r="G263" t="str">
            <v>m'</v>
          </cell>
          <cell r="H263">
            <v>11250</v>
          </cell>
        </row>
        <row r="264">
          <cell r="F264" t="str">
            <v>Pipa PVC dia. 2"</v>
          </cell>
          <cell r="G264" t="str">
            <v>m'</v>
          </cell>
          <cell r="H264">
            <v>26000</v>
          </cell>
        </row>
        <row r="265">
          <cell r="F265" t="str">
            <v>Pipa Tembaga B280 1/4"</v>
          </cell>
          <cell r="G265" t="str">
            <v>m'</v>
          </cell>
          <cell r="H265">
            <v>34300</v>
          </cell>
        </row>
        <row r="266">
          <cell r="F266" t="str">
            <v xml:space="preserve">Duct Tape </v>
          </cell>
          <cell r="G266" t="str">
            <v xml:space="preserve">gulung </v>
          </cell>
          <cell r="H266">
            <v>9050</v>
          </cell>
        </row>
        <row r="267">
          <cell r="F267" t="str">
            <v>Pipa Tembaga B280 3/8"</v>
          </cell>
          <cell r="G267" t="str">
            <v>m'</v>
          </cell>
          <cell r="H267">
            <v>45300</v>
          </cell>
        </row>
        <row r="268">
          <cell r="F268" t="str">
            <v>Pipa Tembaga B280 1/2"</v>
          </cell>
          <cell r="G268" t="str">
            <v>m'</v>
          </cell>
          <cell r="H268">
            <v>46400</v>
          </cell>
        </row>
        <row r="269">
          <cell r="F269" t="str">
            <v>Pipa Tembaga B280 5/8"</v>
          </cell>
          <cell r="G269" t="str">
            <v>m'</v>
          </cell>
          <cell r="H269">
            <v>101600</v>
          </cell>
        </row>
        <row r="270">
          <cell r="F270" t="str">
            <v>Pipa Tembaga B280 3/4"</v>
          </cell>
          <cell r="G270" t="str">
            <v>m'</v>
          </cell>
          <cell r="H270">
            <v>122700</v>
          </cell>
        </row>
        <row r="271">
          <cell r="F271" t="str">
            <v>Pipa Tembaga B280 7/8"</v>
          </cell>
          <cell r="G271" t="str">
            <v>m'</v>
          </cell>
          <cell r="H271">
            <v>351600</v>
          </cell>
        </row>
        <row r="272">
          <cell r="F272" t="str">
            <v>Pipa Tembaga B280 1"</v>
          </cell>
          <cell r="G272" t="str">
            <v>m'</v>
          </cell>
          <cell r="H272">
            <v>370000</v>
          </cell>
        </row>
        <row r="273">
          <cell r="F273" t="str">
            <v>Pipa Tembaga B280 1-1/8"</v>
          </cell>
          <cell r="G273" t="str">
            <v>m'</v>
          </cell>
          <cell r="H273">
            <v>375000</v>
          </cell>
        </row>
        <row r="274">
          <cell r="F274" t="str">
            <v>Pipa Tembaga B280 1-3/8"</v>
          </cell>
          <cell r="G274" t="str">
            <v>m'</v>
          </cell>
          <cell r="H274">
            <v>380000</v>
          </cell>
        </row>
        <row r="275">
          <cell r="F275" t="str">
            <v>Pipa Tembaga B280 1-5/8"</v>
          </cell>
          <cell r="G275" t="str">
            <v>m'</v>
          </cell>
          <cell r="H275">
            <v>290000</v>
          </cell>
        </row>
        <row r="276">
          <cell r="F276" t="str">
            <v>PRV SET dia. 50 mm dan aksesoris</v>
          </cell>
          <cell r="G276" t="str">
            <v xml:space="preserve">unit </v>
          </cell>
          <cell r="H276">
            <v>6131000</v>
          </cell>
        </row>
        <row r="277">
          <cell r="F277" t="str">
            <v>PRV SET dia. 65 mm dan aksesoris</v>
          </cell>
          <cell r="G277" t="str">
            <v xml:space="preserve">unit </v>
          </cell>
          <cell r="H277">
            <v>8397000</v>
          </cell>
        </row>
        <row r="278">
          <cell r="F278" t="str">
            <v>PRV SET dia. 80 mm dan aksesoris</v>
          </cell>
          <cell r="G278" t="str">
            <v xml:space="preserve">unit </v>
          </cell>
          <cell r="H278">
            <v>8550000</v>
          </cell>
        </row>
        <row r="279">
          <cell r="F279" t="str">
            <v>PRV SET dia. 100 mm dan aksesoris</v>
          </cell>
          <cell r="G279" t="str">
            <v xml:space="preserve">unit </v>
          </cell>
          <cell r="H279">
            <v>14250000</v>
          </cell>
        </row>
        <row r="280">
          <cell r="F280" t="str">
            <v>PRV SET dia. 150 mm dan aksesoris</v>
          </cell>
          <cell r="G280" t="str">
            <v xml:space="preserve">unit </v>
          </cell>
          <cell r="H280">
            <v>14500000</v>
          </cell>
        </row>
        <row r="281">
          <cell r="F281" t="str">
            <v>PRV SET dia. 200 mm dan aksesoris</v>
          </cell>
          <cell r="G281" t="str">
            <v xml:space="preserve">unit </v>
          </cell>
          <cell r="H281">
            <v>15500000</v>
          </cell>
        </row>
        <row r="282">
          <cell r="F282" t="str">
            <v>MCV Set dia. 80 mm</v>
          </cell>
          <cell r="G282" t="str">
            <v xml:space="preserve">unit </v>
          </cell>
          <cell r="H282">
            <v>20500000</v>
          </cell>
        </row>
        <row r="283">
          <cell r="F283" t="str">
            <v>MCV Set dia. 100 mm</v>
          </cell>
          <cell r="G283" t="str">
            <v xml:space="preserve">unit </v>
          </cell>
          <cell r="H283">
            <v>20900000</v>
          </cell>
        </row>
        <row r="284">
          <cell r="F284" t="str">
            <v>MCV Set dia. 150 mm</v>
          </cell>
          <cell r="G284" t="str">
            <v xml:space="preserve">unit </v>
          </cell>
          <cell r="H284">
            <v>30300000</v>
          </cell>
        </row>
        <row r="285">
          <cell r="F285" t="str">
            <v>BCV Set dia. 50 mm</v>
          </cell>
          <cell r="G285" t="str">
            <v xml:space="preserve">set </v>
          </cell>
          <cell r="H285">
            <v>1700000</v>
          </cell>
        </row>
        <row r="286">
          <cell r="F286" t="str">
            <v>Flow Switch dia. 50 mm</v>
          </cell>
          <cell r="G286" t="str">
            <v xml:space="preserve">buah </v>
          </cell>
          <cell r="H286">
            <v>83000</v>
          </cell>
        </row>
        <row r="287">
          <cell r="F287" t="str">
            <v xml:space="preserve">Sigh Glass </v>
          </cell>
          <cell r="G287" t="str">
            <v xml:space="preserve">buah </v>
          </cell>
          <cell r="H287">
            <v>85000</v>
          </cell>
        </row>
        <row r="288">
          <cell r="F288" t="str">
            <v xml:space="preserve">Flow Switch </v>
          </cell>
          <cell r="G288" t="str">
            <v xml:space="preserve">buah </v>
          </cell>
          <cell r="H288">
            <v>104000</v>
          </cell>
        </row>
        <row r="289">
          <cell r="F289" t="str">
            <v xml:space="preserve">Test Drain Valve </v>
          </cell>
          <cell r="G289" t="str">
            <v xml:space="preserve">buah </v>
          </cell>
          <cell r="H289">
            <v>750000</v>
          </cell>
        </row>
        <row r="290">
          <cell r="F290" t="str">
            <v xml:space="preserve">Coupling 1 set </v>
          </cell>
          <cell r="G290" t="str">
            <v xml:space="preserve">set </v>
          </cell>
          <cell r="H290">
            <v>115000</v>
          </cell>
        </row>
        <row r="291">
          <cell r="F291" t="str">
            <v xml:space="preserve">Temper Switch </v>
          </cell>
          <cell r="G291" t="str">
            <v xml:space="preserve">buah </v>
          </cell>
          <cell r="H291">
            <v>700000</v>
          </cell>
        </row>
        <row r="292">
          <cell r="F292" t="str">
            <v>BCV Set dia. 65 mm</v>
          </cell>
          <cell r="G292" t="str">
            <v xml:space="preserve">set </v>
          </cell>
          <cell r="H292">
            <v>1900000</v>
          </cell>
        </row>
        <row r="293">
          <cell r="F293" t="str">
            <v>BCV Set dia. 80 mm</v>
          </cell>
          <cell r="G293" t="str">
            <v xml:space="preserve">set </v>
          </cell>
          <cell r="H293">
            <v>2100000</v>
          </cell>
        </row>
        <row r="294">
          <cell r="F294" t="str">
            <v>BCV Set dia. 100 mm</v>
          </cell>
          <cell r="G294" t="str">
            <v xml:space="preserve">set </v>
          </cell>
          <cell r="H294">
            <v>2400000</v>
          </cell>
        </row>
        <row r="295">
          <cell r="F295" t="str">
            <v>BCV Set dia. 150 mm</v>
          </cell>
          <cell r="G295" t="str">
            <v xml:space="preserve">set </v>
          </cell>
          <cell r="H295">
            <v>2600000</v>
          </cell>
        </row>
        <row r="296">
          <cell r="F296" t="str">
            <v>Automatic Air Vent  dia. 50 mm</v>
          </cell>
          <cell r="G296" t="str">
            <v xml:space="preserve">unit </v>
          </cell>
          <cell r="H296">
            <v>635000</v>
          </cell>
        </row>
        <row r="297">
          <cell r="F297" t="str">
            <v>Automatic Air Vent  dia. 80 mm</v>
          </cell>
          <cell r="G297" t="str">
            <v>unit</v>
          </cell>
          <cell r="H297">
            <v>766500</v>
          </cell>
        </row>
        <row r="298">
          <cell r="F298" t="str">
            <v>Automatic Air Vent  dia. 100 mm</v>
          </cell>
          <cell r="G298" t="str">
            <v xml:space="preserve">unit </v>
          </cell>
          <cell r="H298">
            <v>980000</v>
          </cell>
        </row>
        <row r="299">
          <cell r="F299" t="str">
            <v>Automatic Air Vent  dia. 150 mm</v>
          </cell>
          <cell r="G299" t="str">
            <v>unit</v>
          </cell>
          <cell r="H299">
            <v>1150000</v>
          </cell>
        </row>
        <row r="300">
          <cell r="F300" t="str">
            <v>Flow Meter Analog dia. 100 mm</v>
          </cell>
          <cell r="G300" t="str">
            <v xml:space="preserve">unit </v>
          </cell>
          <cell r="H300">
            <v>1300000</v>
          </cell>
        </row>
        <row r="301">
          <cell r="F301" t="str">
            <v>Flow Meter Analog dia. 200 mm</v>
          </cell>
          <cell r="G301" t="str">
            <v xml:space="preserve">unit </v>
          </cell>
          <cell r="H301">
            <v>1500000</v>
          </cell>
        </row>
        <row r="302">
          <cell r="F302" t="str">
            <v>Landing Velve 2,5"</v>
          </cell>
          <cell r="G302" t="str">
            <v xml:space="preserve">unit </v>
          </cell>
          <cell r="H302">
            <v>1259000</v>
          </cell>
        </row>
        <row r="303">
          <cell r="F303" t="str">
            <v>Orifice Plate dia. 25 mm</v>
          </cell>
          <cell r="G303" t="str">
            <v xml:space="preserve">unit </v>
          </cell>
          <cell r="H303">
            <v>1500000</v>
          </cell>
        </row>
        <row r="304">
          <cell r="F304" t="str">
            <v xml:space="preserve">Sprinkler Head Pendant dan Aksesoris </v>
          </cell>
          <cell r="G304" t="str">
            <v xml:space="preserve">unit </v>
          </cell>
          <cell r="H304">
            <v>85000</v>
          </cell>
        </row>
        <row r="305">
          <cell r="F305" t="str">
            <v xml:space="preserve">Sprinkler Head Upright dan Aksesoris </v>
          </cell>
          <cell r="G305" t="str">
            <v xml:space="preserve">unit </v>
          </cell>
          <cell r="H305">
            <v>82900</v>
          </cell>
        </row>
        <row r="306">
          <cell r="F306" t="str">
            <v xml:space="preserve">Hydrant Pillar dan Aksesoris </v>
          </cell>
          <cell r="G306" t="str">
            <v xml:space="preserve">unit </v>
          </cell>
          <cell r="H306">
            <v>3750000</v>
          </cell>
        </row>
        <row r="307">
          <cell r="F307" t="str">
            <v xml:space="preserve">Indoor Hydrant Box dan Aksesoris </v>
          </cell>
          <cell r="G307" t="str">
            <v xml:space="preserve">unit </v>
          </cell>
          <cell r="H307">
            <v>1200000</v>
          </cell>
        </row>
        <row r="308">
          <cell r="F308" t="str">
            <v xml:space="preserve">Outdoor Hydrant Box dan Aksesoris </v>
          </cell>
          <cell r="G308" t="str">
            <v xml:space="preserve">unit </v>
          </cell>
          <cell r="H308">
            <v>1700000</v>
          </cell>
        </row>
        <row r="309">
          <cell r="F309" t="str">
            <v xml:space="preserve">Siamesse Connection dan Aksesoris </v>
          </cell>
          <cell r="G309" t="str">
            <v xml:space="preserve">unit </v>
          </cell>
          <cell r="H309">
            <v>2200000</v>
          </cell>
        </row>
        <row r="310">
          <cell r="F310" t="str">
            <v xml:space="preserve">Fire Extinguisher 3 kg  dan Aksesoris </v>
          </cell>
          <cell r="G310" t="str">
            <v xml:space="preserve">Unit </v>
          </cell>
          <cell r="H310">
            <v>171500</v>
          </cell>
        </row>
        <row r="311">
          <cell r="F311" t="str">
            <v xml:space="preserve">Fire Extinguisher 5 kg  dan Aksesoris </v>
          </cell>
          <cell r="G311" t="str">
            <v>unit</v>
          </cell>
          <cell r="H311">
            <v>227900</v>
          </cell>
        </row>
        <row r="312">
          <cell r="F312" t="str">
            <v xml:space="preserve">Fire Extinguisher 25 kg  dan Aksesoris </v>
          </cell>
          <cell r="G312" t="str">
            <v xml:space="preserve">unit </v>
          </cell>
          <cell r="H312">
            <v>1900000</v>
          </cell>
        </row>
        <row r="313">
          <cell r="F313" t="str">
            <v xml:space="preserve">Jockey Fire Pump Vertical Multi Stage 25 USGPM </v>
          </cell>
          <cell r="G313" t="str">
            <v xml:space="preserve">unit </v>
          </cell>
          <cell r="H313">
            <v>7400000</v>
          </cell>
        </row>
        <row r="314">
          <cell r="F314" t="str">
            <v xml:space="preserve">Main Fire Pump Centrifugal  End Suction 1.000 USGPM </v>
          </cell>
          <cell r="G314" t="str">
            <v xml:space="preserve">unit </v>
          </cell>
          <cell r="H314">
            <v>10000000</v>
          </cell>
        </row>
        <row r="315">
          <cell r="F315" t="str">
            <v xml:space="preserve">Diesel Fire Pump Centrifugal End Suction dan Aksesoris </v>
          </cell>
          <cell r="G315" t="str">
            <v xml:space="preserve">unit </v>
          </cell>
          <cell r="H315">
            <v>12000000</v>
          </cell>
        </row>
        <row r="316">
          <cell r="F316" t="str">
            <v xml:space="preserve">Main Fire Pump Centrifugal End Suction dan Aksesoris </v>
          </cell>
          <cell r="G316" t="str">
            <v xml:space="preserve">Unit </v>
          </cell>
          <cell r="H316">
            <v>14000000</v>
          </cell>
        </row>
        <row r="317">
          <cell r="F317" t="str">
            <v>Diesel Fire Pump Centrifugal End Suction dan Aksesoris</v>
          </cell>
          <cell r="G317" t="str">
            <v xml:space="preserve">unit </v>
          </cell>
          <cell r="H317">
            <v>12000000</v>
          </cell>
        </row>
        <row r="318">
          <cell r="F318" t="str">
            <v>Pipa PVC dia. 63 mm</v>
          </cell>
          <cell r="G318" t="str">
            <v>m'</v>
          </cell>
          <cell r="H318">
            <v>14750</v>
          </cell>
        </row>
        <row r="319">
          <cell r="F319" t="str">
            <v>Pipa PVC, DN. 2-1/2"
(65 mm)</v>
          </cell>
          <cell r="G319" t="str">
            <v>m'</v>
          </cell>
          <cell r="H319">
            <v>15000</v>
          </cell>
        </row>
        <row r="320">
          <cell r="F320" t="str">
            <v>Pipa PVC dia. 90 mm</v>
          </cell>
          <cell r="G320" t="str">
            <v>m'</v>
          </cell>
          <cell r="H320">
            <v>28600</v>
          </cell>
        </row>
        <row r="321">
          <cell r="F321" t="str">
            <v>Pipa PVC, DN. 3" (80
mm)</v>
          </cell>
          <cell r="G321" t="str">
            <v>m'</v>
          </cell>
          <cell r="H321">
            <v>29000</v>
          </cell>
        </row>
        <row r="322">
          <cell r="F322" t="str">
            <v>Pipa PVC dia. 110 mm</v>
          </cell>
          <cell r="G322" t="str">
            <v>m'</v>
          </cell>
          <cell r="H322">
            <v>39575</v>
          </cell>
        </row>
        <row r="323">
          <cell r="F323" t="str">
            <v>Pipa PVC, DN. 4" (100
mm)</v>
          </cell>
          <cell r="G323" t="str">
            <v>m'</v>
          </cell>
          <cell r="H323">
            <v>40000</v>
          </cell>
        </row>
        <row r="324">
          <cell r="F324" t="str">
            <v>Pipa PVC dia. 150 mm</v>
          </cell>
          <cell r="G324" t="str">
            <v>m'</v>
          </cell>
          <cell r="H324">
            <v>63200</v>
          </cell>
        </row>
        <row r="325">
          <cell r="F325" t="str">
            <v>Pipa PVC, DN. 6" (150
mm)</v>
          </cell>
          <cell r="G325" t="str">
            <v>m'</v>
          </cell>
          <cell r="H325">
            <v>64000</v>
          </cell>
        </row>
        <row r="326">
          <cell r="F326" t="str">
            <v>Pipa PVC dia. 200 mm</v>
          </cell>
          <cell r="G326" t="str">
            <v>m'</v>
          </cell>
          <cell r="H326">
            <v>139575</v>
          </cell>
        </row>
        <row r="327">
          <cell r="F327" t="str">
            <v>Pipa PVC, DN. 8" (200
mm)</v>
          </cell>
          <cell r="G327" t="str">
            <v>m'</v>
          </cell>
          <cell r="H327">
            <v>140000</v>
          </cell>
        </row>
        <row r="328">
          <cell r="F328" t="str">
            <v>Pipa PVC dia. 250 mm</v>
          </cell>
          <cell r="G328" t="str">
            <v>m'</v>
          </cell>
          <cell r="H328">
            <v>287500</v>
          </cell>
        </row>
        <row r="329">
          <cell r="F329" t="str">
            <v>Pipa PVC, DN. 10"
(250 mm)</v>
          </cell>
          <cell r="G329" t="str">
            <v>m'</v>
          </cell>
          <cell r="H329">
            <v>288000</v>
          </cell>
        </row>
        <row r="330">
          <cell r="F330" t="str">
            <v>Sewa Tripot</v>
          </cell>
          <cell r="G330" t="str">
            <v xml:space="preserve">hari </v>
          </cell>
          <cell r="H330">
            <v>108000</v>
          </cell>
        </row>
        <row r="331">
          <cell r="F331" t="str">
            <v>Pipa PVC dia. 300 mm</v>
          </cell>
          <cell r="G331" t="str">
            <v>m'</v>
          </cell>
          <cell r="H331">
            <v>305000</v>
          </cell>
        </row>
        <row r="332">
          <cell r="F332" t="str">
            <v>Pipa PVC, DN. 12"
(300 mm)</v>
          </cell>
          <cell r="G332" t="str">
            <v>m'</v>
          </cell>
          <cell r="H332">
            <v>306000</v>
          </cell>
        </row>
        <row r="333">
          <cell r="F333" t="str">
            <v>Pipa PVC dia. 400 mm</v>
          </cell>
          <cell r="G333" t="str">
            <v>m'</v>
          </cell>
          <cell r="H333">
            <v>336700</v>
          </cell>
        </row>
        <row r="334">
          <cell r="F334" t="str">
            <v>Pipa PVC, DN. 16"
(400 mm)</v>
          </cell>
          <cell r="G334" t="str">
            <v>m'</v>
          </cell>
          <cell r="H334">
            <v>337000</v>
          </cell>
        </row>
        <row r="335">
          <cell r="F335" t="str">
            <v>Pipa PVC dia. 450 mm</v>
          </cell>
          <cell r="G335" t="str">
            <v>m'</v>
          </cell>
          <cell r="H335">
            <v>368000</v>
          </cell>
        </row>
        <row r="336">
          <cell r="F336" t="str">
            <v>Pipa PVC, DN. 18"
(450 mm)</v>
          </cell>
          <cell r="G336" t="str">
            <v>m'</v>
          </cell>
          <cell r="H336">
            <v>369000</v>
          </cell>
        </row>
        <row r="337">
          <cell r="F337" t="str">
            <v>Pipa PVC dia. 500 mm</v>
          </cell>
          <cell r="G337" t="str">
            <v>m'</v>
          </cell>
          <cell r="H337">
            <v>398500</v>
          </cell>
        </row>
        <row r="338">
          <cell r="F338" t="str">
            <v>Pipa PVC, DN. 20"
(500 mm)</v>
          </cell>
          <cell r="G338" t="str">
            <v>m'</v>
          </cell>
          <cell r="H338">
            <v>399000</v>
          </cell>
        </row>
        <row r="339">
          <cell r="F339" t="str">
            <v>Pipa PVC dia. 600 mm</v>
          </cell>
          <cell r="G339" t="str">
            <v>m'</v>
          </cell>
          <cell r="H339">
            <v>425000</v>
          </cell>
        </row>
        <row r="340">
          <cell r="F340" t="str">
            <v>Pipa PVC, DN. 24"
(600 mm)</v>
          </cell>
          <cell r="G340" t="str">
            <v>m'</v>
          </cell>
          <cell r="H340">
            <v>426000</v>
          </cell>
        </row>
        <row r="341">
          <cell r="F341" t="str">
            <v>Pipa PVC dia. 800 mm</v>
          </cell>
          <cell r="G341" t="str">
            <v>m'</v>
          </cell>
          <cell r="H341">
            <v>487000</v>
          </cell>
        </row>
        <row r="342">
          <cell r="F342" t="str">
            <v>Pipa PVC, DN. 32"
(800 mm</v>
          </cell>
          <cell r="G342" t="str">
            <v>m'</v>
          </cell>
          <cell r="H342">
            <v>488000</v>
          </cell>
        </row>
        <row r="343">
          <cell r="F343" t="str">
            <v>Pipa PVC dia. 900 mm</v>
          </cell>
          <cell r="G343" t="str">
            <v>m'</v>
          </cell>
          <cell r="H343">
            <v>515000</v>
          </cell>
        </row>
        <row r="344">
          <cell r="F344" t="str">
            <v>Pipa PVC, DN. 36"
(900 mm</v>
          </cell>
          <cell r="G344" t="str">
            <v>m'</v>
          </cell>
          <cell r="H344">
            <v>516000</v>
          </cell>
        </row>
        <row r="345">
          <cell r="F345" t="str">
            <v>Pipa PVC dia. 1000 mm</v>
          </cell>
          <cell r="G345" t="str">
            <v>m'</v>
          </cell>
          <cell r="H345">
            <v>547000</v>
          </cell>
        </row>
        <row r="346">
          <cell r="F346" t="str">
            <v>Pipa PVC, DN. 40"
(1000 mm)</v>
          </cell>
          <cell r="G346" t="str">
            <v>m'</v>
          </cell>
          <cell r="H346">
            <v>548000</v>
          </cell>
        </row>
        <row r="347">
          <cell r="F347" t="str">
            <v>Pipa PVC dia. 1100 mm</v>
          </cell>
          <cell r="G347" t="str">
            <v>m'</v>
          </cell>
          <cell r="H347">
            <v>589000</v>
          </cell>
        </row>
        <row r="348">
          <cell r="F348" t="str">
            <v>Pipa PVC, DN. 44"
(1100 mm)</v>
          </cell>
          <cell r="G348" t="str">
            <v>m'</v>
          </cell>
          <cell r="H348">
            <v>590000</v>
          </cell>
        </row>
        <row r="349">
          <cell r="F349" t="str">
            <v>Pipa PVC dia. 1200 mm</v>
          </cell>
          <cell r="G349" t="str">
            <v>m'</v>
          </cell>
          <cell r="H349">
            <v>617000</v>
          </cell>
        </row>
        <row r="350">
          <cell r="F350" t="str">
            <v>Pipa PVC, DN. 48"
(1200 mm)</v>
          </cell>
          <cell r="G350" t="str">
            <v>m'</v>
          </cell>
          <cell r="H350">
            <v>618000</v>
          </cell>
        </row>
        <row r="351">
          <cell r="F351" t="str">
            <v>Pipa PVC dia. 15 mm</v>
          </cell>
          <cell r="G351" t="str">
            <v>m'</v>
          </cell>
          <cell r="H351">
            <v>5200</v>
          </cell>
        </row>
        <row r="352">
          <cell r="F352" t="str">
            <v>Pipa PVC, DN. 1/2"
(15 mm)</v>
          </cell>
          <cell r="G352" t="str">
            <v>m'</v>
          </cell>
          <cell r="H352">
            <v>5300</v>
          </cell>
        </row>
        <row r="353">
          <cell r="F353" t="str">
            <v>Pipa PVC dia. 20 mm</v>
          </cell>
          <cell r="G353" t="str">
            <v>m'</v>
          </cell>
          <cell r="H353">
            <v>7500</v>
          </cell>
        </row>
        <row r="354">
          <cell r="F354" t="str">
            <v>Pipa PVC, DN. 3/4"
(20 mm)</v>
          </cell>
          <cell r="G354" t="str">
            <v>m'</v>
          </cell>
          <cell r="H354">
            <v>7600</v>
          </cell>
        </row>
        <row r="355">
          <cell r="F355" t="str">
            <v>Pipa PVC dia. 25 mm</v>
          </cell>
          <cell r="G355" t="str">
            <v>m'</v>
          </cell>
          <cell r="H355">
            <v>8300</v>
          </cell>
        </row>
        <row r="356">
          <cell r="F356" t="str">
            <v>Pipa PVC, DN. 1" (25 mm)</v>
          </cell>
          <cell r="G356" t="str">
            <v>m'</v>
          </cell>
          <cell r="H356">
            <v>8400</v>
          </cell>
        </row>
        <row r="357">
          <cell r="F357" t="str">
            <v>Pipa PVC dia. 32 mm</v>
          </cell>
          <cell r="G357" t="str">
            <v>m'</v>
          </cell>
          <cell r="H357">
            <v>9700</v>
          </cell>
        </row>
        <row r="358">
          <cell r="F358" t="str">
            <v>Pipa PVC, DN. 1-1/4"
(32 mm</v>
          </cell>
          <cell r="G358" t="str">
            <v>m'</v>
          </cell>
          <cell r="H358">
            <v>10000</v>
          </cell>
        </row>
        <row r="359">
          <cell r="F359" t="str">
            <v>Pipa PVC dia. 40 mm</v>
          </cell>
          <cell r="G359" t="str">
            <v>m'</v>
          </cell>
          <cell r="H359">
            <v>10500</v>
          </cell>
        </row>
        <row r="360">
          <cell r="F360" t="str">
            <v>Pipa PVC, DN. 1-1/2"
(40 mm)</v>
          </cell>
          <cell r="G360" t="str">
            <v>m'</v>
          </cell>
          <cell r="H360">
            <v>10600</v>
          </cell>
        </row>
        <row r="361">
          <cell r="F361" t="str">
            <v>Pipa PVC dia. 50 mm</v>
          </cell>
          <cell r="G361" t="str">
            <v>m'</v>
          </cell>
          <cell r="H361">
            <v>13700</v>
          </cell>
        </row>
        <row r="362">
          <cell r="F362" t="str">
            <v>Pipa PVC, DN. 2" (50 mm)</v>
          </cell>
          <cell r="G362" t="str">
            <v>m'</v>
          </cell>
          <cell r="H362">
            <v>13800</v>
          </cell>
        </row>
        <row r="363">
          <cell r="F363" t="str">
            <v>Gergaji Pipa</v>
          </cell>
          <cell r="G363" t="str">
            <v xml:space="preserve">hari </v>
          </cell>
          <cell r="H363">
            <v>32500</v>
          </cell>
        </row>
        <row r="364">
          <cell r="F364" t="str">
            <v>Peralatan potong pipa
T1/manual (gergaji) /
saw</v>
          </cell>
          <cell r="G364" t="str">
            <v xml:space="preserve">hari </v>
          </cell>
          <cell r="H364">
            <v>35000</v>
          </cell>
        </row>
        <row r="365">
          <cell r="F365" t="str">
            <v>Pipa Galvanis dia. 63 mm</v>
          </cell>
          <cell r="G365" t="str">
            <v>m'</v>
          </cell>
          <cell r="H365">
            <v>183333.33333333334</v>
          </cell>
        </row>
        <row r="366">
          <cell r="F366" t="str">
            <v>Pipa Galvanis, DN. 2-
1/2" (65 mm)</v>
          </cell>
          <cell r="G366" t="str">
            <v>m'</v>
          </cell>
          <cell r="H366">
            <v>185000</v>
          </cell>
        </row>
        <row r="367">
          <cell r="F367" t="str">
            <v>Pipa Galvanis dia. 100 mm</v>
          </cell>
          <cell r="G367" t="str">
            <v>m'</v>
          </cell>
          <cell r="H367">
            <v>309000</v>
          </cell>
        </row>
        <row r="368">
          <cell r="F368" t="str">
            <v>Pipa Galvanis, DN. 4"
(100 mm)</v>
          </cell>
          <cell r="G368" t="str">
            <v>m'</v>
          </cell>
          <cell r="H368">
            <v>310000</v>
          </cell>
        </row>
        <row r="369">
          <cell r="F369" t="str">
            <v>Pipa Galvanis dia. 125 mm</v>
          </cell>
          <cell r="G369" t="str">
            <v>m'</v>
          </cell>
          <cell r="H369">
            <v>435000</v>
          </cell>
        </row>
        <row r="370">
          <cell r="F370" t="str">
            <v>Pipa Galvanis, DN. 5"
(125 mm)</v>
          </cell>
          <cell r="G370" t="str">
            <v>m'</v>
          </cell>
          <cell r="H370">
            <v>436000</v>
          </cell>
        </row>
        <row r="371">
          <cell r="F371" t="str">
            <v>Pipa Galvanis dia. 150 mm</v>
          </cell>
          <cell r="G371" t="str">
            <v>m'</v>
          </cell>
          <cell r="H371">
            <v>395000</v>
          </cell>
        </row>
        <row r="372">
          <cell r="F372" t="str">
            <v>Pipa Galvanis, DN. 6"
(150 mm)</v>
          </cell>
          <cell r="G372" t="str">
            <v>m'</v>
          </cell>
          <cell r="H372">
            <v>396000</v>
          </cell>
        </row>
        <row r="373">
          <cell r="F373" t="str">
            <v>Pipa Galvanis dia. 200 mm</v>
          </cell>
          <cell r="G373" t="str">
            <v>m'</v>
          </cell>
          <cell r="H373">
            <v>417000</v>
          </cell>
        </row>
        <row r="374">
          <cell r="F374" t="str">
            <v>Pipa Galvanis, DN. 8"
(200 mm)</v>
          </cell>
          <cell r="G374" t="str">
            <v>m'</v>
          </cell>
          <cell r="H374">
            <v>418000</v>
          </cell>
        </row>
        <row r="375">
          <cell r="F375" t="str">
            <v>Pipa Galvanis dia. 250 mm</v>
          </cell>
          <cell r="G375" t="str">
            <v>m'</v>
          </cell>
          <cell r="H375">
            <v>467000</v>
          </cell>
        </row>
        <row r="376">
          <cell r="F376" t="str">
            <v>Pipa Galvanis,
DN.10" (250 mm)</v>
          </cell>
          <cell r="G376" t="str">
            <v>m'</v>
          </cell>
          <cell r="H376">
            <v>468000</v>
          </cell>
        </row>
        <row r="377">
          <cell r="F377" t="str">
            <v>Pipa Galvanis dia. 300 mm</v>
          </cell>
          <cell r="G377" t="str">
            <v>m'</v>
          </cell>
          <cell r="H377">
            <v>512000</v>
          </cell>
        </row>
        <row r="378">
          <cell r="F378" t="str">
            <v>Pipa Galvanis, DN. 12"
(300 mm</v>
          </cell>
          <cell r="G378" t="str">
            <v>m'</v>
          </cell>
          <cell r="H378">
            <v>513000</v>
          </cell>
        </row>
        <row r="379">
          <cell r="F379" t="str">
            <v>Pipa Galvanis dia. 400 mm</v>
          </cell>
          <cell r="G379" t="str">
            <v>m'</v>
          </cell>
          <cell r="H379">
            <v>593000</v>
          </cell>
        </row>
        <row r="380">
          <cell r="F380" t="str">
            <v>Pipa Galvanis, DN. 16"
(400 mm)</v>
          </cell>
          <cell r="G380" t="str">
            <v>m'</v>
          </cell>
          <cell r="H380">
            <v>594000</v>
          </cell>
        </row>
        <row r="381">
          <cell r="F381" t="str">
            <v>Pipa Galvanis dia. 450 mm</v>
          </cell>
          <cell r="G381" t="str">
            <v>m'</v>
          </cell>
          <cell r="H381">
            <v>612000</v>
          </cell>
        </row>
        <row r="382">
          <cell r="F382" t="str">
            <v>Pipa Galvanis, DN. 18"
(450 mm</v>
          </cell>
          <cell r="G382" t="str">
            <v>m'</v>
          </cell>
          <cell r="H382">
            <v>61300</v>
          </cell>
        </row>
        <row r="383">
          <cell r="F383" t="str">
            <v>Pipa Galvanis dia. 500 mm</v>
          </cell>
          <cell r="G383" t="str">
            <v>m'</v>
          </cell>
          <cell r="H383">
            <v>655000</v>
          </cell>
        </row>
        <row r="384">
          <cell r="F384" t="str">
            <v>Pipa Galvanis, DN. 20"
(500 mm)</v>
          </cell>
          <cell r="G384" t="str">
            <v>m'</v>
          </cell>
          <cell r="H384">
            <v>656000</v>
          </cell>
        </row>
        <row r="385">
          <cell r="F385" t="str">
            <v>Pipa Galvanis dia. 600 mm</v>
          </cell>
          <cell r="G385" t="str">
            <v>m'</v>
          </cell>
          <cell r="H385">
            <v>697000</v>
          </cell>
        </row>
        <row r="386">
          <cell r="F386" t="str">
            <v>Pipa Galvanis, DN. 24" (600 mm)</v>
          </cell>
          <cell r="G386" t="str">
            <v>m'</v>
          </cell>
          <cell r="H386">
            <v>698000</v>
          </cell>
        </row>
        <row r="387">
          <cell r="F387" t="str">
            <v>Pipa Galvanis dia. 800 mm</v>
          </cell>
          <cell r="G387" t="str">
            <v>m'</v>
          </cell>
          <cell r="H387">
            <v>715000</v>
          </cell>
        </row>
        <row r="388">
          <cell r="F388" t="str">
            <v>Pipa Galvanis, DN. 32" (800 mm)</v>
          </cell>
          <cell r="G388" t="str">
            <v>m'</v>
          </cell>
          <cell r="H388">
            <v>716000</v>
          </cell>
        </row>
        <row r="389">
          <cell r="F389" t="str">
            <v>Pipa Galvanis dia. 900 mm</v>
          </cell>
          <cell r="G389" t="str">
            <v>m'</v>
          </cell>
          <cell r="H389">
            <v>756000</v>
          </cell>
        </row>
        <row r="390">
          <cell r="F390" t="str">
            <v>Pipa Galvanis, DN. 36" (900 mm)</v>
          </cell>
          <cell r="G390" t="str">
            <v>m'</v>
          </cell>
          <cell r="H390">
            <v>757000</v>
          </cell>
        </row>
        <row r="391">
          <cell r="F391" t="str">
            <v>Pipa Galvanis dia. 1000 mm</v>
          </cell>
          <cell r="G391" t="str">
            <v>m'</v>
          </cell>
          <cell r="H391">
            <v>799000</v>
          </cell>
        </row>
        <row r="392">
          <cell r="F392" t="str">
            <v>Pipa Galvanis,
DN. 40" (1000 mm)</v>
          </cell>
          <cell r="G392" t="str">
            <v>m'</v>
          </cell>
          <cell r="H392">
            <v>780000</v>
          </cell>
        </row>
        <row r="393">
          <cell r="F393" t="str">
            <v>Pipa Galvanis dia. 1100 mm</v>
          </cell>
          <cell r="G393" t="str">
            <v>m'</v>
          </cell>
          <cell r="H393">
            <v>830000</v>
          </cell>
        </row>
        <row r="394">
          <cell r="F394" t="str">
            <v>Pipa Galvanis,
DN. 44" (1100 mm)</v>
          </cell>
          <cell r="G394" t="str">
            <v>m'</v>
          </cell>
          <cell r="H394">
            <v>831000</v>
          </cell>
        </row>
        <row r="395">
          <cell r="F395" t="str">
            <v>Pipa Galvanis dia. 1200 mm</v>
          </cell>
          <cell r="G395" t="str">
            <v>m'</v>
          </cell>
          <cell r="H395">
            <v>867000</v>
          </cell>
        </row>
        <row r="396">
          <cell r="F396" t="str">
            <v>Pipa Galvanis,
DN. 48" (1200 mm</v>
          </cell>
          <cell r="G396" t="str">
            <v>m'</v>
          </cell>
          <cell r="H396">
            <v>868000</v>
          </cell>
        </row>
        <row r="397">
          <cell r="F397" t="str">
            <v>Pipa Galvanis dia. 15 mm</v>
          </cell>
          <cell r="G397" t="str">
            <v>m'</v>
          </cell>
          <cell r="H397">
            <v>51000</v>
          </cell>
        </row>
        <row r="398">
          <cell r="F398" t="str">
            <v>Pipa Galvanis,
DN. 1/2" (15 mm)</v>
          </cell>
          <cell r="G398" t="str">
            <v>m'</v>
          </cell>
          <cell r="H398">
            <v>52000</v>
          </cell>
        </row>
        <row r="399">
          <cell r="F399" t="str">
            <v>Pipa Galvanis dia. 20 mm</v>
          </cell>
          <cell r="G399" t="str">
            <v>m'</v>
          </cell>
          <cell r="H399">
            <v>67000</v>
          </cell>
        </row>
        <row r="400">
          <cell r="F400" t="str">
            <v>Pipa Galvanis,
DN. 3/4" (20 mm)</v>
          </cell>
          <cell r="G400" t="str">
            <v>m'</v>
          </cell>
          <cell r="H400">
            <v>68000</v>
          </cell>
        </row>
        <row r="401">
          <cell r="F401" t="str">
            <v>Pipa Galvanis dia. 25 mm</v>
          </cell>
          <cell r="G401" t="str">
            <v>m'</v>
          </cell>
          <cell r="H401">
            <v>71000</v>
          </cell>
        </row>
        <row r="402">
          <cell r="F402" t="str">
            <v>Pipa Galvanis, DN. 1"
(25 mm)</v>
          </cell>
          <cell r="G402" t="str">
            <v>m'</v>
          </cell>
          <cell r="H402">
            <v>72000</v>
          </cell>
        </row>
        <row r="403">
          <cell r="F403" t="str">
            <v>Pipa Galvanis dia. 32 mm</v>
          </cell>
          <cell r="G403" t="str">
            <v>m'</v>
          </cell>
          <cell r="H403">
            <v>79000</v>
          </cell>
        </row>
        <row r="404">
          <cell r="F404" t="str">
            <v>Pipa Galvanis,
DN. 1-1/4" (32 mm)</v>
          </cell>
          <cell r="G404" t="str">
            <v>m'</v>
          </cell>
          <cell r="H404">
            <v>80000</v>
          </cell>
        </row>
        <row r="405">
          <cell r="F405" t="str">
            <v>Pipa Galvanis dia. 40 mm</v>
          </cell>
          <cell r="G405" t="str">
            <v>m'</v>
          </cell>
          <cell r="H405">
            <v>86000</v>
          </cell>
        </row>
        <row r="406">
          <cell r="F406" t="str">
            <v>Pipa Galvanis,
DN. 1-1/2" (40 mm)</v>
          </cell>
          <cell r="G406" t="str">
            <v>m'</v>
          </cell>
          <cell r="H406">
            <v>87000</v>
          </cell>
        </row>
        <row r="407">
          <cell r="F407" t="str">
            <v>Pipa Galvanis dia. 50 mm</v>
          </cell>
          <cell r="G407" t="str">
            <v>m'</v>
          </cell>
          <cell r="H407">
            <v>94000</v>
          </cell>
        </row>
        <row r="408">
          <cell r="F408" t="str">
            <v>Pipa Galvanis, DN. 2"
(50 mm</v>
          </cell>
          <cell r="G408" t="str">
            <v>m'</v>
          </cell>
          <cell r="H408">
            <v>95000</v>
          </cell>
        </row>
        <row r="409">
          <cell r="F409" t="str">
            <v>Cilinder Saw</v>
          </cell>
          <cell r="G409" t="str">
            <v xml:space="preserve">hari </v>
          </cell>
          <cell r="H409">
            <v>75000</v>
          </cell>
        </row>
        <row r="410">
          <cell r="F410" t="str">
            <v>Peralatan potong pipa
T2/mekanik / cilinder saw</v>
          </cell>
          <cell r="G410" t="str">
            <v xml:space="preserve">hari </v>
          </cell>
          <cell r="H410">
            <v>75000</v>
          </cell>
        </row>
        <row r="411">
          <cell r="F411" t="str">
            <v>Pipa HDPE dia. 63 mm</v>
          </cell>
          <cell r="G411" t="str">
            <v>m'</v>
          </cell>
          <cell r="H411">
            <v>24700</v>
          </cell>
        </row>
        <row r="412">
          <cell r="F412" t="str">
            <v>Pipa HDPE, DN. 2-1/2"
(65 mm)</v>
          </cell>
          <cell r="G412" t="str">
            <v>m'</v>
          </cell>
          <cell r="H412">
            <v>25000</v>
          </cell>
        </row>
        <row r="413">
          <cell r="F413" t="str">
            <v>Pipa HDPE dia. 100 mm</v>
          </cell>
          <cell r="G413" t="str">
            <v>m'</v>
          </cell>
          <cell r="H413">
            <v>49000</v>
          </cell>
        </row>
        <row r="414">
          <cell r="F414" t="str">
            <v>Pipa HDPE, DN. 4"
(100 mm)</v>
          </cell>
          <cell r="G414" t="str">
            <v>m'</v>
          </cell>
          <cell r="H414">
            <v>50000</v>
          </cell>
        </row>
        <row r="415">
          <cell r="F415" t="str">
            <v>Pipa HDPE dia. 125 mm</v>
          </cell>
          <cell r="G415" t="str">
            <v>m'</v>
          </cell>
          <cell r="H415">
            <v>57000</v>
          </cell>
        </row>
        <row r="416">
          <cell r="F416" t="str">
            <v>Pipa HDPE, DN. 5"
(125 mm)</v>
          </cell>
          <cell r="G416" t="str">
            <v>m'</v>
          </cell>
          <cell r="H416">
            <v>58000</v>
          </cell>
        </row>
        <row r="417">
          <cell r="F417" t="str">
            <v>Pipa HDPE dia. 150 mm</v>
          </cell>
          <cell r="G417" t="str">
            <v>m'</v>
          </cell>
          <cell r="H417">
            <v>63000</v>
          </cell>
        </row>
        <row r="418">
          <cell r="F418" t="str">
            <v>Pipa HDPE, DN. 6"
(150 mm</v>
          </cell>
          <cell r="G418" t="str">
            <v>m'</v>
          </cell>
          <cell r="H418">
            <v>64000</v>
          </cell>
        </row>
        <row r="419">
          <cell r="F419" t="str">
            <v>Pipa HDPE dia. 200 mm</v>
          </cell>
          <cell r="G419" t="str">
            <v>m'</v>
          </cell>
          <cell r="H419">
            <v>74000</v>
          </cell>
        </row>
        <row r="420">
          <cell r="F420" t="str">
            <v>Pipa HDPE, DN. 8"
(200 mm)</v>
          </cell>
          <cell r="G420" t="str">
            <v>m'</v>
          </cell>
          <cell r="H420">
            <v>75000</v>
          </cell>
        </row>
        <row r="421">
          <cell r="F421" t="str">
            <v>Pipa HDPE dia. 250 mm</v>
          </cell>
          <cell r="G421" t="str">
            <v>m'</v>
          </cell>
          <cell r="H421">
            <v>81000</v>
          </cell>
        </row>
        <row r="422">
          <cell r="F422" t="str">
            <v>Pipa HDPE, DN.10"
(250 mm)</v>
          </cell>
          <cell r="G422" t="str">
            <v>m'</v>
          </cell>
          <cell r="H422">
            <v>82000</v>
          </cell>
        </row>
        <row r="423">
          <cell r="F423" t="str">
            <v>Pipa HDPE dia. 300 mm</v>
          </cell>
          <cell r="G423" t="str">
            <v>m'</v>
          </cell>
          <cell r="H423">
            <v>93000</v>
          </cell>
        </row>
        <row r="424">
          <cell r="F424" t="str">
            <v>Pipa HDPE, DN. 12"
(300 mm</v>
          </cell>
          <cell r="G424" t="str">
            <v>m'</v>
          </cell>
          <cell r="H424">
            <v>94000</v>
          </cell>
        </row>
        <row r="425">
          <cell r="F425" t="str">
            <v>Pipa HDPE dia. 400 mm</v>
          </cell>
          <cell r="G425" t="str">
            <v>m'</v>
          </cell>
          <cell r="H425">
            <v>101000</v>
          </cell>
        </row>
        <row r="426">
          <cell r="F426" t="str">
            <v>Pipa HDPE, DN. 16"
(400 mm)</v>
          </cell>
          <cell r="G426" t="str">
            <v>m'</v>
          </cell>
          <cell r="H426">
            <v>102000</v>
          </cell>
        </row>
        <row r="427">
          <cell r="F427" t="str">
            <v>Pipa HDPE dia. 450 mm</v>
          </cell>
          <cell r="G427" t="str">
            <v>m'</v>
          </cell>
          <cell r="H427">
            <v>123000</v>
          </cell>
        </row>
        <row r="428">
          <cell r="F428" t="str">
            <v>Pipa HDPE, DN. 18"
(450 mm)</v>
          </cell>
          <cell r="G428" t="str">
            <v>m'</v>
          </cell>
          <cell r="H428">
            <v>124000</v>
          </cell>
        </row>
        <row r="429">
          <cell r="F429" t="str">
            <v>Pipa HDPE dia. 500 mm</v>
          </cell>
          <cell r="G429" t="str">
            <v>m'</v>
          </cell>
          <cell r="H429">
            <v>142000</v>
          </cell>
        </row>
        <row r="430">
          <cell r="F430" t="str">
            <v>Pipa HDPE, DN. 20"
(500 mm)</v>
          </cell>
          <cell r="G430" t="str">
            <v>m'</v>
          </cell>
          <cell r="H430">
            <v>143000</v>
          </cell>
        </row>
        <row r="431">
          <cell r="F431" t="str">
            <v>Pipa HDPE dia. 600 mm</v>
          </cell>
          <cell r="G431" t="str">
            <v>m'</v>
          </cell>
          <cell r="H431">
            <v>156000</v>
          </cell>
        </row>
        <row r="432">
          <cell r="F432" t="str">
            <v>Pipa HDPE, DN. 24"
(600 mm</v>
          </cell>
          <cell r="G432" t="str">
            <v>m'</v>
          </cell>
          <cell r="H432">
            <v>157000</v>
          </cell>
        </row>
        <row r="433">
          <cell r="F433" t="str">
            <v>Pipa HDPE dia. 800 mm</v>
          </cell>
          <cell r="G433" t="str">
            <v>m'</v>
          </cell>
          <cell r="H433">
            <v>164000</v>
          </cell>
        </row>
        <row r="434">
          <cell r="F434" t="str">
            <v>Pipa HDPE, DN. 32"
(800 mm)</v>
          </cell>
          <cell r="G434" t="str">
            <v>m'</v>
          </cell>
          <cell r="H434">
            <v>165000</v>
          </cell>
        </row>
        <row r="435">
          <cell r="F435" t="str">
            <v>Pipa HDPE dia. 900 mm</v>
          </cell>
          <cell r="G435" t="str">
            <v>m'</v>
          </cell>
          <cell r="H435">
            <v>172000</v>
          </cell>
        </row>
        <row r="436">
          <cell r="F436" t="str">
            <v>Pipa HDPE, DN. 36"
(900 mm)</v>
          </cell>
          <cell r="G436" t="str">
            <v>m'</v>
          </cell>
          <cell r="H436">
            <v>173000</v>
          </cell>
        </row>
        <row r="437">
          <cell r="F437" t="str">
            <v>Pipa HDPE dia. 1000 mm</v>
          </cell>
          <cell r="G437" t="str">
            <v>m'</v>
          </cell>
          <cell r="H437">
            <v>186000</v>
          </cell>
        </row>
        <row r="438">
          <cell r="F438" t="str">
            <v>Pipa HDPE, DN. 40"
(1000 mm)</v>
          </cell>
          <cell r="G438" t="str">
            <v>m'</v>
          </cell>
          <cell r="H438">
            <v>187000</v>
          </cell>
        </row>
        <row r="439">
          <cell r="F439" t="str">
            <v>Pipa HDPE dia. 1100 mm</v>
          </cell>
          <cell r="G439" t="str">
            <v>m'</v>
          </cell>
          <cell r="H439">
            <v>197000</v>
          </cell>
        </row>
        <row r="440">
          <cell r="F440" t="str">
            <v>Pipa HDPE, DN. 44"
(1100 mm)</v>
          </cell>
          <cell r="G440" t="str">
            <v>m'</v>
          </cell>
          <cell r="H440">
            <v>198000</v>
          </cell>
        </row>
        <row r="441">
          <cell r="F441" t="str">
            <v>Pipa HDPE dia. 1200 mm</v>
          </cell>
          <cell r="G441" t="str">
            <v>m'</v>
          </cell>
          <cell r="H441">
            <v>215000</v>
          </cell>
        </row>
        <row r="442">
          <cell r="F442" t="str">
            <v>Pipa HDPE, DN. 48"
(1200 mm)</v>
          </cell>
          <cell r="G442" t="str">
            <v>m'</v>
          </cell>
          <cell r="H442">
            <v>216000</v>
          </cell>
        </row>
        <row r="443">
          <cell r="F443" t="str">
            <v>Pipa HDPE dia. 15 mm</v>
          </cell>
          <cell r="G443" t="str">
            <v>m'</v>
          </cell>
          <cell r="H443">
            <v>12500</v>
          </cell>
        </row>
        <row r="444">
          <cell r="F444" t="str">
            <v>Pipa HDPE, DN. 1/2"
(15 mm)</v>
          </cell>
          <cell r="G444" t="str">
            <v>m'</v>
          </cell>
          <cell r="H444">
            <v>13000</v>
          </cell>
        </row>
        <row r="445">
          <cell r="F445" t="str">
            <v>Pipa HDPE dia. 20 mm</v>
          </cell>
          <cell r="G445" t="str">
            <v>m'</v>
          </cell>
          <cell r="H445">
            <v>17900</v>
          </cell>
        </row>
        <row r="446">
          <cell r="F446" t="str">
            <v>Pipa HDPE, DN. 3/4"
(20 mm)</v>
          </cell>
          <cell r="G446" t="str">
            <v>m'</v>
          </cell>
          <cell r="H446">
            <v>18000</v>
          </cell>
        </row>
        <row r="447">
          <cell r="F447" t="str">
            <v>Pipa HDPE dia. 25 mm</v>
          </cell>
          <cell r="G447" t="str">
            <v>m'</v>
          </cell>
          <cell r="H447">
            <v>20700</v>
          </cell>
        </row>
        <row r="448">
          <cell r="F448" t="str">
            <v>Pipa HDPE, DN. 1"
(25 mm)</v>
          </cell>
          <cell r="G448" t="str">
            <v>m'</v>
          </cell>
          <cell r="H448">
            <v>21000</v>
          </cell>
        </row>
        <row r="449">
          <cell r="F449" t="str">
            <v>Pipa HDPE dia. 32 mm</v>
          </cell>
          <cell r="G449" t="str">
            <v>m'</v>
          </cell>
          <cell r="H449">
            <v>21300</v>
          </cell>
        </row>
        <row r="450">
          <cell r="F450" t="str">
            <v>Pipa HDPE,
DN. 1-1/4" (32 mm)</v>
          </cell>
          <cell r="G450" t="str">
            <v>m'</v>
          </cell>
          <cell r="H450">
            <v>22000</v>
          </cell>
        </row>
        <row r="451">
          <cell r="F451" t="str">
            <v>Pipa HDPE dia. 40 mm</v>
          </cell>
          <cell r="G451" t="str">
            <v>m'</v>
          </cell>
          <cell r="H451">
            <v>22500</v>
          </cell>
        </row>
        <row r="452">
          <cell r="F452" t="str">
            <v>Pipa HDPE,
DN. 1-1/2" (40 mm)</v>
          </cell>
          <cell r="G452" t="str">
            <v>m'</v>
          </cell>
          <cell r="H452">
            <v>23000</v>
          </cell>
        </row>
        <row r="453">
          <cell r="F453" t="str">
            <v>Pipa HDPE dia. 50 mm</v>
          </cell>
          <cell r="G453" t="str">
            <v>m'</v>
          </cell>
          <cell r="H453">
            <v>23100</v>
          </cell>
        </row>
        <row r="454">
          <cell r="F454" t="str">
            <v>Pipa HDPE, DN. 2"
(50 mm)</v>
          </cell>
          <cell r="G454" t="str">
            <v>m'</v>
          </cell>
          <cell r="H454">
            <v>24000</v>
          </cell>
        </row>
        <row r="455">
          <cell r="F455" t="str">
            <v>Pipa Baja dia. 63 mm</v>
          </cell>
          <cell r="G455" t="str">
            <v>m'</v>
          </cell>
          <cell r="H455">
            <v>520000</v>
          </cell>
        </row>
        <row r="456">
          <cell r="F456" t="str">
            <v>Pipa Baja Karbon, DN.
2-1/2" (65 mm)</v>
          </cell>
          <cell r="G456" t="str">
            <v>m'</v>
          </cell>
          <cell r="H456">
            <v>525000</v>
          </cell>
        </row>
        <row r="457">
          <cell r="F457" t="str">
            <v>Pipa Baja dia. 100 mm</v>
          </cell>
          <cell r="G457" t="str">
            <v>m'</v>
          </cell>
          <cell r="H457">
            <v>645000</v>
          </cell>
        </row>
        <row r="458">
          <cell r="F458" t="str">
            <v>Pipa Baja Karbon, DN.
4" (100 mm)</v>
          </cell>
          <cell r="G458" t="str">
            <v>m'</v>
          </cell>
          <cell r="H458">
            <v>650000</v>
          </cell>
        </row>
        <row r="459">
          <cell r="F459" t="str">
            <v>Pipa Baja dia. 125 mm</v>
          </cell>
          <cell r="G459" t="str">
            <v>m'</v>
          </cell>
          <cell r="H459">
            <v>766000</v>
          </cell>
        </row>
        <row r="460">
          <cell r="F460" t="str">
            <v>Pipa Baja Karbon, DN.
5" (125 mm)</v>
          </cell>
          <cell r="G460" t="str">
            <v>m'</v>
          </cell>
          <cell r="H460">
            <v>770000</v>
          </cell>
        </row>
        <row r="461">
          <cell r="F461" t="str">
            <v>Pipa Baja dia. 150 mm</v>
          </cell>
          <cell r="G461" t="str">
            <v>m'</v>
          </cell>
          <cell r="H461">
            <v>810000</v>
          </cell>
        </row>
        <row r="462">
          <cell r="F462" t="str">
            <v>Pipa Baja Karbon, DN.
6" (150 mm)</v>
          </cell>
          <cell r="G462" t="str">
            <v>m'</v>
          </cell>
          <cell r="H462">
            <v>815000</v>
          </cell>
        </row>
        <row r="463">
          <cell r="F463" t="str">
            <v>Pipa Baja dia. 200 mm</v>
          </cell>
          <cell r="G463" t="str">
            <v>m'</v>
          </cell>
          <cell r="H463">
            <v>890000</v>
          </cell>
        </row>
        <row r="464">
          <cell r="F464" t="str">
            <v>Pipa Baja Karbon, DN.
8" (200 mm)</v>
          </cell>
          <cell r="G464" t="str">
            <v>m'</v>
          </cell>
          <cell r="H464">
            <v>895000</v>
          </cell>
        </row>
        <row r="465">
          <cell r="F465" t="str">
            <v>Pipa Baja dia. 250 mm</v>
          </cell>
          <cell r="G465" t="str">
            <v>m'</v>
          </cell>
          <cell r="H465">
            <v>940000</v>
          </cell>
        </row>
        <row r="466">
          <cell r="F466" t="str">
            <v>Pipa Baja Karbon, DN.
10" (250 mm)</v>
          </cell>
          <cell r="G466" t="str">
            <v>m'</v>
          </cell>
          <cell r="H466">
            <v>945000</v>
          </cell>
        </row>
        <row r="467">
          <cell r="F467" t="str">
            <v>Pipa Baja dia. 300 mm</v>
          </cell>
          <cell r="G467" t="str">
            <v>m'</v>
          </cell>
          <cell r="H467">
            <v>1050000</v>
          </cell>
        </row>
        <row r="468">
          <cell r="F468" t="str">
            <v>Pipa Baja Karbon, DN.
12" (300 mm)</v>
          </cell>
          <cell r="G468" t="str">
            <v>m'</v>
          </cell>
          <cell r="H468">
            <v>1055000</v>
          </cell>
        </row>
        <row r="469">
          <cell r="F469" t="str">
            <v>Pipa Baja dia. 400 mm</v>
          </cell>
          <cell r="G469" t="str">
            <v>m'</v>
          </cell>
          <cell r="H469">
            <v>2300000</v>
          </cell>
        </row>
        <row r="470">
          <cell r="F470" t="str">
            <v>Pipa Baja Karbon, DN. 16"
(400 mm)</v>
          </cell>
          <cell r="G470" t="str">
            <v>m'</v>
          </cell>
          <cell r="H470">
            <v>2305000</v>
          </cell>
        </row>
        <row r="471">
          <cell r="F471" t="str">
            <v>Pipa Baja dia. 450 mm</v>
          </cell>
          <cell r="G471" t="str">
            <v>m'</v>
          </cell>
          <cell r="H471">
            <v>2450000</v>
          </cell>
        </row>
        <row r="472">
          <cell r="F472" t="str">
            <v>Pipa Baja Karbon, DN. 18"
(450 mm</v>
          </cell>
          <cell r="G472" t="str">
            <v>m'</v>
          </cell>
          <cell r="H472">
            <v>2455000</v>
          </cell>
        </row>
        <row r="473">
          <cell r="F473" t="str">
            <v>Pipa Baja dia. 500 mm</v>
          </cell>
          <cell r="G473" t="str">
            <v>m'</v>
          </cell>
          <cell r="H473">
            <v>2560000</v>
          </cell>
        </row>
        <row r="474">
          <cell r="F474" t="str">
            <v>Pipa Baja Karbon, DN.
20" (500 mm)</v>
          </cell>
          <cell r="G474" t="str">
            <v>m'</v>
          </cell>
          <cell r="H474">
            <v>2565000</v>
          </cell>
        </row>
        <row r="475">
          <cell r="F475" t="str">
            <v>Pipa Baja dia. 600 mm</v>
          </cell>
          <cell r="G475" t="str">
            <v>m'</v>
          </cell>
          <cell r="H475">
            <v>2650000</v>
          </cell>
        </row>
        <row r="476">
          <cell r="F476" t="str">
            <v>Pipa Baja Karbon, DN. 24"
(600 mm)</v>
          </cell>
          <cell r="G476" t="str">
            <v>m'</v>
          </cell>
          <cell r="H476">
            <v>2655000</v>
          </cell>
        </row>
        <row r="477">
          <cell r="F477" t="str">
            <v>Pipa Baja dia. 800 mm</v>
          </cell>
          <cell r="G477" t="str">
            <v>m'</v>
          </cell>
          <cell r="H477">
            <v>2790000</v>
          </cell>
        </row>
        <row r="478">
          <cell r="F478" t="str">
            <v>Pipa Baja Karbon, DN. 32"
(800 mm)</v>
          </cell>
          <cell r="G478" t="str">
            <v>m'</v>
          </cell>
          <cell r="H478">
            <v>2795000</v>
          </cell>
        </row>
        <row r="479">
          <cell r="F479" t="str">
            <v>Pipa Baja dia. 900 mm</v>
          </cell>
          <cell r="G479" t="str">
            <v>m'</v>
          </cell>
          <cell r="H479">
            <v>2950000</v>
          </cell>
        </row>
        <row r="480">
          <cell r="F480" t="str">
            <v>Pipa Baja Karbon, DN. 36"
(900 mm)</v>
          </cell>
          <cell r="G480" t="str">
            <v>m'</v>
          </cell>
          <cell r="H480">
            <v>2955000</v>
          </cell>
        </row>
        <row r="481">
          <cell r="F481" t="str">
            <v>Pipa Baja dia. 1000 mm</v>
          </cell>
          <cell r="G481" t="str">
            <v>m'</v>
          </cell>
          <cell r="H481">
            <v>3110000</v>
          </cell>
        </row>
        <row r="482">
          <cell r="F482" t="str">
            <v>Pipa Baja Karbon, DN. 40"
(1000 mm)</v>
          </cell>
          <cell r="G482" t="str">
            <v>m'</v>
          </cell>
          <cell r="H482">
            <v>3115000</v>
          </cell>
        </row>
        <row r="483">
          <cell r="F483" t="str">
            <v>Pipa Baja dia. 1100 mm</v>
          </cell>
          <cell r="G483" t="str">
            <v>m'</v>
          </cell>
          <cell r="H483">
            <v>3230000</v>
          </cell>
        </row>
        <row r="484">
          <cell r="F484" t="str">
            <v>Pipa Baja Karbon, DN. 44"
(1100 mm)</v>
          </cell>
          <cell r="G484" t="str">
            <v>m'</v>
          </cell>
          <cell r="H484">
            <v>3235000</v>
          </cell>
        </row>
        <row r="485">
          <cell r="F485" t="str">
            <v>Pipa Baja dia. 1200 mm</v>
          </cell>
          <cell r="G485" t="str">
            <v>m'</v>
          </cell>
          <cell r="H485">
            <v>3350000</v>
          </cell>
        </row>
        <row r="486">
          <cell r="F486" t="str">
            <v>Pipa Baja Karbon, DN. 48"
(1200 mm</v>
          </cell>
          <cell r="G486" t="str">
            <v>m'</v>
          </cell>
          <cell r="H486">
            <v>3355000</v>
          </cell>
        </row>
        <row r="487">
          <cell r="F487" t="str">
            <v>PVC  Ø 1 1/4"  s  10 tekanan nominal 10 bar (1,0 mpa) 4m</v>
          </cell>
          <cell r="G487" t="str">
            <v>batang</v>
          </cell>
          <cell r="H487">
            <v>79700</v>
          </cell>
        </row>
        <row r="488">
          <cell r="F488" t="str">
            <v>PVC  Ø 1 1/5"  s  10 tekanan nominal 10 bar (1,0 mpa) 6m</v>
          </cell>
          <cell r="G488" t="str">
            <v>batang</v>
          </cell>
          <cell r="H488">
            <v>145400</v>
          </cell>
        </row>
        <row r="489">
          <cell r="F489" t="str">
            <v>PVC  Ø 1"  s  10 tekanan nominal 10 bar (1,0 mpa) 4m</v>
          </cell>
          <cell r="G489" t="str">
            <v>batang</v>
          </cell>
          <cell r="H489">
            <v>51600</v>
          </cell>
        </row>
        <row r="490">
          <cell r="F490" t="str">
            <v>PVC  Ø 1/2"  s  10 tekanan nominal 10 bar (1,0 mpa) 4m</v>
          </cell>
          <cell r="G490" t="str">
            <v>batang</v>
          </cell>
          <cell r="H490">
            <v>30700</v>
          </cell>
        </row>
        <row r="491">
          <cell r="F491" t="str">
            <v>PVC  Ø 2"  s  12,5 tekanan nominal 10 bar (1,0 mpa) 6m</v>
          </cell>
          <cell r="G491" t="str">
            <v>batang</v>
          </cell>
          <cell r="H491">
            <v>214900</v>
          </cell>
        </row>
        <row r="492">
          <cell r="F492" t="str">
            <v>PVC  Ø 3"  s  12,5 tekanan nominal 10 bar (1,0 mpa) 6m</v>
          </cell>
          <cell r="G492" t="str">
            <v>batang</v>
          </cell>
          <cell r="H492">
            <v>423300</v>
          </cell>
        </row>
        <row r="493">
          <cell r="F493" t="str">
            <v>PVC  Ø 3/4"  s  10 tekanan nominal 10 bar (1,0 mpa) 4m</v>
          </cell>
          <cell r="G493" t="str">
            <v>batang</v>
          </cell>
          <cell r="H493">
            <v>33400</v>
          </cell>
        </row>
        <row r="494">
          <cell r="F494" t="str">
            <v>PVC  Ø 4"  s  12,5 tekanan nominal 10 bar (1,0 mpa) 6m</v>
          </cell>
          <cell r="G494" t="str">
            <v>batang</v>
          </cell>
          <cell r="H494">
            <v>641300</v>
          </cell>
        </row>
        <row r="495">
          <cell r="F495" t="str">
            <v>PVC  Ø 6"  s  12,5 tekanan nominal 10 bar (1,0 mpa) 6m</v>
          </cell>
          <cell r="G495" t="str">
            <v>batang</v>
          </cell>
          <cell r="H495">
            <v>1823000</v>
          </cell>
        </row>
        <row r="496">
          <cell r="F496" t="str">
            <v>PVC  Ø 8"  s  12,5 tekanan nominal 10 bar (1,0 mpa) 6m</v>
          </cell>
          <cell r="G496" t="str">
            <v>batang</v>
          </cell>
          <cell r="H496">
            <v>2043200</v>
          </cell>
        </row>
        <row r="497">
          <cell r="F497" t="str">
            <v>MATERIAL PIPA GALVANIS</v>
          </cell>
        </row>
        <row r="498">
          <cell r="F498" t="str">
            <v>Assesoris  galvanis</v>
          </cell>
          <cell r="G498" t="str">
            <v>m'</v>
          </cell>
          <cell r="H498">
            <v>5500</v>
          </cell>
        </row>
        <row r="499">
          <cell r="F499" t="str">
            <v>Pipa  galvanis medium B Ø  1  1/2" panjang  6  m</v>
          </cell>
          <cell r="G499" t="str">
            <v>batang</v>
          </cell>
          <cell r="H499">
            <v>405700</v>
          </cell>
        </row>
        <row r="500">
          <cell r="F500" t="str">
            <v>Pipa  galvanis medium B Ø  1" panjang  6  m</v>
          </cell>
          <cell r="G500" t="str">
            <v>batang</v>
          </cell>
          <cell r="H500">
            <v>263000</v>
          </cell>
        </row>
        <row r="501">
          <cell r="F501" t="str">
            <v>Pipa  galvanis medium B Ø  1/2" panjang  6  m</v>
          </cell>
          <cell r="G501" t="str">
            <v>m'</v>
          </cell>
          <cell r="H501">
            <v>24400</v>
          </cell>
        </row>
        <row r="502">
          <cell r="F502" t="str">
            <v>Pipa  galvanis medium B Ø  2  1/2" panjang  6  m</v>
          </cell>
          <cell r="G502" t="str">
            <v>batang</v>
          </cell>
          <cell r="H502">
            <v>550000</v>
          </cell>
        </row>
        <row r="503">
          <cell r="F503" t="str">
            <v>Pipa  galvanis medium B Ø  3" panjang  6  m</v>
          </cell>
          <cell r="G503" t="str">
            <v>batang</v>
          </cell>
          <cell r="H503">
            <v>1035100</v>
          </cell>
        </row>
        <row r="504">
          <cell r="F504" t="str">
            <v>Pipa  galvanis medium B Ø  3/4" panjang  6  m</v>
          </cell>
          <cell r="G504" t="str">
            <v>batang</v>
          </cell>
          <cell r="H504">
            <v>181200</v>
          </cell>
        </row>
        <row r="505">
          <cell r="F505" t="str">
            <v>Pipa  galvanis medium B Ø  4" panjang  6  m</v>
          </cell>
          <cell r="G505" t="str">
            <v>batang</v>
          </cell>
          <cell r="H505">
            <v>1475300</v>
          </cell>
        </row>
        <row r="506">
          <cell r="F506" t="str">
            <v>Pipa besi stainless  steel Ø1"  t=1.5 mm</v>
          </cell>
          <cell r="G506" t="str">
            <v>m'</v>
          </cell>
          <cell r="H506">
            <v>44800</v>
          </cell>
        </row>
        <row r="507">
          <cell r="F507" t="str">
            <v>Pipa besi stainless  steel Ø2"  t=1.5 mm</v>
          </cell>
          <cell r="G507" t="str">
            <v>m'</v>
          </cell>
          <cell r="H507">
            <v>92400</v>
          </cell>
        </row>
        <row r="508">
          <cell r="F508" t="str">
            <v>Pipa galvanis  medium A Ø 1 1/2"  panjang 6 m</v>
          </cell>
          <cell r="G508" t="str">
            <v>batang</v>
          </cell>
          <cell r="H508">
            <v>461800</v>
          </cell>
        </row>
        <row r="509">
          <cell r="F509" t="str">
            <v>Pipa galvanis  medium A Ø 1"  panjang 6 m</v>
          </cell>
          <cell r="G509" t="str">
            <v>batang</v>
          </cell>
          <cell r="H509">
            <v>266100</v>
          </cell>
        </row>
        <row r="510">
          <cell r="F510" t="str">
            <v>Pipa galvanis  medium A Ø 1/2"  panjang 6 m</v>
          </cell>
          <cell r="G510" t="str">
            <v>batang</v>
          </cell>
          <cell r="H510">
            <v>132500</v>
          </cell>
        </row>
        <row r="511">
          <cell r="F511" t="str">
            <v>Pipa galvanis  medium A Ø 2"  panjang 6 m</v>
          </cell>
          <cell r="G511" t="str">
            <v>batang</v>
          </cell>
          <cell r="H511">
            <v>528600</v>
          </cell>
        </row>
        <row r="512">
          <cell r="F512" t="str">
            <v>Pipa galvanis  medium A Ø 3"  panjang 6 m</v>
          </cell>
          <cell r="G512" t="str">
            <v>batang</v>
          </cell>
          <cell r="H512">
            <v>1021000</v>
          </cell>
        </row>
        <row r="513">
          <cell r="F513" t="str">
            <v>Pipa galvanis  medium A Ø 3/4"  panjang 6 m</v>
          </cell>
          <cell r="G513" t="str">
            <v>batang</v>
          </cell>
          <cell r="H513">
            <v>177900</v>
          </cell>
        </row>
        <row r="514">
          <cell r="F514" t="str">
            <v>Pipa galvanis  medium A Ø 4"  panjang 6 m</v>
          </cell>
          <cell r="G514" t="str">
            <v>batang</v>
          </cell>
          <cell r="H514">
            <v>1487200</v>
          </cell>
        </row>
        <row r="515">
          <cell r="F515" t="str">
            <v>Pipa galvanis  medium A Ø 5"  panjang 6 m</v>
          </cell>
          <cell r="G515" t="str">
            <v>batang</v>
          </cell>
          <cell r="H515">
            <v>1981200</v>
          </cell>
        </row>
        <row r="516">
          <cell r="F516" t="str">
            <v>Pipa galvanis  medium A Ø 6"  panjang 6 m</v>
          </cell>
          <cell r="G516" t="str">
            <v>batang</v>
          </cell>
          <cell r="H516">
            <v>1558300</v>
          </cell>
        </row>
        <row r="517">
          <cell r="F517" t="str">
            <v>Pipa galvanis  medium A Ø 8"  panjang 6 m</v>
          </cell>
          <cell r="G517" t="str">
            <v>batang</v>
          </cell>
          <cell r="H517">
            <v>2267400</v>
          </cell>
        </row>
        <row r="518">
          <cell r="F518" t="str">
            <v>Pipa galvanis  medium B  Ø 2"  panjang 6 m</v>
          </cell>
          <cell r="G518" t="str">
            <v>batang</v>
          </cell>
          <cell r="H518">
            <v>598800</v>
          </cell>
        </row>
        <row r="519">
          <cell r="F519" t="str">
            <v>Pipa galvanis  medium B  Ø 5"  panjang 6 m</v>
          </cell>
          <cell r="G519" t="str">
            <v>batang</v>
          </cell>
          <cell r="H519">
            <v>2031000</v>
          </cell>
        </row>
        <row r="520">
          <cell r="F520" t="str">
            <v>Pipa galvanis  medium B  Ø 6"  panjang 6 m</v>
          </cell>
          <cell r="G520" t="str">
            <v>batang</v>
          </cell>
          <cell r="H520">
            <v>2451200</v>
          </cell>
        </row>
        <row r="521">
          <cell r="F521" t="str">
            <v>Pipa galvanis  medium B  Ø 8"  panjang 6 m</v>
          </cell>
          <cell r="G521" t="str">
            <v>batang</v>
          </cell>
          <cell r="H521">
            <v>3466200</v>
          </cell>
        </row>
        <row r="522">
          <cell r="F522" t="str">
            <v xml:space="preserve">Pipa galvanis  medium Class  Ø 1 1/2" +Aksesoris </v>
          </cell>
          <cell r="G522" t="str">
            <v>m'</v>
          </cell>
          <cell r="H522">
            <v>82466.666666666672</v>
          </cell>
        </row>
        <row r="523">
          <cell r="F523" t="str">
            <v>Pipa galvanis MED CLASS ; DN. 1-1/2" (40 mm) + fitting &amp; aksesoris</v>
          </cell>
          <cell r="G523" t="str">
            <v>m'</v>
          </cell>
          <cell r="H523">
            <v>82500</v>
          </cell>
        </row>
        <row r="524">
          <cell r="F524" t="str">
            <v xml:space="preserve">Pipa galvanis  medium Class  Ø 1 1/4" +Aksesoris </v>
          </cell>
          <cell r="G524" t="str">
            <v>m'</v>
          </cell>
          <cell r="H524">
            <v>80633.333333333328</v>
          </cell>
        </row>
        <row r="525">
          <cell r="F525" t="str">
            <v>Pipa galvanis MED
CLASS ; DN. 1-1/4"
(32 mm) + fitting &amp;
aksesoris</v>
          </cell>
          <cell r="G525" t="str">
            <v>m'</v>
          </cell>
          <cell r="H525">
            <v>81000</v>
          </cell>
        </row>
        <row r="526">
          <cell r="F526" t="str">
            <v>Pipa galvanis  medium Class Ø 1" + Aksesoris</v>
          </cell>
          <cell r="G526" t="str">
            <v>m'</v>
          </cell>
          <cell r="H526">
            <v>49850</v>
          </cell>
        </row>
        <row r="527">
          <cell r="F527" t="str">
            <v>Pipa galvanis MED
CLASS ; DN. 1" (25
mm) + fitting &amp;
aksesoris</v>
          </cell>
          <cell r="G527" t="str">
            <v>m'</v>
          </cell>
          <cell r="H527">
            <v>50000</v>
          </cell>
        </row>
        <row r="528">
          <cell r="F528" t="str">
            <v>Pipa galvanis  medium Class Ø 1/2" + Aksesoris</v>
          </cell>
          <cell r="G528" t="str">
            <v>m'</v>
          </cell>
          <cell r="H528">
            <v>27583.333333333332</v>
          </cell>
        </row>
        <row r="529">
          <cell r="F529" t="str">
            <v>Pipa galvanis MED CLASS ; DN. 1/2" (15 mm) + fitting &amp; aksesoris</v>
          </cell>
          <cell r="G529" t="str">
            <v>m'</v>
          </cell>
          <cell r="H529">
            <v>28000</v>
          </cell>
        </row>
        <row r="530">
          <cell r="F530" t="str">
            <v xml:space="preserve">Pipa galvanis  medium Class Ø 2" +Aksesoris </v>
          </cell>
          <cell r="G530" t="str">
            <v>m'</v>
          </cell>
          <cell r="H530">
            <v>93600</v>
          </cell>
        </row>
        <row r="531">
          <cell r="F531" t="str">
            <v>Pipa galvanis MED CLASS ; DN. 2" (50 mm) + fitting &amp; aksesoris</v>
          </cell>
          <cell r="G531" t="str">
            <v>m'</v>
          </cell>
          <cell r="H531">
            <v>94000</v>
          </cell>
        </row>
        <row r="532">
          <cell r="F532" t="str">
            <v xml:space="preserve">Pipa galvanis  medium Class Ø 2-1/2" +Aksesoris </v>
          </cell>
          <cell r="G532" t="str">
            <v>m'</v>
          </cell>
          <cell r="H532">
            <v>94666.666666666672</v>
          </cell>
        </row>
        <row r="533">
          <cell r="F533" t="str">
            <v>Pipa galvanis MED CLASS ; DN. 2-1/2" (65 mm) + fitting &amp; aksesoris</v>
          </cell>
          <cell r="G533" t="str">
            <v>m'</v>
          </cell>
          <cell r="H533">
            <v>95000</v>
          </cell>
        </row>
        <row r="534">
          <cell r="F534" t="str">
            <v xml:space="preserve">Pipa galvanis  medium Class Ø 3" +Aksesoris </v>
          </cell>
          <cell r="G534" t="str">
            <v>m'</v>
          </cell>
          <cell r="H534">
            <v>175666.66666666666</v>
          </cell>
        </row>
        <row r="535">
          <cell r="F535" t="str">
            <v>Pipa galvanis MED CLASS ; DN. 3" (80 mm) + fitting &amp; aksesoris</v>
          </cell>
          <cell r="G535" t="str">
            <v>m'</v>
          </cell>
          <cell r="H535">
            <v>176000</v>
          </cell>
        </row>
        <row r="536">
          <cell r="F536" t="str">
            <v xml:space="preserve">Pipa galvanis  medium Class Ø 3/4" + Aksesoris </v>
          </cell>
          <cell r="G536" t="str">
            <v>m'</v>
          </cell>
          <cell r="H536">
            <v>35150</v>
          </cell>
        </row>
        <row r="537">
          <cell r="F537" t="str">
            <v>Pipa galvanis MED CLASS ; DN. 3/4" (20 mm) + fitting &amp; aksesoris</v>
          </cell>
          <cell r="G537" t="str">
            <v>m'</v>
          </cell>
          <cell r="H537">
            <v>36000</v>
          </cell>
        </row>
        <row r="538">
          <cell r="F538" t="str">
            <v xml:space="preserve">Pipa galvanis  medium Class Ø 4" +Aksesoris </v>
          </cell>
          <cell r="G538" t="str">
            <v>m'</v>
          </cell>
          <cell r="H538">
            <v>253366.66666666666</v>
          </cell>
        </row>
        <row r="539">
          <cell r="F539" t="str">
            <v>Pipa galvanis MED CLASS ; DN. 4" (100 mm) + fitting &amp; aksesoris</v>
          </cell>
          <cell r="G539" t="str">
            <v>m'</v>
          </cell>
          <cell r="H539">
            <v>253500</v>
          </cell>
        </row>
        <row r="540">
          <cell r="F540" t="str">
            <v xml:space="preserve">Pipa galvanis  medium Class Ø 5" +Aksesoris </v>
          </cell>
          <cell r="G540" t="str">
            <v>m'</v>
          </cell>
          <cell r="H540">
            <v>335700</v>
          </cell>
        </row>
        <row r="541">
          <cell r="F541" t="str">
            <v>Pipa galvanis MED CLASS ; DN. 5" (125 mm) + fitting &amp; aksesoris</v>
          </cell>
          <cell r="G541" t="str">
            <v>m'</v>
          </cell>
          <cell r="H541">
            <v>336000</v>
          </cell>
        </row>
        <row r="542">
          <cell r="F542" t="str">
            <v xml:space="preserve">Pipa galvanis  medium Class Ø 6" + Aksesoris </v>
          </cell>
          <cell r="G542" t="str">
            <v>m'</v>
          </cell>
          <cell r="H542">
            <v>265216.66666666663</v>
          </cell>
        </row>
        <row r="543">
          <cell r="F543" t="str">
            <v>Pipa galvanis MED CLASS ; DN. 6" (150 mm) + fitting &amp; aksesoris</v>
          </cell>
          <cell r="G543" t="str">
            <v>m'</v>
          </cell>
          <cell r="H543">
            <v>266000</v>
          </cell>
        </row>
        <row r="544">
          <cell r="F544" t="str">
            <v xml:space="preserve">Pipa galvanis  medium Class Ø 8" + Aksesois </v>
          </cell>
          <cell r="G544" t="str">
            <v>m'</v>
          </cell>
          <cell r="H544">
            <v>383400</v>
          </cell>
        </row>
        <row r="545">
          <cell r="F545" t="str">
            <v>Pipa galvanis MED CLASS ; DN. 8" (200 mm) + fitting &amp; aksesoris</v>
          </cell>
          <cell r="G545" t="str">
            <v>m'</v>
          </cell>
          <cell r="H545">
            <v>384000</v>
          </cell>
        </row>
        <row r="546">
          <cell r="F546" t="str">
            <v xml:space="preserve">Pipa galvanis  medium Class Ø 10" + Aksesois </v>
          </cell>
          <cell r="G546" t="str">
            <v>m'</v>
          </cell>
          <cell r="H546">
            <v>390500</v>
          </cell>
        </row>
        <row r="547">
          <cell r="F547" t="str">
            <v>Pipa galvanis MED CLASS ; DN. 10" (250 mm) + fitting &amp; aksesoris</v>
          </cell>
          <cell r="G547" t="str">
            <v>m'</v>
          </cell>
          <cell r="H547">
            <v>391000</v>
          </cell>
        </row>
        <row r="548">
          <cell r="F548" t="str">
            <v xml:space="preserve">Pipa galvanis  medium Class Ø 12" + Aksesois </v>
          </cell>
          <cell r="G548" t="str">
            <v>m'</v>
          </cell>
          <cell r="H548">
            <v>399500</v>
          </cell>
        </row>
        <row r="549">
          <cell r="F549" t="str">
            <v>Pipa galvanis MED CLASS ; DN. 12" (300 mm) + fitting &amp; aksesoris</v>
          </cell>
          <cell r="G549" t="str">
            <v>m'</v>
          </cell>
          <cell r="H549">
            <v>340000</v>
          </cell>
        </row>
        <row r="550">
          <cell r="F550" t="str">
            <v xml:space="preserve">Pipa galvanis  medium Class Ø 14" + Aksesois </v>
          </cell>
          <cell r="G550" t="str">
            <v>m'</v>
          </cell>
          <cell r="H550">
            <v>410500</v>
          </cell>
        </row>
        <row r="551">
          <cell r="F551" t="str">
            <v>Pipa galvanis MED CLASS ; DN. 14" (350 mm) + fitting &amp; aksesoris</v>
          </cell>
          <cell r="G551" t="str">
            <v>m'</v>
          </cell>
          <cell r="H551">
            <v>411000</v>
          </cell>
        </row>
        <row r="552">
          <cell r="F552" t="str">
            <v xml:space="preserve">Pipa galvanis  medium Class Ø 16" + Aksesois </v>
          </cell>
          <cell r="G552" t="str">
            <v>m'</v>
          </cell>
          <cell r="H552">
            <v>417500</v>
          </cell>
        </row>
        <row r="553">
          <cell r="F553" t="str">
            <v>Pipa galvanis MED CLASS ; DN. 16" (400 mm) + fitting &amp; aksesoris</v>
          </cell>
          <cell r="G553" t="str">
            <v>m'</v>
          </cell>
          <cell r="H553">
            <v>418000</v>
          </cell>
        </row>
        <row r="554">
          <cell r="F554" t="str">
            <v xml:space="preserve">Pipa galvanis SCH 40 Ø 1/2" + Aksesois </v>
          </cell>
          <cell r="G554" t="str">
            <v>m'</v>
          </cell>
          <cell r="H554">
            <v>39666.666666666664</v>
          </cell>
        </row>
        <row r="555">
          <cell r="F555" t="str">
            <v>Pipa galvanis SCH 40 ; DN. 1/2" (15 mm) + fitting &amp; aksesoris</v>
          </cell>
          <cell r="G555" t="str">
            <v>m'</v>
          </cell>
          <cell r="H555">
            <v>40000</v>
          </cell>
        </row>
        <row r="556">
          <cell r="F556" t="str">
            <v xml:space="preserve">Pipa galvanis SCH 40 Ø 3/4" + Aksesois </v>
          </cell>
          <cell r="G556" t="str">
            <v>m'</v>
          </cell>
          <cell r="H556">
            <v>47666.666666666664</v>
          </cell>
        </row>
        <row r="557">
          <cell r="F557" t="str">
            <v>Pipa galvanis SCH 40 ; DN. 3/4" (20 mm) + fitting &amp; aksesoris</v>
          </cell>
          <cell r="G557" t="str">
            <v>m'</v>
          </cell>
          <cell r="H557">
            <v>48000</v>
          </cell>
        </row>
        <row r="558">
          <cell r="F558" t="str">
            <v xml:space="preserve">Pipa galvanis SCH 40 Ø 1" + Aksesois </v>
          </cell>
          <cell r="G558" t="str">
            <v>m'</v>
          </cell>
          <cell r="H558">
            <v>66333.333333333343</v>
          </cell>
        </row>
        <row r="559">
          <cell r="F559" t="str">
            <v>Pipa galvanis SCH 40 ; DN. 1" (25 mm) + fitting &amp; aksesoris</v>
          </cell>
          <cell r="G559" t="str">
            <v>m'</v>
          </cell>
          <cell r="H559">
            <v>66500</v>
          </cell>
        </row>
        <row r="560">
          <cell r="F560" t="str">
            <v xml:space="preserve">Pipa galvanis SCH 40 Ø 1-1/4" + Aksesois </v>
          </cell>
          <cell r="G560" t="str">
            <v>m'</v>
          </cell>
          <cell r="H560">
            <v>88000</v>
          </cell>
        </row>
        <row r="561">
          <cell r="F561" t="str">
            <v>Pipa galvanis SCH 40 ; DN. 1-1/4" (32 mm) + fitting &amp; aksesoris</v>
          </cell>
          <cell r="G561" t="str">
            <v>m'</v>
          </cell>
          <cell r="H561">
            <v>88500</v>
          </cell>
        </row>
        <row r="562">
          <cell r="F562" t="str">
            <v xml:space="preserve">Pipa galvanis SCH 40 Ø 1-1/2" + Aksesois </v>
          </cell>
          <cell r="G562" t="str">
            <v>m'</v>
          </cell>
          <cell r="H562">
            <v>102500</v>
          </cell>
        </row>
        <row r="563">
          <cell r="F563" t="str">
            <v>Pipa galvanis SCH 40 ; DN. 1-1/2" (40 mm) + fitting &amp; aksesoris</v>
          </cell>
          <cell r="G563" t="str">
            <v>m'</v>
          </cell>
          <cell r="H563">
            <v>103000</v>
          </cell>
        </row>
        <row r="564">
          <cell r="F564" t="str">
            <v xml:space="preserve">Pipa galvanis SCH 40 Ø 2" + Aksesois </v>
          </cell>
          <cell r="G564" t="str">
            <v>m'</v>
          </cell>
          <cell r="H564">
            <v>188833.33333333334</v>
          </cell>
        </row>
        <row r="565">
          <cell r="F565" t="str">
            <v>Pipa galvanis SCH 40 ; DN. 2" (50 mm) + fitting &amp; aksesoris</v>
          </cell>
          <cell r="G565" t="str">
            <v>m'</v>
          </cell>
          <cell r="H565">
            <v>189000</v>
          </cell>
        </row>
        <row r="566">
          <cell r="F566" t="str">
            <v xml:space="preserve">Pipa galvanis SCH 40 Ø 2-1/2" + Aksesois </v>
          </cell>
          <cell r="G566" t="str">
            <v>m'</v>
          </cell>
          <cell r="H566">
            <v>205500</v>
          </cell>
        </row>
        <row r="567">
          <cell r="F567" t="str">
            <v>Pipa galvanis SCH 40 ; DN. 2-1/2" (65 mm) + fitting &amp; aksesoris</v>
          </cell>
          <cell r="G567" t="str">
            <v>m'</v>
          </cell>
          <cell r="H567">
            <v>206000</v>
          </cell>
        </row>
        <row r="568">
          <cell r="F568" t="str">
            <v xml:space="preserve">Pipa galvanis SCH 40 Ø 3" + Aksesois </v>
          </cell>
          <cell r="G568" t="str">
            <v>m'</v>
          </cell>
          <cell r="H568">
            <v>359666.66666666669</v>
          </cell>
        </row>
        <row r="569">
          <cell r="F569" t="str">
            <v>Pipa galvanis SCH 40 ; DN. 3" (80 mm) + fitting &amp; aksesoris</v>
          </cell>
          <cell r="G569" t="str">
            <v>m'</v>
          </cell>
          <cell r="H569">
            <v>360000</v>
          </cell>
        </row>
        <row r="570">
          <cell r="F570" t="str">
            <v xml:space="preserve">Pipa galvanis SCH 40 Ø 4" + Aksesois </v>
          </cell>
          <cell r="G570" t="str">
            <v>m'</v>
          </cell>
          <cell r="H570">
            <v>380500</v>
          </cell>
        </row>
        <row r="571">
          <cell r="F571" t="str">
            <v>Pipa galvanis SCH 40 ; DN. 4" (100 mm) + fitting &amp; aksesoris</v>
          </cell>
          <cell r="G571" t="str">
            <v>m'</v>
          </cell>
          <cell r="H571">
            <v>381000</v>
          </cell>
        </row>
        <row r="572">
          <cell r="F572" t="str">
            <v xml:space="preserve">Pipa galvanis SCH 40 Ø 5" + Aksesois </v>
          </cell>
          <cell r="G572" t="str">
            <v>m'</v>
          </cell>
          <cell r="H572">
            <v>505500</v>
          </cell>
        </row>
        <row r="573">
          <cell r="F573" t="str">
            <v>Pipa galvanis SCH 40 ; DN. 5" (125 mm) + fitting &amp; aksesoris</v>
          </cell>
          <cell r="G573" t="str">
            <v>m'</v>
          </cell>
          <cell r="H573">
            <v>502000</v>
          </cell>
        </row>
        <row r="574">
          <cell r="F574" t="str">
            <v xml:space="preserve">Pipa galvanis SCH 40 Ø 6" + Aksesois </v>
          </cell>
          <cell r="G574" t="str">
            <v>m'</v>
          </cell>
          <cell r="H574">
            <v>635500</v>
          </cell>
        </row>
        <row r="575">
          <cell r="F575" t="str">
            <v>Pipa galvanis SCH 40 ; DN. 6" (150 mm) + fitting &amp; aksesoris</v>
          </cell>
          <cell r="G575" t="str">
            <v>m'</v>
          </cell>
          <cell r="H575">
            <v>636000</v>
          </cell>
        </row>
        <row r="576">
          <cell r="F576" t="str">
            <v xml:space="preserve">Pipa galvanis SCH 40 Ø 8" + Aksesois </v>
          </cell>
          <cell r="G576" t="str">
            <v>m'</v>
          </cell>
          <cell r="H576">
            <v>987166.66666666663</v>
          </cell>
        </row>
        <row r="577">
          <cell r="F577" t="str">
            <v>Pipa galvanis SCH 40 ; DN. 8" (200 mm) + fitting &amp; aksesoris</v>
          </cell>
          <cell r="G577" t="str">
            <v>m'</v>
          </cell>
          <cell r="H577">
            <v>987500</v>
          </cell>
        </row>
        <row r="578">
          <cell r="F578" t="str">
            <v xml:space="preserve">Pipa galvanis SCH 40 Ø 10" + Aksesois </v>
          </cell>
          <cell r="G578" t="str">
            <v>m'</v>
          </cell>
          <cell r="H578">
            <v>1322166.6666666667</v>
          </cell>
        </row>
        <row r="579">
          <cell r="F579" t="str">
            <v>Pipa galvanis SCH 40 ; DN. 10" (250 mm) + fitting &amp; aksesoris</v>
          </cell>
          <cell r="G579" t="str">
            <v>m'</v>
          </cell>
          <cell r="H579">
            <v>1322500</v>
          </cell>
        </row>
        <row r="580">
          <cell r="F580" t="str">
            <v xml:space="preserve">Pipa galvanis SCH 40 Ø 12" + Aksesois </v>
          </cell>
          <cell r="G580" t="str">
            <v>m'</v>
          </cell>
          <cell r="H580">
            <v>1405500</v>
          </cell>
        </row>
        <row r="581">
          <cell r="F581" t="str">
            <v>Pipa galvanis SCH 40 ; DN. 12" (300 mm) + fitting &amp; aksesoris</v>
          </cell>
          <cell r="G581" t="str">
            <v>m'</v>
          </cell>
          <cell r="H581">
            <v>1406000</v>
          </cell>
        </row>
        <row r="582">
          <cell r="F582" t="str">
            <v xml:space="preserve">Pipa galvanis SCH 40 Ø 14" + Aksesois </v>
          </cell>
          <cell r="G582" t="str">
            <v>m'</v>
          </cell>
          <cell r="H582">
            <v>1463833.3333333333</v>
          </cell>
        </row>
        <row r="583">
          <cell r="F583" t="str">
            <v>Pipa galvanis SCH 40 ; DN. 14" (350 mm) + fitting &amp; aksesoris</v>
          </cell>
          <cell r="G583" t="str">
            <v>m'</v>
          </cell>
          <cell r="H583">
            <v>1464000</v>
          </cell>
        </row>
        <row r="584">
          <cell r="F584" t="str">
            <v xml:space="preserve">Pipa galvanis SCH 40 Ø 16" + Aksesois </v>
          </cell>
          <cell r="G584" t="str">
            <v>m'</v>
          </cell>
          <cell r="H584">
            <v>1501666.6666666667</v>
          </cell>
        </row>
        <row r="585">
          <cell r="F585" t="str">
            <v>Pipa galvanis SCH 40 ; DN. 16" (400 mm) + fitting &amp; aksesoris</v>
          </cell>
          <cell r="G585" t="str">
            <v>m'</v>
          </cell>
          <cell r="H585">
            <v>1502000</v>
          </cell>
        </row>
        <row r="586">
          <cell r="F586" t="str">
            <v xml:space="preserve">Pipa PPR PN 10 Ø 1/2" + Aksesois </v>
          </cell>
          <cell r="G586" t="str">
            <v>m'</v>
          </cell>
          <cell r="H586">
            <v>16050</v>
          </cell>
        </row>
        <row r="587">
          <cell r="F587" t="str">
            <v>Pipa PPR PN 10 ; DN. 1/2" (15 mm) + fitting &amp; aksesoris</v>
          </cell>
          <cell r="G587" t="str">
            <v>m'</v>
          </cell>
          <cell r="H587">
            <v>16100</v>
          </cell>
        </row>
        <row r="588">
          <cell r="F588" t="str">
            <v xml:space="preserve">Pipa PPR PN 10 Ø 3/4" + Aksesois </v>
          </cell>
          <cell r="G588" t="str">
            <v>m'</v>
          </cell>
          <cell r="H588">
            <v>19475</v>
          </cell>
        </row>
        <row r="589">
          <cell r="F589" t="str">
            <v>Pipa PPR PN 10 ; DN. 3/4" (20 mm) + fitting &amp; aksesoris</v>
          </cell>
          <cell r="G589" t="str">
            <v>m'</v>
          </cell>
          <cell r="H589">
            <v>19700</v>
          </cell>
        </row>
        <row r="590">
          <cell r="F590" t="str">
            <v xml:space="preserve">Pipa PPR PN 10 Ø 1" + Aksesois </v>
          </cell>
          <cell r="G590" t="str">
            <v>m'</v>
          </cell>
          <cell r="H590">
            <v>28275</v>
          </cell>
        </row>
        <row r="591">
          <cell r="F591" t="str">
            <v>Pipa PPR PN 10 ; DN. 1" (25 mm) + fitting &amp; aksesoris</v>
          </cell>
          <cell r="G591" t="str">
            <v>m'</v>
          </cell>
          <cell r="H591">
            <v>28500</v>
          </cell>
        </row>
        <row r="592">
          <cell r="F592" t="str">
            <v xml:space="preserve">Pipa PPR PN 10 Ø 1-1/4" + Aksesois </v>
          </cell>
          <cell r="G592" t="str">
            <v>m'</v>
          </cell>
          <cell r="H592">
            <v>41875</v>
          </cell>
        </row>
        <row r="593">
          <cell r="F593" t="str">
            <v>Pipa PPR PN 10 ; DN. 1-1/4" (32 mm) + fitting &amp; aksesoris</v>
          </cell>
          <cell r="G593" t="str">
            <v>m'</v>
          </cell>
          <cell r="H593">
            <v>42000</v>
          </cell>
        </row>
        <row r="594">
          <cell r="F594" t="str">
            <v xml:space="preserve">Pipa PPR PN 10 Ø 1-1/2" + Aksesois </v>
          </cell>
          <cell r="G594" t="str">
            <v>m'</v>
          </cell>
          <cell r="H594">
            <v>62175</v>
          </cell>
        </row>
        <row r="595">
          <cell r="F595" t="str">
            <v>Pipa PPR PN 10 ; DN. 1-1/2" (40 mm) + fitting &amp; aksesoris</v>
          </cell>
          <cell r="G595" t="str">
            <v>m'</v>
          </cell>
          <cell r="H595">
            <v>62500</v>
          </cell>
        </row>
        <row r="596">
          <cell r="F596" t="str">
            <v xml:space="preserve">Pipa PPR PN 10 Ø 2" + Aksesois </v>
          </cell>
          <cell r="G596" t="str">
            <v>m'</v>
          </cell>
          <cell r="H596">
            <v>95500</v>
          </cell>
        </row>
        <row r="597">
          <cell r="F597" t="str">
            <v>Pipa PPR PN 10 ; DN. 2" (50 mm) + fitting &amp; aksesoris</v>
          </cell>
          <cell r="G597" t="str">
            <v>m'</v>
          </cell>
          <cell r="H597">
            <v>96000</v>
          </cell>
        </row>
        <row r="598">
          <cell r="F598" t="str">
            <v xml:space="preserve">Pipa PPR PN 10 Ø 2-1/2" + Aksesois </v>
          </cell>
          <cell r="G598" t="str">
            <v>m'</v>
          </cell>
          <cell r="H598">
            <v>131625</v>
          </cell>
        </row>
        <row r="599">
          <cell r="F599" t="str">
            <v>Pipa PPR PN 10 ; DN. 2-1/2" (65 mm) + fitting &amp; aksesoris</v>
          </cell>
          <cell r="G599" t="str">
            <v>m'</v>
          </cell>
          <cell r="H599">
            <v>132000</v>
          </cell>
        </row>
        <row r="600">
          <cell r="F600" t="str">
            <v xml:space="preserve">Pipa PPR PN 10 Ø 3" + Aksesois </v>
          </cell>
          <cell r="G600" t="str">
            <v>m'</v>
          </cell>
          <cell r="H600">
            <v>183275</v>
          </cell>
        </row>
        <row r="601">
          <cell r="F601" t="str">
            <v>Pipa PPR PN 10 ; DN. 3" (80 mm) + fitting &amp; aksesoris</v>
          </cell>
          <cell r="G601" t="str">
            <v>m'</v>
          </cell>
          <cell r="H601">
            <v>183500</v>
          </cell>
        </row>
        <row r="602">
          <cell r="F602" t="str">
            <v xml:space="preserve">Pipa PPR PN 10 Ø 4" + Aksesois </v>
          </cell>
          <cell r="G602" t="str">
            <v>m'</v>
          </cell>
          <cell r="H602">
            <v>276425</v>
          </cell>
        </row>
        <row r="603">
          <cell r="F603" t="str">
            <v>Pipa PPR PN 10 ; DN. 4" (100 mm) + fitting &amp; aksesoris</v>
          </cell>
          <cell r="G603" t="str">
            <v>m'</v>
          </cell>
          <cell r="H603">
            <v>276600</v>
          </cell>
        </row>
        <row r="604">
          <cell r="F604" t="str">
            <v xml:space="preserve">Pipa PPR PN 10 Ø 6" + Aksesois </v>
          </cell>
          <cell r="G604" t="str">
            <v>m'</v>
          </cell>
          <cell r="H604">
            <v>930025</v>
          </cell>
        </row>
        <row r="605">
          <cell r="F605" t="str">
            <v>Pipa PPR PN 10 ; DN. 6" (150 mm) + fitting &amp; aksesoris</v>
          </cell>
          <cell r="G605" t="str">
            <v>m'</v>
          </cell>
          <cell r="H605">
            <v>930500</v>
          </cell>
        </row>
        <row r="606">
          <cell r="F606" t="str">
            <v xml:space="preserve">Pipa PPR PN 20 Ø 1/2" + Aksesois </v>
          </cell>
          <cell r="G606" t="str">
            <v>m'</v>
          </cell>
          <cell r="H606">
            <v>20325</v>
          </cell>
        </row>
        <row r="607">
          <cell r="F607" t="str">
            <v>Pipa PPR PN 20 ; DN. 1/2" (15 mm) + fitting &amp; aksesoris</v>
          </cell>
          <cell r="G607" t="str">
            <v>m'</v>
          </cell>
          <cell r="H607">
            <v>931000</v>
          </cell>
        </row>
        <row r="608">
          <cell r="F608" t="str">
            <v xml:space="preserve">Pipa PPR PN 20 Ø 3/4" + Aksesois </v>
          </cell>
          <cell r="G608" t="str">
            <v>m'</v>
          </cell>
          <cell r="H608">
            <v>28525</v>
          </cell>
        </row>
        <row r="609">
          <cell r="F609" t="str">
            <v>Pipa PPR PN 20 ; DN. 3/4" (20 mm) + fitting &amp; aksesoris</v>
          </cell>
          <cell r="G609" t="str">
            <v>m'</v>
          </cell>
          <cell r="H609">
            <v>29000</v>
          </cell>
        </row>
        <row r="610">
          <cell r="F610" t="str">
            <v xml:space="preserve">Pipa PPR PN 20 Ø 1" + Aksesois </v>
          </cell>
          <cell r="G610" t="str">
            <v>m'</v>
          </cell>
          <cell r="H610">
            <v>43675</v>
          </cell>
        </row>
        <row r="611">
          <cell r="F611" t="str">
            <v>Pipa PPR PN 20 ; DN. 1" (25 mm) + fitting &amp; aksesoris</v>
          </cell>
          <cell r="G611" t="str">
            <v>m'</v>
          </cell>
          <cell r="H611">
            <v>44000</v>
          </cell>
        </row>
        <row r="612">
          <cell r="F612" t="str">
            <v xml:space="preserve">Pipa PPR PN 20 Ø 1-1/4" + Aksesois </v>
          </cell>
          <cell r="G612" t="str">
            <v>m'</v>
          </cell>
          <cell r="H612">
            <v>64625</v>
          </cell>
        </row>
        <row r="613">
          <cell r="F613" t="str">
            <v>Pipa PPR PN 20 ; DN. 1-1/4" (32 mm) + fitting &amp; aksesoris</v>
          </cell>
          <cell r="G613" t="str">
            <v>m'</v>
          </cell>
          <cell r="H613">
            <v>65000</v>
          </cell>
        </row>
        <row r="614">
          <cell r="F614" t="str">
            <v xml:space="preserve">Pipa PPR PN 20 Ø 1-1/2" + Aksesois </v>
          </cell>
          <cell r="G614" t="str">
            <v>m'</v>
          </cell>
          <cell r="H614">
            <v>98175</v>
          </cell>
        </row>
        <row r="615">
          <cell r="F615" t="str">
            <v>Pipa PPR PN 20 ; DN. 1-1/2" (40 mm) + fitting &amp; aksesoris</v>
          </cell>
          <cell r="G615" t="str">
            <v>m'</v>
          </cell>
          <cell r="H615">
            <v>98500</v>
          </cell>
        </row>
        <row r="616">
          <cell r="F616" t="str">
            <v xml:space="preserve">Pipa PPR PN 20 Ø 2" + Aksesois </v>
          </cell>
          <cell r="G616" t="str">
            <v>m'</v>
          </cell>
          <cell r="H616">
            <v>152625</v>
          </cell>
        </row>
        <row r="617">
          <cell r="F617" t="str">
            <v>Pipa PPR PN 20 ; DN. 2" (50 mm) + fitting &amp; aksesoris</v>
          </cell>
          <cell r="G617" t="str">
            <v>m'</v>
          </cell>
          <cell r="H617">
            <v>153000</v>
          </cell>
        </row>
        <row r="618">
          <cell r="F618" t="str">
            <v xml:space="preserve">Pipa PPR PN 20 Ø 2-1/2" + Aksesois </v>
          </cell>
          <cell r="G618" t="str">
            <v>m'</v>
          </cell>
          <cell r="H618">
            <v>214000</v>
          </cell>
        </row>
        <row r="619">
          <cell r="F619" t="str">
            <v>Pipa PPR PN 20 ; DN. 2-1/2" (65 mm) + fitting &amp; aksesoris</v>
          </cell>
          <cell r="G619" t="str">
            <v>m'</v>
          </cell>
          <cell r="H619">
            <v>214500</v>
          </cell>
        </row>
        <row r="620">
          <cell r="F620" t="str">
            <v xml:space="preserve">Pipa PPR PN 20 Ø 3" + Aksesois </v>
          </cell>
          <cell r="G620" t="str">
            <v>m'</v>
          </cell>
          <cell r="H620">
            <v>305375</v>
          </cell>
        </row>
        <row r="621">
          <cell r="F621" t="str">
            <v>Pipa PPR PN 20 ; DN. 3" (80 mm) + fitting &amp; aksesoris</v>
          </cell>
          <cell r="G621" t="str">
            <v>m'</v>
          </cell>
          <cell r="H621">
            <v>305500</v>
          </cell>
        </row>
        <row r="622">
          <cell r="F622" t="str">
            <v xml:space="preserve">Pipa PPR PN 20 Ø 4" + Aksesois </v>
          </cell>
          <cell r="G622" t="str">
            <v>m'</v>
          </cell>
          <cell r="H622">
            <v>453900</v>
          </cell>
        </row>
        <row r="623">
          <cell r="F623" t="str">
            <v>Pipa PPR PN 20 ; DN. 4" (100 mm) + fitting &amp; aksesoris</v>
          </cell>
          <cell r="G623" t="str">
            <v>m'</v>
          </cell>
          <cell r="H623">
            <v>454000</v>
          </cell>
        </row>
        <row r="624">
          <cell r="F624" t="str">
            <v xml:space="preserve">Pipa PPR PN 20 Ø 6" + Aksesois </v>
          </cell>
          <cell r="G624" t="str">
            <v>m'</v>
          </cell>
          <cell r="H624">
            <v>1534825</v>
          </cell>
        </row>
        <row r="625">
          <cell r="F625" t="str">
            <v>Pipa PPR PN 20 ; DN. 6" (150 mm) + fitting &amp; akseso</v>
          </cell>
          <cell r="G625" t="str">
            <v>m'</v>
          </cell>
          <cell r="H625">
            <v>1535000</v>
          </cell>
        </row>
        <row r="626">
          <cell r="F626" t="str">
            <v xml:space="preserve">Pipa BS Ø 1/2" + Aksesois </v>
          </cell>
          <cell r="G626" t="str">
            <v>m'</v>
          </cell>
          <cell r="H626">
            <v>30000</v>
          </cell>
        </row>
        <row r="627">
          <cell r="F627" t="str">
            <v>Pipa BS MED CLASS ; DN. 1/2" (15 mm) + fitting &amp; aksesoris</v>
          </cell>
          <cell r="G627" t="str">
            <v>m'</v>
          </cell>
          <cell r="H627">
            <v>30500</v>
          </cell>
        </row>
        <row r="628">
          <cell r="F628" t="str">
            <v xml:space="preserve">Pipa BS Ø 3/4" + Aksesois </v>
          </cell>
          <cell r="G628" t="str">
            <v>m'</v>
          </cell>
          <cell r="H628">
            <v>37000</v>
          </cell>
        </row>
        <row r="629">
          <cell r="F629" t="str">
            <v>Pipa BS MED CLASS ; DN. 3/4" (20 mm) + fitting &amp; aksesoris</v>
          </cell>
          <cell r="G629" t="str">
            <v>m'</v>
          </cell>
          <cell r="H629">
            <v>37500</v>
          </cell>
        </row>
        <row r="630">
          <cell r="F630" t="str">
            <v xml:space="preserve">Pipa BS Ø 1" + Aksesois </v>
          </cell>
          <cell r="G630" t="str">
            <v>m'</v>
          </cell>
          <cell r="H630">
            <v>52500</v>
          </cell>
        </row>
        <row r="631">
          <cell r="F631" t="str">
            <v>Pipa BS MED CLASS ; DN. 1" (25 mm) + fitting &amp; aksesoris</v>
          </cell>
          <cell r="G631" t="str">
            <v>m'</v>
          </cell>
          <cell r="H631">
            <v>53000</v>
          </cell>
        </row>
        <row r="632">
          <cell r="F632" t="str">
            <v xml:space="preserve">Pipa BS Ø 1-1/4" + Aksesois </v>
          </cell>
          <cell r="G632" t="str">
            <v>m'</v>
          </cell>
          <cell r="H632">
            <v>67500</v>
          </cell>
        </row>
        <row r="633">
          <cell r="F633" t="str">
            <v>Pipa BS MED CLASS DN. 1-1/4" (32 mm) + fitting &amp; aksesoris</v>
          </cell>
          <cell r="G633" t="str">
            <v>m'</v>
          </cell>
          <cell r="H633">
            <v>68000</v>
          </cell>
        </row>
        <row r="634">
          <cell r="F634" t="str">
            <v xml:space="preserve">Pipa BS Ø 1-1/2" + Aksesois </v>
          </cell>
          <cell r="G634" t="str">
            <v>m'</v>
          </cell>
          <cell r="H634">
            <v>76666.666666666672</v>
          </cell>
        </row>
        <row r="635">
          <cell r="F635" t="str">
            <v>Pipa BS MED CLASS DN. 1-1/2" (40 mm) + fitting &amp; aksesoris</v>
          </cell>
          <cell r="G635" t="str">
            <v>m'</v>
          </cell>
          <cell r="H635">
            <v>77000</v>
          </cell>
        </row>
        <row r="636">
          <cell r="F636" t="str">
            <v xml:space="preserve">Pipa BS Ø 2" + Aksesois </v>
          </cell>
          <cell r="G636" t="str">
            <v>m'</v>
          </cell>
          <cell r="H636">
            <v>102666.66666666667</v>
          </cell>
        </row>
        <row r="637">
          <cell r="F637" t="str">
            <v>Pipa BS MED CLASS ; DN. 2" (50 mm) + fitting &amp; aksesoris</v>
          </cell>
          <cell r="G637" t="str">
            <v>m'</v>
          </cell>
          <cell r="H637">
            <v>103000</v>
          </cell>
        </row>
        <row r="638">
          <cell r="F638" t="str">
            <v xml:space="preserve">Pipa BS Ø 2-1/2" + Aksesois </v>
          </cell>
          <cell r="G638" t="str">
            <v>m'</v>
          </cell>
          <cell r="H638">
            <v>129333.33333333333</v>
          </cell>
        </row>
        <row r="639">
          <cell r="F639" t="str">
            <v>Pipa BS MED CLASS DN. 2-1/2" (65 mm) + fitting &amp; aksesoris</v>
          </cell>
          <cell r="G639" t="str">
            <v>m'</v>
          </cell>
          <cell r="H639">
            <v>130000</v>
          </cell>
        </row>
        <row r="640">
          <cell r="F640" t="str">
            <v xml:space="preserve">Pipa BS  Ø 3" + Aksesois </v>
          </cell>
          <cell r="G640" t="str">
            <v>m'</v>
          </cell>
          <cell r="H640">
            <v>165500</v>
          </cell>
        </row>
        <row r="641">
          <cell r="F641" t="str">
            <v>Pipa BS MED CLASS ; DN. 3" (80 mm) + fitting &amp; aksesoris</v>
          </cell>
          <cell r="G641" t="str">
            <v>m'</v>
          </cell>
          <cell r="H641">
            <v>166000</v>
          </cell>
        </row>
        <row r="642">
          <cell r="F642" t="str">
            <v xml:space="preserve">Pipa BS Ø 4" + Aksesois </v>
          </cell>
          <cell r="G642" t="str">
            <v>m'</v>
          </cell>
          <cell r="H642">
            <v>237166.66666666666</v>
          </cell>
        </row>
        <row r="643">
          <cell r="F643" t="str">
            <v>Pipa BS MED CLASS ; DN. 4" (100 mm) + fitting &amp; aksesoris</v>
          </cell>
          <cell r="G643" t="str">
            <v>m'</v>
          </cell>
          <cell r="H643">
            <v>237500</v>
          </cell>
        </row>
        <row r="644">
          <cell r="F644" t="str">
            <v xml:space="preserve">Pipa BS Ø 5" + Aksesois </v>
          </cell>
          <cell r="G644" t="str">
            <v>m'</v>
          </cell>
          <cell r="H644">
            <v>317166.66666666669</v>
          </cell>
        </row>
        <row r="645">
          <cell r="F645" t="str">
            <v>Pipa BS MED CLASS ; DN. 5" (125 mm) + fitting &amp; aksesoris</v>
          </cell>
          <cell r="G645" t="str">
            <v>m'</v>
          </cell>
          <cell r="H645">
            <v>317500</v>
          </cell>
        </row>
        <row r="646">
          <cell r="F646" t="str">
            <v xml:space="preserve">Pipa BS Ø 6" + Aksesois </v>
          </cell>
          <cell r="G646" t="str">
            <v>m'</v>
          </cell>
          <cell r="H646">
            <v>376500</v>
          </cell>
        </row>
        <row r="647">
          <cell r="F647" t="str">
            <v>Pipa BS MED CLASS ; DN. 6" (150 mm) + fitting &amp; aksesoris</v>
          </cell>
          <cell r="G647" t="str">
            <v>m'</v>
          </cell>
          <cell r="H647">
            <v>377000</v>
          </cell>
        </row>
        <row r="648">
          <cell r="F648" t="str">
            <v xml:space="preserve">Pipa BS Ø 8" + Aksesois </v>
          </cell>
          <cell r="G648" t="str">
            <v>m'</v>
          </cell>
          <cell r="H648">
            <v>663000</v>
          </cell>
        </row>
        <row r="649">
          <cell r="F649" t="str">
            <v>Pipa BS MED CLASS ; DN. 8" (200 mm) + fitting &amp; aksesoris</v>
          </cell>
          <cell r="G649" t="str">
            <v>m'</v>
          </cell>
          <cell r="H649">
            <v>663500</v>
          </cell>
        </row>
        <row r="650">
          <cell r="F650" t="str">
            <v>Pipa BS MED CLASS ; DN. 10" (250 mm) + fitting &amp; aksesoris</v>
          </cell>
          <cell r="G650" t="str">
            <v>m'</v>
          </cell>
          <cell r="H650">
            <v>756000</v>
          </cell>
        </row>
        <row r="651">
          <cell r="F651" t="str">
            <v xml:space="preserve">Pipa BS Ø 10" + Aksesois </v>
          </cell>
          <cell r="G651" t="str">
            <v>m'</v>
          </cell>
          <cell r="H651">
            <v>755916.66666666663</v>
          </cell>
        </row>
        <row r="652">
          <cell r="F652" t="str">
            <v>Pipa BS MED CLASS ; DN. 12" (300 mm) + fitting &amp; aksesoris</v>
          </cell>
          <cell r="G652" t="str">
            <v>m'</v>
          </cell>
          <cell r="H652">
            <v>883000</v>
          </cell>
        </row>
        <row r="653">
          <cell r="F653" t="str">
            <v xml:space="preserve">Pipa BS Ø 12" + Aksesois </v>
          </cell>
          <cell r="G653" t="str">
            <v>m'</v>
          </cell>
          <cell r="H653">
            <v>882666.66666666663</v>
          </cell>
        </row>
        <row r="654">
          <cell r="F654" t="str">
            <v>Pipa BS MED CLASS ; DN. 14" (350 mm) + fitting &amp; aksesoris</v>
          </cell>
          <cell r="G654" t="str">
            <v>m'</v>
          </cell>
          <cell r="H654">
            <v>1086000</v>
          </cell>
        </row>
        <row r="655">
          <cell r="F655" t="str">
            <v xml:space="preserve">Pipa BS Ø 14" + Aksesois </v>
          </cell>
          <cell r="G655" t="str">
            <v>m'</v>
          </cell>
          <cell r="H655">
            <v>1085500</v>
          </cell>
        </row>
        <row r="656">
          <cell r="F656" t="str">
            <v>Pipa BS MED CLASS ; DN. 16" (400 mm) + fitting &amp; aksesoris</v>
          </cell>
          <cell r="G656" t="str">
            <v>m'</v>
          </cell>
          <cell r="H656">
            <v>1241000</v>
          </cell>
        </row>
        <row r="657">
          <cell r="F657" t="str">
            <v xml:space="preserve">Pipa BS Ø 16" + Aksesois </v>
          </cell>
          <cell r="G657" t="str">
            <v>m'</v>
          </cell>
          <cell r="H657">
            <v>1240500</v>
          </cell>
        </row>
        <row r="658">
          <cell r="F658" t="str">
            <v>Pipa BS SCH 40 ; DN. 1/2" (15 mm) + fitting &amp; aksesoris</v>
          </cell>
          <cell r="G658" t="str">
            <v>m'</v>
          </cell>
          <cell r="H658">
            <v>250000</v>
          </cell>
        </row>
        <row r="659">
          <cell r="F659" t="str">
            <v>Pipa BS SCH 40 ; DN. 3/4" (20 mm) + fitting &amp; aksesoris</v>
          </cell>
          <cell r="G659" t="str">
            <v>m'</v>
          </cell>
          <cell r="H659">
            <v>260000</v>
          </cell>
        </row>
        <row r="660">
          <cell r="F660" t="str">
            <v>Pipa BS SCH 40 ; DN. 1-1/4" (32 mm) + fitting &amp; aksesoris</v>
          </cell>
          <cell r="G660" t="str">
            <v>m'</v>
          </cell>
          <cell r="H660">
            <v>270000</v>
          </cell>
        </row>
        <row r="661">
          <cell r="F661" t="str">
            <v>Pipa BS SCH 40 ; DN. 1-1/2" (40 mm) + fitting &amp; aksesoris</v>
          </cell>
          <cell r="G661" t="str">
            <v>m'</v>
          </cell>
          <cell r="H661">
            <v>280000</v>
          </cell>
        </row>
        <row r="662">
          <cell r="F662" t="str">
            <v>Pipa BS SCH 40 ; DN. 2" (50 mm) + fitting &amp; aksesoris</v>
          </cell>
          <cell r="G662" t="str">
            <v>m'</v>
          </cell>
          <cell r="H662">
            <v>290000</v>
          </cell>
        </row>
        <row r="663">
          <cell r="F663" t="str">
            <v>Pipa BS SCH 40 ; DN. 2-1/2" (65 mm) + fitting &amp; aksesoris</v>
          </cell>
          <cell r="G663" t="str">
            <v>m'</v>
          </cell>
          <cell r="H663">
            <v>300000</v>
          </cell>
        </row>
        <row r="664">
          <cell r="F664" t="str">
            <v>Pipa BS SCH 40 ; DN. 3" (80 mm) + fitting &amp; aksesoris</v>
          </cell>
          <cell r="G664" t="str">
            <v>m'</v>
          </cell>
          <cell r="H664">
            <v>310000</v>
          </cell>
        </row>
        <row r="665">
          <cell r="F665" t="str">
            <v>Pipa BS SCH 40 ; DN. 4" (100 mm) + fitting &amp; aksesoris</v>
          </cell>
          <cell r="G665" t="str">
            <v>m'</v>
          </cell>
          <cell r="H665">
            <v>320000</v>
          </cell>
        </row>
        <row r="666">
          <cell r="F666" t="str">
            <v>Pipa BS SCH 40 ; DN. 5" (125 mm) + fitting &amp; aksesoris</v>
          </cell>
          <cell r="G666" t="str">
            <v>m'</v>
          </cell>
          <cell r="H666">
            <v>330000</v>
          </cell>
        </row>
        <row r="667">
          <cell r="F667" t="str">
            <v>Pipa BS SCH 40 ; DN. 6" (150 mm) + fitting &amp; aksesoris</v>
          </cell>
          <cell r="G667" t="str">
            <v>m'</v>
          </cell>
          <cell r="H667">
            <v>340000</v>
          </cell>
        </row>
        <row r="668">
          <cell r="F668" t="str">
            <v>Pipa BS SCH 40 ; DN. 8" (200 mm) + fitting &amp; aksesoris</v>
          </cell>
          <cell r="G668" t="str">
            <v>m'</v>
          </cell>
          <cell r="H668">
            <v>350000</v>
          </cell>
        </row>
        <row r="669">
          <cell r="F669" t="str">
            <v>Pipa BS SCH 40 ; DN. 10" (250 mm) + fitting &amp; aksesoris</v>
          </cell>
          <cell r="G669" t="str">
            <v>m'</v>
          </cell>
          <cell r="H669">
            <v>360000</v>
          </cell>
        </row>
        <row r="670">
          <cell r="F670" t="str">
            <v>Pipa BS SCH 40 ; DN. 12" (300 mm) + fitting &amp; aksesoris</v>
          </cell>
          <cell r="G670" t="str">
            <v>m'</v>
          </cell>
          <cell r="H670">
            <v>370000</v>
          </cell>
        </row>
        <row r="671">
          <cell r="F671" t="str">
            <v>Pipa BS SCH 40 ; DN. 14" (350 mm) + fitting &amp; aksesoris</v>
          </cell>
          <cell r="G671" t="str">
            <v>m'</v>
          </cell>
          <cell r="H671">
            <v>380000</v>
          </cell>
        </row>
        <row r="672">
          <cell r="F672" t="str">
            <v>Pipa BS SCH 40 ; DN. 16" (400 mm) + fitting &amp; aksesoris</v>
          </cell>
          <cell r="G672" t="str">
            <v>m'</v>
          </cell>
          <cell r="H672">
            <v>390000</v>
          </cell>
        </row>
        <row r="673">
          <cell r="F673" t="str">
            <v>Pipa Tanah, DN. 6" (150 mm</v>
          </cell>
          <cell r="G673" t="str">
            <v>m'</v>
          </cell>
          <cell r="H673">
            <v>187500</v>
          </cell>
        </row>
        <row r="674">
          <cell r="F674" t="str">
            <v>Pipa Tanah, DN. 8" (200 mm)</v>
          </cell>
          <cell r="G674" t="str">
            <v>m'</v>
          </cell>
          <cell r="H674">
            <v>205000</v>
          </cell>
        </row>
        <row r="675">
          <cell r="F675" t="str">
            <v>Gate Valve dia. 1/2"</v>
          </cell>
          <cell r="G675" t="str">
            <v xml:space="preserve">unit </v>
          </cell>
          <cell r="H675">
            <v>1500000</v>
          </cell>
        </row>
        <row r="676">
          <cell r="F676" t="str">
            <v>Gate Valve dia. 3/4"</v>
          </cell>
          <cell r="G676" t="str">
            <v xml:space="preserve">unit </v>
          </cell>
          <cell r="H676">
            <v>1700000</v>
          </cell>
        </row>
        <row r="677">
          <cell r="F677" t="str">
            <v>Gate Valve dia. 1"</v>
          </cell>
          <cell r="G677" t="str">
            <v xml:space="preserve">unit </v>
          </cell>
          <cell r="H677">
            <v>1900000</v>
          </cell>
        </row>
        <row r="678">
          <cell r="F678" t="str">
            <v>Gate Valve dia. 1-1/4"</v>
          </cell>
          <cell r="G678" t="str">
            <v xml:space="preserve">unit </v>
          </cell>
          <cell r="H678">
            <v>2050000</v>
          </cell>
        </row>
        <row r="679">
          <cell r="F679" t="str">
            <v>Gate Valve dia. 1-1/2"</v>
          </cell>
          <cell r="G679" t="str">
            <v xml:space="preserve">unit </v>
          </cell>
          <cell r="H679">
            <v>2125000</v>
          </cell>
        </row>
        <row r="680">
          <cell r="F680" t="str">
            <v>Gate Valve dia.2"</v>
          </cell>
          <cell r="G680" t="str">
            <v xml:space="preserve">unit </v>
          </cell>
          <cell r="H680">
            <v>2315000</v>
          </cell>
        </row>
        <row r="681">
          <cell r="F681" t="str">
            <v>Gate Valve dia.2-1/2"</v>
          </cell>
          <cell r="G681" t="str">
            <v xml:space="preserve">unit </v>
          </cell>
          <cell r="H681">
            <v>2475000</v>
          </cell>
        </row>
        <row r="682">
          <cell r="F682" t="str">
            <v>Gate Valve dia.3"</v>
          </cell>
          <cell r="G682" t="str">
            <v xml:space="preserve">unit </v>
          </cell>
          <cell r="H682">
            <v>2750000</v>
          </cell>
        </row>
        <row r="683">
          <cell r="F683" t="str">
            <v>Gate Valve dia.4"</v>
          </cell>
          <cell r="G683" t="str">
            <v xml:space="preserve">unit </v>
          </cell>
          <cell r="H683">
            <v>2995000</v>
          </cell>
        </row>
        <row r="684">
          <cell r="F684" t="str">
            <v>Gate Valve dia.5"</v>
          </cell>
          <cell r="G684" t="str">
            <v xml:space="preserve">unit </v>
          </cell>
          <cell r="H684">
            <v>3250000</v>
          </cell>
        </row>
        <row r="685">
          <cell r="F685" t="str">
            <v>Gate Valve dia.6"</v>
          </cell>
          <cell r="G685" t="str">
            <v xml:space="preserve">unit </v>
          </cell>
          <cell r="H685">
            <v>3570000</v>
          </cell>
        </row>
        <row r="686">
          <cell r="F686" t="str">
            <v>Gate Valve dia.8"</v>
          </cell>
          <cell r="G686" t="str">
            <v xml:space="preserve">unit </v>
          </cell>
          <cell r="H686">
            <v>3950000</v>
          </cell>
        </row>
        <row r="687">
          <cell r="F687" t="str">
            <v>Gate Valve dia.10"</v>
          </cell>
          <cell r="G687" t="str">
            <v xml:space="preserve">unit </v>
          </cell>
          <cell r="H687">
            <v>4210000</v>
          </cell>
        </row>
        <row r="688">
          <cell r="F688" t="str">
            <v>Gate Valve dia.12"</v>
          </cell>
          <cell r="G688" t="str">
            <v xml:space="preserve">unit </v>
          </cell>
          <cell r="H688">
            <v>4520000</v>
          </cell>
        </row>
        <row r="689">
          <cell r="F689" t="str">
            <v>Gate Valve dia.6"</v>
          </cell>
          <cell r="G689" t="str">
            <v xml:space="preserve">unit </v>
          </cell>
          <cell r="H689">
            <v>5750000</v>
          </cell>
        </row>
        <row r="690">
          <cell r="F690" t="str">
            <v>Ball Velve dia. 1/2"</v>
          </cell>
          <cell r="G690" t="str">
            <v xml:space="preserve">unit </v>
          </cell>
          <cell r="H690">
            <v>25000</v>
          </cell>
        </row>
        <row r="691">
          <cell r="F691" t="str">
            <v>Ball Velve dia. 3/4"</v>
          </cell>
          <cell r="G691" t="str">
            <v xml:space="preserve">unit </v>
          </cell>
          <cell r="H691">
            <v>36750</v>
          </cell>
        </row>
        <row r="692">
          <cell r="F692" t="str">
            <v>Ball Velve dia. 1"</v>
          </cell>
          <cell r="G692" t="str">
            <v xml:space="preserve">unit </v>
          </cell>
          <cell r="H692">
            <v>46100</v>
          </cell>
        </row>
        <row r="693">
          <cell r="F693" t="str">
            <v>Ball Velve dia. 1-1/4"</v>
          </cell>
          <cell r="G693" t="str">
            <v xml:space="preserve">unit </v>
          </cell>
          <cell r="H693">
            <v>68000</v>
          </cell>
        </row>
        <row r="694">
          <cell r="F694" t="str">
            <v>Ball Velve dia. 1-1/2"</v>
          </cell>
          <cell r="G694" t="str">
            <v xml:space="preserve">unit </v>
          </cell>
          <cell r="H694">
            <v>79000</v>
          </cell>
        </row>
        <row r="695">
          <cell r="F695" t="str">
            <v>Ball Velve dia. 2"</v>
          </cell>
          <cell r="G695" t="str">
            <v xml:space="preserve">unit </v>
          </cell>
          <cell r="H695">
            <v>118000</v>
          </cell>
        </row>
        <row r="696">
          <cell r="F696" t="str">
            <v>Ball Velve dia. 2-1/2"</v>
          </cell>
          <cell r="G696" t="str">
            <v xml:space="preserve">unit </v>
          </cell>
          <cell r="H696">
            <v>145000</v>
          </cell>
        </row>
        <row r="697">
          <cell r="F697" t="str">
            <v>Ball Velve dia. 3"</v>
          </cell>
          <cell r="G697" t="str">
            <v xml:space="preserve">unit </v>
          </cell>
          <cell r="H697">
            <v>215000</v>
          </cell>
        </row>
        <row r="698">
          <cell r="F698" t="str">
            <v>Ball Velve dia. 4"</v>
          </cell>
          <cell r="G698" t="str">
            <v xml:space="preserve">unit </v>
          </cell>
          <cell r="H698">
            <v>233300</v>
          </cell>
        </row>
        <row r="699">
          <cell r="F699" t="str">
            <v>Check Velve dia. 1/2"</v>
          </cell>
          <cell r="G699" t="str">
            <v xml:space="preserve">unit </v>
          </cell>
          <cell r="H699">
            <v>39000</v>
          </cell>
        </row>
        <row r="700">
          <cell r="F700" t="str">
            <v>Check Velve dia. 3/4"</v>
          </cell>
          <cell r="G700" t="str">
            <v xml:space="preserve">unit </v>
          </cell>
          <cell r="H700">
            <v>59000</v>
          </cell>
        </row>
        <row r="701">
          <cell r="F701" t="str">
            <v>Check Velve dia. 1"</v>
          </cell>
          <cell r="G701" t="str">
            <v xml:space="preserve">unit </v>
          </cell>
          <cell r="H701">
            <v>88350</v>
          </cell>
        </row>
        <row r="702">
          <cell r="F702" t="str">
            <v>Check Velve dia. 1-1/4"</v>
          </cell>
          <cell r="G702" t="str">
            <v xml:space="preserve">unit </v>
          </cell>
          <cell r="H702">
            <v>110960</v>
          </cell>
        </row>
        <row r="703">
          <cell r="F703" t="str">
            <v>Check Velve dia. 1-1/2"</v>
          </cell>
          <cell r="G703" t="str">
            <v xml:space="preserve">unit </v>
          </cell>
          <cell r="H703">
            <v>148960</v>
          </cell>
        </row>
        <row r="704">
          <cell r="F704" t="str">
            <v>Check Velve dia. 2"</v>
          </cell>
          <cell r="G704" t="str">
            <v xml:space="preserve">unit </v>
          </cell>
          <cell r="H704">
            <v>215460</v>
          </cell>
        </row>
        <row r="705">
          <cell r="F705" t="str">
            <v>Check Velve dia. 2-1/2"</v>
          </cell>
          <cell r="G705" t="str">
            <v xml:space="preserve">unit </v>
          </cell>
          <cell r="H705">
            <v>265000</v>
          </cell>
        </row>
        <row r="706">
          <cell r="F706" t="str">
            <v>Check Velve dia. 3"</v>
          </cell>
          <cell r="G706" t="str">
            <v xml:space="preserve">unit </v>
          </cell>
          <cell r="H706">
            <v>587000</v>
          </cell>
        </row>
        <row r="707">
          <cell r="F707" t="str">
            <v>Check Velve dia. 4"</v>
          </cell>
          <cell r="G707" t="str">
            <v xml:space="preserve">unit </v>
          </cell>
          <cell r="H707">
            <v>1440000</v>
          </cell>
        </row>
        <row r="708">
          <cell r="F708" t="str">
            <v>Check Velve dia. 5"</v>
          </cell>
          <cell r="G708" t="str">
            <v xml:space="preserve">unit </v>
          </cell>
          <cell r="H708">
            <v>2750000</v>
          </cell>
        </row>
        <row r="709">
          <cell r="F709" t="str">
            <v>Check Velve dia. 6"</v>
          </cell>
          <cell r="G709" t="str">
            <v xml:space="preserve">unit </v>
          </cell>
          <cell r="H709">
            <v>3050000</v>
          </cell>
        </row>
        <row r="710">
          <cell r="F710" t="str">
            <v>Check Velve dia. 8"</v>
          </cell>
          <cell r="G710" t="str">
            <v xml:space="preserve">unit </v>
          </cell>
          <cell r="H710">
            <v>3470000</v>
          </cell>
        </row>
        <row r="711">
          <cell r="F711" t="str">
            <v>Check Velve dia. 10"</v>
          </cell>
          <cell r="G711" t="str">
            <v xml:space="preserve">unit </v>
          </cell>
          <cell r="H711">
            <v>3680000</v>
          </cell>
        </row>
        <row r="712">
          <cell r="F712" t="str">
            <v>Check Velve dia. 12"</v>
          </cell>
          <cell r="G712" t="str">
            <v xml:space="preserve">unit </v>
          </cell>
          <cell r="H712">
            <v>3970000</v>
          </cell>
        </row>
        <row r="713">
          <cell r="F713" t="str">
            <v>Strainer dia. 1/2"</v>
          </cell>
          <cell r="G713" t="str">
            <v xml:space="preserve">unit </v>
          </cell>
          <cell r="H713">
            <v>36000</v>
          </cell>
        </row>
        <row r="714">
          <cell r="F714" t="str">
            <v>Strainer dia. 3/4"</v>
          </cell>
          <cell r="G714" t="str">
            <v xml:space="preserve">unit </v>
          </cell>
          <cell r="H714">
            <v>47000</v>
          </cell>
        </row>
        <row r="715">
          <cell r="F715" t="str">
            <v>Strainer dia. 1"</v>
          </cell>
          <cell r="G715" t="str">
            <v xml:space="preserve">unit </v>
          </cell>
          <cell r="H715">
            <v>59000</v>
          </cell>
        </row>
        <row r="716">
          <cell r="F716" t="str">
            <v>Strainer dia. 1-1/4"</v>
          </cell>
          <cell r="G716" t="str">
            <v xml:space="preserve">unit </v>
          </cell>
          <cell r="H716">
            <v>95600</v>
          </cell>
        </row>
        <row r="717">
          <cell r="F717" t="str">
            <v>Strainer dia. 1-1/2"</v>
          </cell>
          <cell r="G717" t="str">
            <v xml:space="preserve">unit </v>
          </cell>
          <cell r="H717">
            <v>143000</v>
          </cell>
        </row>
        <row r="718">
          <cell r="F718" t="str">
            <v>Strainer dia. 2"</v>
          </cell>
          <cell r="G718" t="str">
            <v xml:space="preserve">unit </v>
          </cell>
          <cell r="H718">
            <v>303600</v>
          </cell>
        </row>
        <row r="719">
          <cell r="F719" t="str">
            <v>Strainer dia. 2-1/2"</v>
          </cell>
          <cell r="G719" t="str">
            <v xml:space="preserve">unit </v>
          </cell>
          <cell r="H719">
            <v>415600</v>
          </cell>
        </row>
        <row r="720">
          <cell r="F720" t="str">
            <v>Strainer dia. 3"</v>
          </cell>
          <cell r="G720" t="str">
            <v xml:space="preserve">unit </v>
          </cell>
          <cell r="H720">
            <v>552000</v>
          </cell>
        </row>
        <row r="721">
          <cell r="F721" t="str">
            <v>Strainer dia. 4"</v>
          </cell>
          <cell r="G721" t="str">
            <v xml:space="preserve">unit </v>
          </cell>
          <cell r="H721">
            <v>809600</v>
          </cell>
        </row>
        <row r="722">
          <cell r="F722" t="str">
            <v>Strainer dia. 5"</v>
          </cell>
          <cell r="G722" t="str">
            <v xml:space="preserve">unit </v>
          </cell>
          <cell r="H722">
            <v>873000</v>
          </cell>
        </row>
        <row r="723">
          <cell r="F723" t="str">
            <v>Strainer dia. 6"</v>
          </cell>
          <cell r="G723" t="str">
            <v xml:space="preserve">unit </v>
          </cell>
          <cell r="H723">
            <v>970500</v>
          </cell>
        </row>
        <row r="724">
          <cell r="F724" t="str">
            <v>Strainer dia. 8"</v>
          </cell>
          <cell r="G724" t="str">
            <v xml:space="preserve">unit </v>
          </cell>
          <cell r="H724">
            <v>1260000</v>
          </cell>
        </row>
        <row r="725">
          <cell r="F725" t="str">
            <v>Strainer dia. 10"</v>
          </cell>
          <cell r="G725" t="str">
            <v xml:space="preserve">unit </v>
          </cell>
          <cell r="H725">
            <v>1540000</v>
          </cell>
        </row>
        <row r="726">
          <cell r="F726" t="str">
            <v>Strainer dia. 12"</v>
          </cell>
          <cell r="G726" t="str">
            <v xml:space="preserve">unit </v>
          </cell>
          <cell r="H726">
            <v>1670000</v>
          </cell>
        </row>
        <row r="727">
          <cell r="F727" t="str">
            <v>Strainer dia. 14"</v>
          </cell>
          <cell r="G727" t="str">
            <v xml:space="preserve">unit </v>
          </cell>
          <cell r="H727">
            <v>1820000</v>
          </cell>
        </row>
        <row r="728">
          <cell r="F728" t="str">
            <v>Floater Velve dia. 1/2"</v>
          </cell>
          <cell r="G728" t="str">
            <v xml:space="preserve">unit </v>
          </cell>
          <cell r="H728">
            <v>221000</v>
          </cell>
        </row>
        <row r="729">
          <cell r="F729" t="str">
            <v>Floater Velve dia. 3/4"</v>
          </cell>
          <cell r="G729" t="str">
            <v xml:space="preserve">unit </v>
          </cell>
          <cell r="H729">
            <v>250000</v>
          </cell>
        </row>
        <row r="730">
          <cell r="F730" t="str">
            <v>Floater Velve dia. 1"</v>
          </cell>
          <cell r="G730" t="str">
            <v xml:space="preserve">unit </v>
          </cell>
          <cell r="H730">
            <v>375000</v>
          </cell>
        </row>
        <row r="731">
          <cell r="F731" t="str">
            <v>Floater Velve dia. 1-1/4"</v>
          </cell>
          <cell r="G731" t="str">
            <v xml:space="preserve">unit </v>
          </cell>
          <cell r="H731">
            <v>485000</v>
          </cell>
        </row>
        <row r="732">
          <cell r="F732" t="str">
            <v>Floater Velve dia. 1-1/2"</v>
          </cell>
          <cell r="G732" t="str">
            <v xml:space="preserve">unit </v>
          </cell>
          <cell r="H732">
            <v>630000</v>
          </cell>
        </row>
        <row r="733">
          <cell r="F733" t="str">
            <v>Floater Velve dia. 2"</v>
          </cell>
          <cell r="G733" t="str">
            <v xml:space="preserve">unit </v>
          </cell>
          <cell r="H733">
            <v>870000</v>
          </cell>
        </row>
        <row r="734">
          <cell r="F734" t="str">
            <v>Floater Velve dia. 2-1/2"</v>
          </cell>
          <cell r="G734" t="str">
            <v xml:space="preserve">unit </v>
          </cell>
          <cell r="H734">
            <v>980000</v>
          </cell>
        </row>
        <row r="735">
          <cell r="F735" t="str">
            <v>Floater Velve dia. 3"</v>
          </cell>
          <cell r="G735" t="str">
            <v xml:space="preserve">unit </v>
          </cell>
          <cell r="H735">
            <v>1170000</v>
          </cell>
        </row>
        <row r="736">
          <cell r="F736" t="str">
            <v>Floater Velve dia. 4"</v>
          </cell>
          <cell r="G736" t="str">
            <v xml:space="preserve">unit </v>
          </cell>
          <cell r="H736">
            <v>1370000</v>
          </cell>
        </row>
        <row r="737">
          <cell r="F737" t="str">
            <v>Floater Velve dia. 5"</v>
          </cell>
          <cell r="G737" t="str">
            <v xml:space="preserve">unit </v>
          </cell>
          <cell r="H737">
            <v>1520000</v>
          </cell>
        </row>
        <row r="738">
          <cell r="F738" t="str">
            <v>Floater Velve dia. 6"</v>
          </cell>
          <cell r="G738" t="str">
            <v xml:space="preserve">unit </v>
          </cell>
          <cell r="H738">
            <v>1740000</v>
          </cell>
        </row>
        <row r="739">
          <cell r="F739" t="str">
            <v>Floater Velve dia. 8"</v>
          </cell>
          <cell r="G739" t="str">
            <v xml:space="preserve">unit </v>
          </cell>
          <cell r="H739">
            <v>1960000</v>
          </cell>
        </row>
        <row r="740">
          <cell r="F740" t="str">
            <v>Floater Velve dia. 10"</v>
          </cell>
          <cell r="G740" t="str">
            <v xml:space="preserve">unit </v>
          </cell>
          <cell r="H740">
            <v>2130000</v>
          </cell>
        </row>
        <row r="741">
          <cell r="F741" t="str">
            <v>Floater Velve dia. 12"</v>
          </cell>
          <cell r="G741" t="str">
            <v xml:space="preserve">unit </v>
          </cell>
          <cell r="H741">
            <v>2480000</v>
          </cell>
        </row>
        <row r="742">
          <cell r="F742" t="str">
            <v>Foot Velve dia. 1/2"</v>
          </cell>
          <cell r="G742" t="str">
            <v xml:space="preserve">unit </v>
          </cell>
          <cell r="H742">
            <v>21450</v>
          </cell>
        </row>
        <row r="743">
          <cell r="F743" t="str">
            <v>Foot Velve dia. 3/4"</v>
          </cell>
          <cell r="G743" t="str">
            <v xml:space="preserve">unit </v>
          </cell>
          <cell r="H743">
            <v>69400</v>
          </cell>
        </row>
        <row r="744">
          <cell r="F744" t="str">
            <v>Foot Velve dia. 1"</v>
          </cell>
          <cell r="G744" t="str">
            <v xml:space="preserve">unit </v>
          </cell>
          <cell r="H744">
            <v>83800</v>
          </cell>
        </row>
        <row r="745">
          <cell r="F745" t="str">
            <v>Foot Velve dia. 1-1/4"</v>
          </cell>
          <cell r="G745" t="str">
            <v xml:space="preserve">unit </v>
          </cell>
          <cell r="H745">
            <v>134600</v>
          </cell>
        </row>
        <row r="746">
          <cell r="F746" t="str">
            <v>Foot Velve dia. 1-1/2"</v>
          </cell>
          <cell r="G746" t="str">
            <v xml:space="preserve">unit </v>
          </cell>
          <cell r="H746">
            <v>202000</v>
          </cell>
        </row>
        <row r="747">
          <cell r="F747" t="str">
            <v>Foot Velve dia. 2"</v>
          </cell>
          <cell r="G747" t="str">
            <v xml:space="preserve">unit </v>
          </cell>
          <cell r="H747">
            <v>331300</v>
          </cell>
        </row>
        <row r="748">
          <cell r="F748" t="str">
            <v>Foot Velve dia. 2-1/2"</v>
          </cell>
          <cell r="G748" t="str">
            <v xml:space="preserve">unit </v>
          </cell>
          <cell r="H748">
            <v>348000</v>
          </cell>
        </row>
        <row r="749">
          <cell r="F749" t="str">
            <v>Foot Velve dia. 3"</v>
          </cell>
          <cell r="G749" t="str">
            <v xml:space="preserve">unit </v>
          </cell>
          <cell r="H749">
            <v>609000</v>
          </cell>
        </row>
        <row r="750">
          <cell r="F750" t="str">
            <v>Foot Velve dia. 4"</v>
          </cell>
          <cell r="G750" t="str">
            <v xml:space="preserve">unit </v>
          </cell>
          <cell r="H750">
            <v>870000</v>
          </cell>
        </row>
        <row r="751">
          <cell r="F751" t="str">
            <v>Foot Velve dia. 5"</v>
          </cell>
          <cell r="G751" t="str">
            <v xml:space="preserve">unit </v>
          </cell>
          <cell r="H751">
            <v>920500</v>
          </cell>
        </row>
        <row r="752">
          <cell r="F752" t="str">
            <v>Foot Velve dia. 6"</v>
          </cell>
          <cell r="G752" t="str">
            <v xml:space="preserve">unit </v>
          </cell>
          <cell r="H752">
            <v>1055000</v>
          </cell>
        </row>
        <row r="753">
          <cell r="F753" t="str">
            <v>Foot Velve dia. 8"</v>
          </cell>
          <cell r="G753" t="str">
            <v xml:space="preserve">unit </v>
          </cell>
          <cell r="H753">
            <v>1315000</v>
          </cell>
        </row>
        <row r="754">
          <cell r="F754" t="str">
            <v>Foot Velve dia. 10"</v>
          </cell>
          <cell r="G754" t="str">
            <v xml:space="preserve">unit </v>
          </cell>
          <cell r="H754">
            <v>1525000</v>
          </cell>
        </row>
        <row r="755">
          <cell r="F755" t="str">
            <v>Foot Velve dia. 12"</v>
          </cell>
          <cell r="G755" t="str">
            <v xml:space="preserve">unit </v>
          </cell>
          <cell r="H755">
            <v>1740000</v>
          </cell>
        </row>
        <row r="756">
          <cell r="F756" t="str">
            <v>Foot Velve dia. 14"</v>
          </cell>
          <cell r="G756" t="str">
            <v xml:space="preserve">unit </v>
          </cell>
          <cell r="H756">
            <v>1980000</v>
          </cell>
        </row>
        <row r="757">
          <cell r="F757" t="str">
            <v>Flexible Joint dia. 1/2"</v>
          </cell>
          <cell r="G757" t="str">
            <v xml:space="preserve">unit </v>
          </cell>
          <cell r="H757">
            <v>33600</v>
          </cell>
        </row>
        <row r="758">
          <cell r="F758" t="str">
            <v>Flexible Joint dia. 3/4"</v>
          </cell>
          <cell r="G758" t="str">
            <v xml:space="preserve">unit </v>
          </cell>
          <cell r="H758">
            <v>46500</v>
          </cell>
        </row>
        <row r="759">
          <cell r="F759" t="str">
            <v>Flexible Joint dia. 1"</v>
          </cell>
          <cell r="G759" t="str">
            <v xml:space="preserve">unit </v>
          </cell>
          <cell r="H759">
            <v>87500</v>
          </cell>
        </row>
        <row r="760">
          <cell r="F760" t="str">
            <v>Flexible Joint dia. 1-1/4"</v>
          </cell>
          <cell r="G760" t="str">
            <v xml:space="preserve">unit </v>
          </cell>
          <cell r="H760">
            <v>97800</v>
          </cell>
        </row>
        <row r="761">
          <cell r="F761" t="str">
            <v>Flexible Joint dia. 1-1/2"</v>
          </cell>
          <cell r="G761" t="str">
            <v xml:space="preserve">unit </v>
          </cell>
          <cell r="H761">
            <v>105700</v>
          </cell>
        </row>
        <row r="762">
          <cell r="F762" t="str">
            <v>Flexible Joint dia. 2"</v>
          </cell>
          <cell r="G762" t="str">
            <v xml:space="preserve">unit </v>
          </cell>
          <cell r="H762">
            <v>136500</v>
          </cell>
        </row>
        <row r="763">
          <cell r="F763" t="str">
            <v>Flexible Joint dia. 2-1/2"</v>
          </cell>
          <cell r="G763" t="str">
            <v xml:space="preserve">unit </v>
          </cell>
          <cell r="H763">
            <v>157900</v>
          </cell>
        </row>
        <row r="764">
          <cell r="F764" t="str">
            <v>Flexible Joint dia. 3"</v>
          </cell>
          <cell r="G764" t="str">
            <v xml:space="preserve">unit </v>
          </cell>
          <cell r="H764">
            <v>165400</v>
          </cell>
        </row>
        <row r="765">
          <cell r="F765" t="str">
            <v>Flexible Joint dia. 4"</v>
          </cell>
          <cell r="G765" t="str">
            <v xml:space="preserve">unit </v>
          </cell>
          <cell r="H765">
            <v>360000</v>
          </cell>
        </row>
        <row r="766">
          <cell r="F766" t="str">
            <v>Flexible Joint dia. 5"</v>
          </cell>
          <cell r="G766" t="str">
            <v xml:space="preserve">unit </v>
          </cell>
          <cell r="H766">
            <v>740900</v>
          </cell>
        </row>
        <row r="767">
          <cell r="F767" t="str">
            <v>Flexible Joint dia. 6"</v>
          </cell>
          <cell r="G767" t="str">
            <v xml:space="preserve">unit </v>
          </cell>
          <cell r="H767">
            <v>937500</v>
          </cell>
        </row>
        <row r="768">
          <cell r="F768" t="str">
            <v>Flexible Joint dia. 8"</v>
          </cell>
          <cell r="G768" t="str">
            <v xml:space="preserve">unit </v>
          </cell>
          <cell r="H768">
            <v>1050900</v>
          </cell>
        </row>
        <row r="769">
          <cell r="F769" t="str">
            <v>Flexible Joint dia. 10"</v>
          </cell>
          <cell r="G769" t="str">
            <v xml:space="preserve">unit </v>
          </cell>
          <cell r="H769">
            <v>1345000</v>
          </cell>
        </row>
        <row r="770">
          <cell r="F770" t="str">
            <v>Flexible Joint dia. 12"</v>
          </cell>
          <cell r="G770" t="str">
            <v xml:space="preserve">unit </v>
          </cell>
          <cell r="H770">
            <v>1678000</v>
          </cell>
        </row>
        <row r="771">
          <cell r="F771" t="str">
            <v>Flexible Joint dia. 14"</v>
          </cell>
          <cell r="G771" t="str">
            <v xml:space="preserve">unit </v>
          </cell>
          <cell r="H771">
            <v>1945000</v>
          </cell>
        </row>
        <row r="772">
          <cell r="F772" t="str">
            <v>Butterfly Velve dia. 2"</v>
          </cell>
          <cell r="G772" t="str">
            <v xml:space="preserve">unit </v>
          </cell>
          <cell r="H772">
            <v>136100</v>
          </cell>
        </row>
        <row r="773">
          <cell r="F773" t="str">
            <v>Butterfly Velve dia. 2-1/2"</v>
          </cell>
          <cell r="G773" t="str">
            <v xml:space="preserve">unit </v>
          </cell>
          <cell r="H773">
            <v>170700</v>
          </cell>
        </row>
        <row r="774">
          <cell r="F774" t="str">
            <v>Butterfly Velve dia. 3"</v>
          </cell>
          <cell r="G774" t="str">
            <v xml:space="preserve">unit </v>
          </cell>
          <cell r="H774">
            <v>276400</v>
          </cell>
        </row>
        <row r="775">
          <cell r="F775" t="str">
            <v>Butterfly Velve dia. 4"</v>
          </cell>
          <cell r="G775" t="str">
            <v xml:space="preserve">unit </v>
          </cell>
          <cell r="H775">
            <v>303600</v>
          </cell>
        </row>
        <row r="776">
          <cell r="F776" t="str">
            <v>Butterfly Velve dia. 5"</v>
          </cell>
          <cell r="G776" t="str">
            <v xml:space="preserve">unit </v>
          </cell>
          <cell r="H776">
            <v>515200</v>
          </cell>
        </row>
        <row r="777">
          <cell r="F777" t="str">
            <v>Butterfly Velve dia. 6"</v>
          </cell>
          <cell r="G777" t="str">
            <v xml:space="preserve">unit </v>
          </cell>
          <cell r="H777">
            <v>829300</v>
          </cell>
        </row>
        <row r="778">
          <cell r="F778" t="str">
            <v>Butterfly Velve dia. 8"</v>
          </cell>
          <cell r="G778" t="str">
            <v xml:space="preserve">unit </v>
          </cell>
          <cell r="H778">
            <v>1364500</v>
          </cell>
        </row>
        <row r="779">
          <cell r="F779" t="str">
            <v>Butterfly Velve dia. 10"</v>
          </cell>
          <cell r="G779" t="str">
            <v xml:space="preserve">unit </v>
          </cell>
          <cell r="H779">
            <v>1808900</v>
          </cell>
        </row>
        <row r="780">
          <cell r="F780" t="str">
            <v>Butterfly Velve dia. 12"</v>
          </cell>
          <cell r="G780" t="str">
            <v xml:space="preserve">unit </v>
          </cell>
          <cell r="H780">
            <v>2170800</v>
          </cell>
        </row>
        <row r="781">
          <cell r="F781" t="str">
            <v>Globe Velve dia. 1/2"</v>
          </cell>
          <cell r="G781" t="str">
            <v xml:space="preserve">unit </v>
          </cell>
          <cell r="H781">
            <v>104500</v>
          </cell>
        </row>
        <row r="782">
          <cell r="F782" t="str">
            <v>Globe Velve dia. 3/4"</v>
          </cell>
          <cell r="G782" t="str">
            <v xml:space="preserve">unit </v>
          </cell>
          <cell r="H782">
            <v>118000</v>
          </cell>
        </row>
        <row r="783">
          <cell r="F783" t="str">
            <v>Globe Velve dia. 1"</v>
          </cell>
          <cell r="G783" t="str">
            <v xml:space="preserve">unit </v>
          </cell>
          <cell r="H783">
            <v>140500</v>
          </cell>
        </row>
        <row r="784">
          <cell r="F784" t="str">
            <v>Globe Velve dia. 1-1/4"</v>
          </cell>
          <cell r="G784" t="str">
            <v xml:space="preserve">unit </v>
          </cell>
          <cell r="H784">
            <v>189900</v>
          </cell>
        </row>
        <row r="785">
          <cell r="F785" t="str">
            <v>Globe Velve dia. 1-1/2"</v>
          </cell>
          <cell r="G785" t="str">
            <v xml:space="preserve">unit </v>
          </cell>
          <cell r="H785">
            <v>252900</v>
          </cell>
        </row>
        <row r="786">
          <cell r="F786" t="str">
            <v>Globe Velve dia. 2"</v>
          </cell>
          <cell r="G786" t="str">
            <v xml:space="preserve">unit </v>
          </cell>
          <cell r="H786">
            <v>966300</v>
          </cell>
        </row>
        <row r="787">
          <cell r="F787" t="str">
            <v>Globe Velve dia. 2-1/2"</v>
          </cell>
          <cell r="G787" t="str">
            <v xml:space="preserve">unit </v>
          </cell>
          <cell r="H787">
            <v>1214300</v>
          </cell>
        </row>
        <row r="788">
          <cell r="F788" t="str">
            <v>Globe Velve dia. 3"</v>
          </cell>
          <cell r="G788" t="str">
            <v xml:space="preserve">unit </v>
          </cell>
          <cell r="H788">
            <v>1573100</v>
          </cell>
        </row>
        <row r="789">
          <cell r="F789" t="str">
            <v>Globe Velve dia. 4"</v>
          </cell>
          <cell r="G789" t="str">
            <v xml:space="preserve">unit </v>
          </cell>
          <cell r="H789">
            <v>2121400</v>
          </cell>
        </row>
        <row r="790">
          <cell r="F790" t="str">
            <v>Globe Velve dia. 5"</v>
          </cell>
          <cell r="G790" t="str">
            <v xml:space="preserve">unit </v>
          </cell>
          <cell r="H790">
            <v>3890000</v>
          </cell>
        </row>
        <row r="791">
          <cell r="F791" t="str">
            <v>Globe Velve dia. 6"</v>
          </cell>
          <cell r="G791" t="str">
            <v xml:space="preserve">unit </v>
          </cell>
          <cell r="H791">
            <v>4996000</v>
          </cell>
        </row>
        <row r="792">
          <cell r="F792" t="str">
            <v>Globe Velve dia. 8"</v>
          </cell>
          <cell r="G792" t="str">
            <v xml:space="preserve">unit </v>
          </cell>
          <cell r="H792">
            <v>5740000</v>
          </cell>
        </row>
        <row r="793">
          <cell r="F793" t="str">
            <v>Pressure Gauge dia. 1/2"</v>
          </cell>
          <cell r="G793" t="str">
            <v xml:space="preserve">unit </v>
          </cell>
          <cell r="H793">
            <v>58000</v>
          </cell>
        </row>
        <row r="794">
          <cell r="F794" t="str">
            <v>Pressure Gauge dia. 1"</v>
          </cell>
          <cell r="G794" t="str">
            <v xml:space="preserve">unit </v>
          </cell>
          <cell r="H794">
            <v>79800</v>
          </cell>
        </row>
        <row r="795">
          <cell r="F795" t="str">
            <v>Pressure Gauge dia. 2"</v>
          </cell>
          <cell r="G795" t="str">
            <v xml:space="preserve">unit </v>
          </cell>
          <cell r="H795">
            <v>123000</v>
          </cell>
        </row>
        <row r="796">
          <cell r="F796" t="str">
            <v>Pressure Gauge dia. 2-1/2"</v>
          </cell>
          <cell r="G796" t="str">
            <v xml:space="preserve">unit </v>
          </cell>
          <cell r="H796">
            <v>132700</v>
          </cell>
        </row>
        <row r="797">
          <cell r="F797" t="str">
            <v>Pressure Gauge dia. 3"</v>
          </cell>
          <cell r="G797" t="str">
            <v xml:space="preserve">unit </v>
          </cell>
          <cell r="H797">
            <v>165400</v>
          </cell>
        </row>
        <row r="798">
          <cell r="F798" t="str">
            <v>Pressure Gauge dia. 4"</v>
          </cell>
          <cell r="G798" t="str">
            <v xml:space="preserve">unit </v>
          </cell>
          <cell r="H798">
            <v>218500</v>
          </cell>
        </row>
        <row r="799">
          <cell r="F799" t="str">
            <v>Water Meter dia. 1/2"</v>
          </cell>
          <cell r="G799" t="str">
            <v xml:space="preserve">Bh </v>
          </cell>
          <cell r="H799">
            <v>270750</v>
          </cell>
        </row>
        <row r="800">
          <cell r="F800" t="str">
            <v>Water Meter dia. 3/4"</v>
          </cell>
          <cell r="G800" t="str">
            <v xml:space="preserve">Bh </v>
          </cell>
          <cell r="H800">
            <v>655914</v>
          </cell>
        </row>
        <row r="801">
          <cell r="F801" t="str">
            <v>Water Meter dia. 1"</v>
          </cell>
          <cell r="G801" t="str">
            <v xml:space="preserve">Bh </v>
          </cell>
          <cell r="H801">
            <v>1416800</v>
          </cell>
        </row>
        <row r="802">
          <cell r="F802" t="str">
            <v>Water Meter dia. 1-1/2"</v>
          </cell>
          <cell r="G802" t="str">
            <v xml:space="preserve">Bh </v>
          </cell>
          <cell r="H802">
            <v>1740600</v>
          </cell>
        </row>
        <row r="803">
          <cell r="F803" t="str">
            <v>Water Meter dia. 2"</v>
          </cell>
          <cell r="G803" t="str">
            <v xml:space="preserve">Bh </v>
          </cell>
          <cell r="H803">
            <v>2392000</v>
          </cell>
        </row>
        <row r="804">
          <cell r="F804" t="str">
            <v>Water Meter dia. 3"</v>
          </cell>
          <cell r="G804" t="str">
            <v xml:space="preserve">Bh </v>
          </cell>
          <cell r="H804">
            <v>2700000</v>
          </cell>
        </row>
        <row r="805">
          <cell r="F805" t="str">
            <v>Water Meter dia. 4"</v>
          </cell>
          <cell r="G805" t="str">
            <v xml:space="preserve">Bh </v>
          </cell>
          <cell r="H805">
            <v>2980000</v>
          </cell>
        </row>
        <row r="806">
          <cell r="F806" t="str">
            <v>Water Meter dia. 6"</v>
          </cell>
          <cell r="G806" t="str">
            <v xml:space="preserve">Bh </v>
          </cell>
          <cell r="H806">
            <v>3540900</v>
          </cell>
        </row>
        <row r="807">
          <cell r="F807" t="str">
            <v>Water Meter dia. 8"</v>
          </cell>
          <cell r="G807" t="str">
            <v xml:space="preserve">Bh </v>
          </cell>
          <cell r="H807">
            <v>3947000</v>
          </cell>
        </row>
        <row r="808">
          <cell r="F808" t="str">
            <v>Water Meter dia. 10"</v>
          </cell>
          <cell r="G808" t="str">
            <v xml:space="preserve">Bh </v>
          </cell>
          <cell r="H808">
            <v>4230900</v>
          </cell>
        </row>
        <row r="809">
          <cell r="F809" t="str">
            <v>Water Meter dia. 12"</v>
          </cell>
          <cell r="G809" t="str">
            <v xml:space="preserve">Bh </v>
          </cell>
          <cell r="H809">
            <v>4560000</v>
          </cell>
        </row>
        <row r="810">
          <cell r="F810" t="str">
            <v>Water Meter dia. 16"</v>
          </cell>
          <cell r="G810" t="str">
            <v xml:space="preserve">Bh </v>
          </cell>
          <cell r="H810">
            <v>4760900</v>
          </cell>
        </row>
        <row r="811">
          <cell r="F811" t="str">
            <v>Flow Meter Analog dia.4"</v>
          </cell>
          <cell r="G811" t="str">
            <v xml:space="preserve">bh </v>
          </cell>
          <cell r="H811">
            <v>2449000</v>
          </cell>
        </row>
        <row r="812">
          <cell r="F812" t="str">
            <v>Clean Out dia. 2"</v>
          </cell>
          <cell r="G812" t="str">
            <v xml:space="preserve">bh </v>
          </cell>
          <cell r="H812">
            <v>47500</v>
          </cell>
        </row>
        <row r="813">
          <cell r="F813" t="str">
            <v>Clean Out dia. 2-1/2"</v>
          </cell>
          <cell r="G813" t="str">
            <v xml:space="preserve">bh </v>
          </cell>
          <cell r="H813">
            <v>56700</v>
          </cell>
        </row>
        <row r="814">
          <cell r="F814" t="str">
            <v>Clean Out dia. 3"</v>
          </cell>
          <cell r="G814" t="str">
            <v xml:space="preserve">bh </v>
          </cell>
          <cell r="H814">
            <v>65000</v>
          </cell>
        </row>
        <row r="815">
          <cell r="F815" t="str">
            <v>Clean Out dia. 4"</v>
          </cell>
          <cell r="G815" t="str">
            <v xml:space="preserve">bh </v>
          </cell>
          <cell r="H815">
            <v>72500</v>
          </cell>
        </row>
        <row r="816">
          <cell r="F816" t="str">
            <v>Clean Out dia. 5"</v>
          </cell>
          <cell r="G816" t="str">
            <v xml:space="preserve">bh </v>
          </cell>
          <cell r="H816">
            <v>178900</v>
          </cell>
        </row>
        <row r="817">
          <cell r="F817" t="str">
            <v>Clean Out dia. 6"</v>
          </cell>
          <cell r="G817" t="str">
            <v xml:space="preserve">bh </v>
          </cell>
          <cell r="H817">
            <v>230880</v>
          </cell>
        </row>
        <row r="818">
          <cell r="F818" t="str">
            <v>Clean Out dia. 8"</v>
          </cell>
          <cell r="G818" t="str">
            <v xml:space="preserve">bh </v>
          </cell>
          <cell r="H818">
            <v>370000</v>
          </cell>
        </row>
        <row r="819">
          <cell r="F819" t="str">
            <v>Roof Drain dia. 2"</v>
          </cell>
          <cell r="G819" t="str">
            <v xml:space="preserve">Bh </v>
          </cell>
          <cell r="H819">
            <v>29800</v>
          </cell>
        </row>
        <row r="820">
          <cell r="F820" t="str">
            <v>Roof Drain dia. 2-1/2"</v>
          </cell>
          <cell r="G820" t="str">
            <v xml:space="preserve">Bh </v>
          </cell>
          <cell r="H820">
            <v>33925</v>
          </cell>
        </row>
        <row r="821">
          <cell r="F821" t="str">
            <v>Roof Drain dia. 3"</v>
          </cell>
          <cell r="G821" t="str">
            <v xml:space="preserve">Bh </v>
          </cell>
          <cell r="H821">
            <v>37375</v>
          </cell>
        </row>
        <row r="822">
          <cell r="F822" t="str">
            <v>Roof Drain dia. 4"</v>
          </cell>
          <cell r="G822" t="str">
            <v xml:space="preserve">Bh </v>
          </cell>
          <cell r="H822">
            <v>40250</v>
          </cell>
        </row>
        <row r="823">
          <cell r="F823" t="str">
            <v>Roof Drain dia. 5"</v>
          </cell>
          <cell r="G823" t="str">
            <v xml:space="preserve">Bh </v>
          </cell>
          <cell r="H823">
            <v>51700</v>
          </cell>
        </row>
        <row r="824">
          <cell r="F824" t="str">
            <v>Roof Drain dia. 6"</v>
          </cell>
          <cell r="G824" t="str">
            <v xml:space="preserve">Bh </v>
          </cell>
          <cell r="H824">
            <v>61100</v>
          </cell>
        </row>
        <row r="825">
          <cell r="F825" t="str">
            <v>Roof Drain dia. 8"</v>
          </cell>
          <cell r="G825" t="str">
            <v xml:space="preserve">Bh </v>
          </cell>
          <cell r="H825">
            <v>90250</v>
          </cell>
        </row>
        <row r="826">
          <cell r="F826" t="str">
            <v>Roof Drain dia. 10"</v>
          </cell>
          <cell r="G826" t="str">
            <v xml:space="preserve">Bh </v>
          </cell>
          <cell r="H826">
            <v>142500</v>
          </cell>
        </row>
        <row r="827">
          <cell r="F827" t="str">
            <v>Roof Drain dia. 12"</v>
          </cell>
          <cell r="G827" t="str">
            <v xml:space="preserve">Bh </v>
          </cell>
          <cell r="H827">
            <v>167500</v>
          </cell>
        </row>
        <row r="828">
          <cell r="F828" t="str">
            <v>Floor Clean Out dia. 2"</v>
          </cell>
          <cell r="G828" t="str">
            <v xml:space="preserve">Bh </v>
          </cell>
          <cell r="H828">
            <v>136800</v>
          </cell>
        </row>
        <row r="829">
          <cell r="F829" t="str">
            <v>Floor Clean Out dia. 2-1/2"</v>
          </cell>
          <cell r="G829" t="str">
            <v xml:space="preserve">Bh </v>
          </cell>
          <cell r="H829">
            <v>163100</v>
          </cell>
        </row>
        <row r="830">
          <cell r="F830" t="str">
            <v>Floor Clean Out dia. 3"</v>
          </cell>
          <cell r="G830" t="str">
            <v xml:space="preserve">Bh </v>
          </cell>
          <cell r="H830">
            <v>199500</v>
          </cell>
        </row>
        <row r="831">
          <cell r="F831" t="str">
            <v>Floor Clean Out dia. 4"</v>
          </cell>
          <cell r="G831" t="str">
            <v xml:space="preserve">Bh </v>
          </cell>
          <cell r="H831">
            <v>300300</v>
          </cell>
        </row>
        <row r="832">
          <cell r="F832" t="str">
            <v>Floor Clean Out dia. 6"</v>
          </cell>
          <cell r="G832" t="str">
            <v xml:space="preserve">Bh </v>
          </cell>
          <cell r="H832">
            <v>415500</v>
          </cell>
        </row>
        <row r="833">
          <cell r="F833" t="str">
            <v>Floor Clean Out dia. 8"</v>
          </cell>
          <cell r="G833" t="str">
            <v xml:space="preserve">Bh </v>
          </cell>
          <cell r="H833">
            <v>507600</v>
          </cell>
        </row>
        <row r="834">
          <cell r="F834" t="str">
            <v>Vent Cap dia. 2"</v>
          </cell>
          <cell r="G834" t="str">
            <v xml:space="preserve">Bh </v>
          </cell>
          <cell r="H834">
            <v>45000</v>
          </cell>
        </row>
        <row r="835">
          <cell r="F835" t="str">
            <v>Vent Cap dia. 3"</v>
          </cell>
          <cell r="G835" t="str">
            <v xml:space="preserve">Bh </v>
          </cell>
          <cell r="H835">
            <v>65000</v>
          </cell>
        </row>
        <row r="836">
          <cell r="F836" t="str">
            <v>Vent Cap dia. 4"</v>
          </cell>
          <cell r="G836" t="str">
            <v xml:space="preserve">Bh </v>
          </cell>
          <cell r="H836">
            <v>80000</v>
          </cell>
        </row>
        <row r="837">
          <cell r="F837" t="str">
            <v>PRV set dia. 2"</v>
          </cell>
          <cell r="G837" t="str">
            <v xml:space="preserve">Bh </v>
          </cell>
          <cell r="H837">
            <v>4900000</v>
          </cell>
        </row>
        <row r="838">
          <cell r="F838" t="str">
            <v>PRV set dia. 2-1/2"</v>
          </cell>
          <cell r="G838" t="str">
            <v xml:space="preserve">Bh </v>
          </cell>
          <cell r="H838">
            <v>5350000</v>
          </cell>
        </row>
        <row r="839">
          <cell r="F839" t="str">
            <v>PRV Set dia. 3"</v>
          </cell>
          <cell r="G839" t="str">
            <v xml:space="preserve">Bh </v>
          </cell>
          <cell r="H839">
            <v>7500000</v>
          </cell>
        </row>
        <row r="840">
          <cell r="F840" t="str">
            <v>PRV set dia. 4"</v>
          </cell>
          <cell r="G840" t="str">
            <v xml:space="preserve">Bh </v>
          </cell>
          <cell r="H840">
            <v>8450000</v>
          </cell>
        </row>
        <row r="841">
          <cell r="F841" t="str">
            <v>PRV set dia. 6"</v>
          </cell>
          <cell r="G841" t="str">
            <v xml:space="preserve">Bh </v>
          </cell>
          <cell r="H841">
            <v>8930000</v>
          </cell>
        </row>
        <row r="842">
          <cell r="F842" t="str">
            <v>PRV set dia. 8"</v>
          </cell>
          <cell r="G842" t="str">
            <v xml:space="preserve">Bh </v>
          </cell>
          <cell r="H842">
            <v>9430000</v>
          </cell>
        </row>
        <row r="843">
          <cell r="F843" t="str">
            <v>AAV dia. 1/2"</v>
          </cell>
          <cell r="G843" t="str">
            <v xml:space="preserve">unit </v>
          </cell>
          <cell r="H843">
            <v>250000</v>
          </cell>
        </row>
        <row r="844">
          <cell r="F844" t="str">
            <v>AAV dia.1"</v>
          </cell>
          <cell r="G844" t="str">
            <v xml:space="preserve">unit </v>
          </cell>
          <cell r="H844">
            <v>850000</v>
          </cell>
        </row>
        <row r="845">
          <cell r="F845" t="str">
            <v>AAV dia. 2"</v>
          </cell>
          <cell r="G845" t="str">
            <v xml:space="preserve">unit </v>
          </cell>
          <cell r="H845">
            <v>1050000</v>
          </cell>
        </row>
        <row r="846">
          <cell r="F846" t="str">
            <v>AAV dia. 3"</v>
          </cell>
          <cell r="G846" t="str">
            <v xml:space="preserve">unit </v>
          </cell>
          <cell r="H846">
            <v>1230800</v>
          </cell>
        </row>
        <row r="847">
          <cell r="F847" t="str">
            <v>AAV dia. 4"</v>
          </cell>
          <cell r="G847" t="str">
            <v xml:space="preserve">unit </v>
          </cell>
          <cell r="H847">
            <v>1432000</v>
          </cell>
        </row>
        <row r="848">
          <cell r="F848" t="str">
            <v>AAV dia. 6"</v>
          </cell>
          <cell r="G848" t="str">
            <v xml:space="preserve">unit </v>
          </cell>
          <cell r="H848">
            <v>1653000</v>
          </cell>
        </row>
        <row r="849">
          <cell r="F849" t="str">
            <v>Vent Out dia. 2"</v>
          </cell>
          <cell r="G849" t="str">
            <v xml:space="preserve">unit </v>
          </cell>
          <cell r="H849">
            <v>235000</v>
          </cell>
        </row>
        <row r="850">
          <cell r="F850" t="str">
            <v xml:space="preserve">WLC dan Pengkabelan </v>
          </cell>
          <cell r="G850" t="str">
            <v xml:space="preserve">unit </v>
          </cell>
          <cell r="H850">
            <v>81100</v>
          </cell>
        </row>
        <row r="851">
          <cell r="F851" t="str">
            <v xml:space="preserve">Pressure Switch </v>
          </cell>
          <cell r="G851" t="str">
            <v xml:space="preserve">unit </v>
          </cell>
          <cell r="H851">
            <v>220800</v>
          </cell>
        </row>
        <row r="852">
          <cell r="F852" t="str">
            <v>Header Pipa PVC AW Dia. 4"</v>
          </cell>
          <cell r="G852" t="str">
            <v>m'</v>
          </cell>
          <cell r="H852">
            <v>1325000</v>
          </cell>
        </row>
        <row r="853">
          <cell r="F853" t="str">
            <v>Header Pipa Galvanis MED Class Dia. 4"</v>
          </cell>
          <cell r="G853" t="str">
            <v>m'</v>
          </cell>
          <cell r="H853">
            <v>5600000</v>
          </cell>
        </row>
        <row r="854">
          <cell r="F854" t="str">
            <v>Header Pipa BS SCH 40 Dia. 8"</v>
          </cell>
          <cell r="G854" t="str">
            <v>m'</v>
          </cell>
          <cell r="H854">
            <v>3500000</v>
          </cell>
        </row>
        <row r="855">
          <cell r="F855" t="str">
            <v>Header Pipa BS SCH 40 Dia. 10"</v>
          </cell>
          <cell r="G855" t="str">
            <v>m'</v>
          </cell>
          <cell r="H855">
            <v>4600000</v>
          </cell>
        </row>
        <row r="856">
          <cell r="F856" t="str">
            <v>Dop PVC dia. 3"</v>
          </cell>
          <cell r="G856" t="str">
            <v xml:space="preserve">Bh </v>
          </cell>
          <cell r="H856">
            <v>9950</v>
          </cell>
        </row>
        <row r="857">
          <cell r="F857" t="str">
            <v>Dop PVC dia. 4"</v>
          </cell>
          <cell r="G857" t="str">
            <v xml:space="preserve">Bh </v>
          </cell>
          <cell r="H857">
            <v>19500</v>
          </cell>
        </row>
        <row r="858">
          <cell r="F858" t="str">
            <v>Dop PVC dia. 6"</v>
          </cell>
          <cell r="G858" t="str">
            <v xml:space="preserve">Bh </v>
          </cell>
          <cell r="H858">
            <v>28000</v>
          </cell>
        </row>
        <row r="859">
          <cell r="F859" t="str">
            <v>Pipa DCI dia. 100 mm</v>
          </cell>
          <cell r="G859" t="str">
            <v>m'</v>
          </cell>
          <cell r="H859">
            <v>1083333.3333333333</v>
          </cell>
        </row>
        <row r="860">
          <cell r="F860" t="str">
            <v>Pipa DCI, DN. 4"
(100 mm)</v>
          </cell>
          <cell r="G860" t="str">
            <v>m'</v>
          </cell>
          <cell r="H860">
            <v>1083000</v>
          </cell>
        </row>
        <row r="861">
          <cell r="F861" t="str">
            <v>Pipa DCI dia. 125 mm</v>
          </cell>
          <cell r="G861" t="str">
            <v>m'</v>
          </cell>
          <cell r="H861">
            <v>1100000</v>
          </cell>
        </row>
        <row r="862">
          <cell r="F862" t="str">
            <v>Pipa DCI, DN. 5"
(125 mm)</v>
          </cell>
          <cell r="G862" t="str">
            <v>m'</v>
          </cell>
          <cell r="H862">
            <v>1100000</v>
          </cell>
        </row>
        <row r="863">
          <cell r="F863" t="str">
            <v>Pipa DCI dia. 150 mm</v>
          </cell>
          <cell r="G863" t="str">
            <v>m'</v>
          </cell>
          <cell r="H863">
            <v>1300000</v>
          </cell>
        </row>
        <row r="864">
          <cell r="F864" t="str">
            <v>Pipa DCI, DN. 6"
(150 mm)</v>
          </cell>
          <cell r="G864" t="str">
            <v>m'</v>
          </cell>
          <cell r="H864">
            <v>1300000</v>
          </cell>
        </row>
        <row r="865">
          <cell r="F865" t="str">
            <v>Pipa DCI dia. 200 mm</v>
          </cell>
          <cell r="G865" t="str">
            <v>m'</v>
          </cell>
          <cell r="H865">
            <v>1450000</v>
          </cell>
        </row>
        <row r="866">
          <cell r="F866" t="str">
            <v>Pipa DCI, DN. 8"
(200 mm)</v>
          </cell>
          <cell r="G866" t="str">
            <v>m'</v>
          </cell>
          <cell r="H866">
            <v>1450000</v>
          </cell>
        </row>
        <row r="867">
          <cell r="F867" t="str">
            <v>Pipa DCI dia. 250 mm</v>
          </cell>
          <cell r="G867" t="str">
            <v>m'</v>
          </cell>
          <cell r="H867">
            <v>1570000</v>
          </cell>
        </row>
        <row r="868">
          <cell r="F868" t="str">
            <v>Pipa DCI, DN. 10"
(250 mm)</v>
          </cell>
          <cell r="G868" t="str">
            <v>m'</v>
          </cell>
          <cell r="H868">
            <v>1570000</v>
          </cell>
        </row>
        <row r="869">
          <cell r="F869" t="str">
            <v>Pipa DCI dia. 300 mm</v>
          </cell>
          <cell r="G869" t="str">
            <v>m'</v>
          </cell>
          <cell r="H869">
            <v>1630000</v>
          </cell>
        </row>
        <row r="870">
          <cell r="F870" t="str">
            <v>Pipa DCI, DN. 12"
(300 mm)</v>
          </cell>
          <cell r="G870" t="str">
            <v>m'</v>
          </cell>
          <cell r="H870">
            <v>1640000</v>
          </cell>
        </row>
        <row r="871">
          <cell r="F871" t="str">
            <v>Pipa DCI dia. 400 mm</v>
          </cell>
          <cell r="G871" t="str">
            <v>m'</v>
          </cell>
          <cell r="H871">
            <v>1780000</v>
          </cell>
        </row>
        <row r="872">
          <cell r="F872" t="str">
            <v>Pipa DCI, DN. 16"
(400 mm)</v>
          </cell>
          <cell r="G872" t="str">
            <v>m'</v>
          </cell>
          <cell r="H872">
            <v>1790000</v>
          </cell>
        </row>
        <row r="873">
          <cell r="F873" t="str">
            <v>Pipa DCI dia. 450 mm</v>
          </cell>
          <cell r="G873" t="str">
            <v>m'</v>
          </cell>
          <cell r="H873">
            <v>1840000</v>
          </cell>
        </row>
        <row r="874">
          <cell r="F874" t="str">
            <v>Pipa DCI, DN. 18"
(450 mm)</v>
          </cell>
          <cell r="G874" t="str">
            <v>m'</v>
          </cell>
          <cell r="H874">
            <v>1850000</v>
          </cell>
        </row>
        <row r="875">
          <cell r="F875" t="str">
            <v>Pipa DCI dia. 500 mm</v>
          </cell>
          <cell r="G875" t="str">
            <v>m'</v>
          </cell>
          <cell r="H875">
            <v>1950000</v>
          </cell>
        </row>
        <row r="876">
          <cell r="F876" t="str">
            <v>Pipa DCI, DN. 20"
(500 mm)</v>
          </cell>
          <cell r="G876" t="str">
            <v>m'</v>
          </cell>
          <cell r="H876">
            <v>1960000</v>
          </cell>
        </row>
        <row r="877">
          <cell r="F877" t="str">
            <v>Pipa DCI dia. 600 mm</v>
          </cell>
          <cell r="G877" t="str">
            <v>m'</v>
          </cell>
          <cell r="H877">
            <v>2100000</v>
          </cell>
        </row>
        <row r="878">
          <cell r="F878" t="str">
            <v>Pipa DCI, DN. 24"
(600 mm)</v>
          </cell>
          <cell r="G878" t="str">
            <v>m'</v>
          </cell>
          <cell r="H878">
            <v>2115000</v>
          </cell>
        </row>
        <row r="879">
          <cell r="F879" t="str">
            <v>Pipa DCI dia. 800 mm</v>
          </cell>
          <cell r="G879" t="str">
            <v>m'</v>
          </cell>
          <cell r="H879">
            <v>2350000</v>
          </cell>
        </row>
        <row r="880">
          <cell r="F880" t="str">
            <v>Pipa DCI, DN. 32"
(800 mm)</v>
          </cell>
          <cell r="G880" t="str">
            <v>m'</v>
          </cell>
          <cell r="H880">
            <v>2360000</v>
          </cell>
        </row>
        <row r="881">
          <cell r="F881" t="str">
            <v>Pipa DCI dia. 900 mm</v>
          </cell>
          <cell r="G881" t="str">
            <v>m'</v>
          </cell>
          <cell r="H881">
            <v>2430000</v>
          </cell>
        </row>
        <row r="882">
          <cell r="F882" t="str">
            <v>Pipa DCI, DN. 36"
(900 mm)</v>
          </cell>
          <cell r="G882" t="str">
            <v>m'</v>
          </cell>
          <cell r="H882">
            <v>2440000</v>
          </cell>
        </row>
        <row r="883">
          <cell r="F883" t="str">
            <v>Pipa DCI dia. 1000 mm</v>
          </cell>
          <cell r="G883" t="str">
            <v>m'</v>
          </cell>
          <cell r="H883">
            <v>2560000</v>
          </cell>
        </row>
        <row r="884">
          <cell r="F884" t="str">
            <v>Pipa DCI, DN. 40"
(1000 mm)</v>
          </cell>
          <cell r="G884" t="str">
            <v>m'</v>
          </cell>
          <cell r="H884">
            <v>2570000</v>
          </cell>
        </row>
        <row r="885">
          <cell r="F885" t="str">
            <v>Pipa DCI dia. 1100 mm</v>
          </cell>
          <cell r="G885" t="str">
            <v>m'</v>
          </cell>
          <cell r="H885">
            <v>2720000</v>
          </cell>
        </row>
        <row r="886">
          <cell r="F886" t="str">
            <v>Pipa DCI, DN. 44"
(1100 mm)</v>
          </cell>
          <cell r="G886" t="str">
            <v>m'</v>
          </cell>
          <cell r="H886">
            <v>2730000</v>
          </cell>
        </row>
        <row r="887">
          <cell r="F887" t="str">
            <v>Pipa DCI, DN. 48"
(1200 mm)</v>
          </cell>
          <cell r="G887" t="str">
            <v>m'</v>
          </cell>
          <cell r="H887">
            <v>236000</v>
          </cell>
        </row>
        <row r="888">
          <cell r="F888" t="str">
            <v>Pipa Beton dia. 200 mm</v>
          </cell>
          <cell r="G888" t="str">
            <v>m'</v>
          </cell>
          <cell r="H888">
            <v>235000</v>
          </cell>
        </row>
        <row r="889">
          <cell r="F889" t="str">
            <v>Pipa Beton, DN. 8" (200 mm)</v>
          </cell>
          <cell r="G889" t="str">
            <v>m'</v>
          </cell>
          <cell r="H889">
            <v>236000</v>
          </cell>
        </row>
        <row r="890">
          <cell r="F890" t="str">
            <v>Pipa Beton dia. 300 mm</v>
          </cell>
          <cell r="G890" t="str">
            <v>m'</v>
          </cell>
          <cell r="H890">
            <v>264000</v>
          </cell>
        </row>
        <row r="891">
          <cell r="F891" t="str">
            <v>Pipa Beton, DN. 12" (300 mm)</v>
          </cell>
          <cell r="G891" t="str">
            <v>m'</v>
          </cell>
          <cell r="H891">
            <v>265000</v>
          </cell>
        </row>
        <row r="892">
          <cell r="F892" t="str">
            <v>Pipa Beton dia. 400 mm</v>
          </cell>
          <cell r="G892" t="str">
            <v>m'</v>
          </cell>
          <cell r="H892">
            <v>285000</v>
          </cell>
        </row>
        <row r="893">
          <cell r="F893" t="str">
            <v>Pipa Beton, DN. 16" (400 mm)</v>
          </cell>
          <cell r="G893" t="str">
            <v>m'</v>
          </cell>
          <cell r="H893">
            <v>286000</v>
          </cell>
        </row>
        <row r="894">
          <cell r="F894" t="str">
            <v>Pipa Beton dia. 500 mm</v>
          </cell>
          <cell r="G894" t="str">
            <v>m'</v>
          </cell>
          <cell r="H894">
            <v>299000</v>
          </cell>
        </row>
        <row r="895">
          <cell r="F895" t="str">
            <v>Pipa Beton, DN. 20" (500 mm)</v>
          </cell>
          <cell r="G895" t="str">
            <v>m'</v>
          </cell>
          <cell r="H895">
            <v>300000</v>
          </cell>
        </row>
        <row r="896">
          <cell r="F896" t="str">
            <v>Pipa Beton dia. 600 mm</v>
          </cell>
          <cell r="G896" t="str">
            <v>m'</v>
          </cell>
          <cell r="H896">
            <v>350000</v>
          </cell>
        </row>
        <row r="897">
          <cell r="F897" t="str">
            <v>Pipa Beton, DN. 24" (600 mm)</v>
          </cell>
          <cell r="G897" t="str">
            <v>m'</v>
          </cell>
          <cell r="H897">
            <v>351000</v>
          </cell>
        </row>
        <row r="898">
          <cell r="F898" t="str">
            <v>Pipa Beton dia. 700 mm</v>
          </cell>
          <cell r="G898" t="str">
            <v>m'</v>
          </cell>
          <cell r="H898">
            <v>410000</v>
          </cell>
        </row>
        <row r="899">
          <cell r="F899" t="str">
            <v>Pipa Beton, DN. 28" (700 mm)</v>
          </cell>
          <cell r="G899" t="str">
            <v>m'</v>
          </cell>
          <cell r="H899">
            <v>411000</v>
          </cell>
        </row>
        <row r="900">
          <cell r="F900" t="str">
            <v>Pipa Beton dia. 800 mm</v>
          </cell>
          <cell r="G900" t="str">
            <v>m'</v>
          </cell>
          <cell r="H900">
            <v>490000</v>
          </cell>
        </row>
        <row r="901">
          <cell r="F901" t="str">
            <v>Pipa Beton, DN. 32" (800 mm)</v>
          </cell>
          <cell r="G901" t="str">
            <v>m'</v>
          </cell>
          <cell r="H901">
            <v>491000</v>
          </cell>
        </row>
        <row r="902">
          <cell r="F902" t="str">
            <v>Pipa Beton dia. 1000 mm</v>
          </cell>
          <cell r="G902" t="str">
            <v>m'</v>
          </cell>
          <cell r="H902">
            <v>570000</v>
          </cell>
        </row>
        <row r="903">
          <cell r="F903" t="str">
            <v>Pipa Beton, DN. 40" (1000 mm)</v>
          </cell>
          <cell r="G903" t="str">
            <v>m'</v>
          </cell>
          <cell r="H903">
            <v>571000</v>
          </cell>
        </row>
        <row r="904">
          <cell r="F904" t="str">
            <v>Pipa Beton dia. 1200 mm</v>
          </cell>
          <cell r="G904" t="str">
            <v>m'</v>
          </cell>
          <cell r="H904">
            <v>640000</v>
          </cell>
        </row>
        <row r="905">
          <cell r="F905" t="str">
            <v>Pipa Beton, DN. 48" (1200 mm)</v>
          </cell>
          <cell r="G905" t="str">
            <v>m'</v>
          </cell>
          <cell r="H905">
            <v>641000</v>
          </cell>
        </row>
        <row r="906">
          <cell r="F906" t="str">
            <v>Valve Ø 6" (150 mm)</v>
          </cell>
          <cell r="G906" t="str">
            <v>buah</v>
          </cell>
          <cell r="H906">
            <v>225000</v>
          </cell>
        </row>
        <row r="907">
          <cell r="F907" t="str">
            <v>Valve Ø 8" (200 mm)</v>
          </cell>
          <cell r="G907" t="str">
            <v>buah</v>
          </cell>
          <cell r="H907">
            <v>290000</v>
          </cell>
        </row>
        <row r="908">
          <cell r="F908" t="str">
            <v>Valve Ø 10" (250 mm)</v>
          </cell>
          <cell r="G908" t="str">
            <v>buah</v>
          </cell>
          <cell r="H908">
            <v>350000</v>
          </cell>
        </row>
        <row r="909">
          <cell r="F909" t="str">
            <v>Valve Ø 12" (300 mm)</v>
          </cell>
          <cell r="G909" t="str">
            <v>buah</v>
          </cell>
          <cell r="H909">
            <v>410000</v>
          </cell>
        </row>
        <row r="910">
          <cell r="F910" t="str">
            <v>Valve Ø 16" (400 mm)</v>
          </cell>
          <cell r="G910" t="str">
            <v>buah</v>
          </cell>
          <cell r="H910">
            <v>490000</v>
          </cell>
        </row>
        <row r="911">
          <cell r="F911" t="str">
            <v>Valve Ø 18" (450 mm)</v>
          </cell>
          <cell r="G911" t="str">
            <v>buah</v>
          </cell>
          <cell r="H911">
            <v>530000</v>
          </cell>
        </row>
        <row r="912">
          <cell r="F912" t="str">
            <v>Valve Ø 20" (500 mm)</v>
          </cell>
          <cell r="G912" t="str">
            <v>buah</v>
          </cell>
          <cell r="H912">
            <v>590000</v>
          </cell>
        </row>
        <row r="913">
          <cell r="F913" t="str">
            <v>Valve Ø 24" (600 mm)</v>
          </cell>
          <cell r="G913" t="str">
            <v>buah</v>
          </cell>
          <cell r="H913">
            <v>670000</v>
          </cell>
        </row>
        <row r="914">
          <cell r="F914" t="str">
            <v>Valve Ø 28" (700 mm)</v>
          </cell>
          <cell r="G914" t="str">
            <v>buah</v>
          </cell>
          <cell r="H914">
            <v>750000</v>
          </cell>
        </row>
        <row r="915">
          <cell r="F915" t="str">
            <v>Valve Ø 32" (800 mm)</v>
          </cell>
          <cell r="G915" t="str">
            <v>buah</v>
          </cell>
          <cell r="H915">
            <v>810000</v>
          </cell>
        </row>
        <row r="916">
          <cell r="F916" t="str">
            <v>Valve Ø 36" (900 mm)</v>
          </cell>
          <cell r="G916" t="str">
            <v>buah</v>
          </cell>
          <cell r="H916">
            <v>890000</v>
          </cell>
        </row>
        <row r="917">
          <cell r="F917" t="str">
            <v>Valve Ø 40" (1000 mm)</v>
          </cell>
          <cell r="G917" t="str">
            <v>buah</v>
          </cell>
          <cell r="H917">
            <v>950000</v>
          </cell>
        </row>
        <row r="918">
          <cell r="F918" t="str">
            <v>Valve Ø 44" (1100 mm)</v>
          </cell>
          <cell r="G918" t="str">
            <v>buah</v>
          </cell>
          <cell r="H918">
            <v>1050000</v>
          </cell>
        </row>
        <row r="919">
          <cell r="F919" t="str">
            <v>Valve Ø 48" (1200 mm)</v>
          </cell>
          <cell r="G919" t="str">
            <v>buah</v>
          </cell>
          <cell r="H919">
            <v>1119000</v>
          </cell>
        </row>
        <row r="920">
          <cell r="F920" t="str">
            <v>Valve Ø 1/2" (15 mm)</v>
          </cell>
          <cell r="G920" t="str">
            <v>buah</v>
          </cell>
          <cell r="H920">
            <v>95000</v>
          </cell>
        </row>
        <row r="921">
          <cell r="F921" t="str">
            <v>Valve Ø 3/4" (20 mm)</v>
          </cell>
          <cell r="G921" t="str">
            <v>buah</v>
          </cell>
          <cell r="H921">
            <v>105000</v>
          </cell>
        </row>
        <row r="922">
          <cell r="F922" t="str">
            <v>Valve Ø 1" (25 mm)</v>
          </cell>
          <cell r="G922" t="str">
            <v>buah</v>
          </cell>
          <cell r="H922">
            <v>115000</v>
          </cell>
        </row>
        <row r="923">
          <cell r="F923" t="str">
            <v>Valve Ø 1-1/4" (32 mm)</v>
          </cell>
          <cell r="G923" t="str">
            <v>buah</v>
          </cell>
          <cell r="H923">
            <v>129000</v>
          </cell>
        </row>
        <row r="924">
          <cell r="F924" t="str">
            <v>Valve Ø 1-1/2" (40 mm)</v>
          </cell>
          <cell r="G924" t="str">
            <v>buah</v>
          </cell>
          <cell r="H924">
            <v>135000</v>
          </cell>
        </row>
        <row r="925">
          <cell r="F925" t="str">
            <v>Valve Ø 2" (50 mm)</v>
          </cell>
          <cell r="G925" t="str">
            <v>buah</v>
          </cell>
          <cell r="H925">
            <v>150000</v>
          </cell>
        </row>
        <row r="926">
          <cell r="F926" t="str">
            <v>Valve Ø 2-1/2" (65 mm)</v>
          </cell>
          <cell r="G926" t="str">
            <v>buah</v>
          </cell>
          <cell r="H926">
            <v>170000</v>
          </cell>
        </row>
        <row r="927">
          <cell r="F927" t="str">
            <v>Valve Ø 3" (80 mm)</v>
          </cell>
          <cell r="G927" t="str">
            <v>buah</v>
          </cell>
          <cell r="H927">
            <v>192000</v>
          </cell>
        </row>
        <row r="928">
          <cell r="F928" t="str">
            <v>Valve Ø 4" (100 mm)</v>
          </cell>
          <cell r="G928" t="str">
            <v>buah</v>
          </cell>
          <cell r="H928">
            <v>205000</v>
          </cell>
        </row>
        <row r="929">
          <cell r="F929" t="str">
            <v>Valve Ø 5" (125 mm)</v>
          </cell>
          <cell r="G929" t="str">
            <v>buah</v>
          </cell>
          <cell r="H929">
            <v>215000</v>
          </cell>
        </row>
        <row r="930">
          <cell r="F930" t="str">
            <v>Tee Ø 6" (150 mm)</v>
          </cell>
          <cell r="G930" t="str">
            <v>buah</v>
          </cell>
          <cell r="H930">
            <v>65000</v>
          </cell>
        </row>
        <row r="931">
          <cell r="F931" t="str">
            <v>Tee Ø 8" (200 mm)</v>
          </cell>
          <cell r="G931" t="str">
            <v>buah</v>
          </cell>
          <cell r="H931">
            <v>138000</v>
          </cell>
        </row>
        <row r="932">
          <cell r="F932" t="str">
            <v>Tee Ø 10" (250 mm)</v>
          </cell>
          <cell r="G932" t="str">
            <v>buah</v>
          </cell>
          <cell r="H932">
            <v>215000</v>
          </cell>
        </row>
        <row r="933">
          <cell r="F933" t="str">
            <v>Tee Ø 18" (450 mm)</v>
          </cell>
          <cell r="G933" t="str">
            <v>buah</v>
          </cell>
          <cell r="H933">
            <v>285000</v>
          </cell>
        </row>
        <row r="934">
          <cell r="F934" t="str">
            <v>Tee Ø 20" (500 mm)</v>
          </cell>
          <cell r="G934" t="str">
            <v>buah</v>
          </cell>
          <cell r="H934">
            <v>350000</v>
          </cell>
        </row>
        <row r="935">
          <cell r="F935" t="str">
            <v>Tee Ø 24" (600 mm)</v>
          </cell>
          <cell r="G935" t="str">
            <v>buah</v>
          </cell>
          <cell r="H935">
            <v>435000</v>
          </cell>
        </row>
        <row r="936">
          <cell r="F936" t="str">
            <v>Tee Ø 28" (700 mm)</v>
          </cell>
          <cell r="G936" t="str">
            <v>buah</v>
          </cell>
          <cell r="H936">
            <v>510000</v>
          </cell>
        </row>
        <row r="937">
          <cell r="F937" t="str">
            <v>Tee Ø 32" (800 mm)</v>
          </cell>
          <cell r="G937" t="str">
            <v>buah</v>
          </cell>
          <cell r="H937">
            <v>599000</v>
          </cell>
        </row>
        <row r="938">
          <cell r="F938" t="str">
            <v>Tee Ø 36" (900 mm)</v>
          </cell>
          <cell r="G938" t="str">
            <v>buah</v>
          </cell>
          <cell r="H938">
            <v>670000</v>
          </cell>
        </row>
        <row r="939">
          <cell r="F939" t="str">
            <v>Tee Ø 40" (1000 mm)</v>
          </cell>
          <cell r="G939" t="str">
            <v>buah</v>
          </cell>
          <cell r="H939">
            <v>750000</v>
          </cell>
        </row>
        <row r="940">
          <cell r="F940" t="str">
            <v>Tee Ø 44" (1100 mm)</v>
          </cell>
          <cell r="G940" t="str">
            <v>buah</v>
          </cell>
          <cell r="H940">
            <v>830000</v>
          </cell>
        </row>
        <row r="941">
          <cell r="F941" t="str">
            <v>Tee Ø 48" (1200 mm)</v>
          </cell>
          <cell r="G941" t="str">
            <v>buah</v>
          </cell>
          <cell r="H941">
            <v>950000</v>
          </cell>
        </row>
        <row r="942">
          <cell r="F942" t="str">
            <v>Tee Ø 1/2" (15 mm)</v>
          </cell>
          <cell r="G942" t="str">
            <v>buah</v>
          </cell>
          <cell r="H942">
            <v>20000</v>
          </cell>
        </row>
        <row r="943">
          <cell r="F943" t="str">
            <v>Tee Ø 3/4" (20 mm)</v>
          </cell>
          <cell r="G943" t="str">
            <v>buah</v>
          </cell>
          <cell r="H943">
            <v>27000</v>
          </cell>
        </row>
        <row r="944">
          <cell r="F944" t="str">
            <v>Tee Ø 1" (25 mm)</v>
          </cell>
          <cell r="G944" t="str">
            <v xml:space="preserve">buah </v>
          </cell>
          <cell r="H944">
            <v>30000</v>
          </cell>
        </row>
        <row r="945">
          <cell r="F945" t="str">
            <v>Tee Ø 1-1/4" (32 mm)</v>
          </cell>
          <cell r="G945" t="str">
            <v>buah</v>
          </cell>
          <cell r="H945">
            <v>32000</v>
          </cell>
        </row>
        <row r="946">
          <cell r="F946" t="str">
            <v>Tee Ø 1-1/2" (40 mm)</v>
          </cell>
          <cell r="G946" t="str">
            <v>buah</v>
          </cell>
          <cell r="H946">
            <v>39000</v>
          </cell>
        </row>
        <row r="947">
          <cell r="F947" t="str">
            <v>Tee Ø 2" (50 mm)</v>
          </cell>
          <cell r="G947" t="str">
            <v>buah</v>
          </cell>
          <cell r="H947">
            <v>42000</v>
          </cell>
        </row>
        <row r="948">
          <cell r="F948" t="str">
            <v>Tee Ø 2-1/2" (65 mm)</v>
          </cell>
          <cell r="G948" t="str">
            <v>buah</v>
          </cell>
          <cell r="H948">
            <v>48000</v>
          </cell>
        </row>
        <row r="949">
          <cell r="F949" t="str">
            <v>Tee Ø 5" (125 mm)</v>
          </cell>
          <cell r="G949" t="str">
            <v>buah</v>
          </cell>
          <cell r="H949">
            <v>55000</v>
          </cell>
        </row>
        <row r="950">
          <cell r="F950" t="str">
            <v>Tee Ø 3" (80 mm)</v>
          </cell>
          <cell r="G950" t="str">
            <v>buah</v>
          </cell>
          <cell r="H950">
            <v>59000</v>
          </cell>
        </row>
        <row r="951">
          <cell r="F951" t="str">
            <v>Tee Ø 4" (100 mm)</v>
          </cell>
          <cell r="G951" t="str">
            <v>buah</v>
          </cell>
          <cell r="H951">
            <v>62000</v>
          </cell>
        </row>
        <row r="952">
          <cell r="F952" t="str">
            <v>Tee Ø 12" (300 mm)</v>
          </cell>
          <cell r="G952" t="str">
            <v>buah</v>
          </cell>
          <cell r="H952">
            <v>235000</v>
          </cell>
        </row>
        <row r="953">
          <cell r="F953" t="str">
            <v>Tee Ø 16" (400 mm)</v>
          </cell>
          <cell r="G953" t="str">
            <v>buah</v>
          </cell>
          <cell r="H953">
            <v>255000</v>
          </cell>
        </row>
        <row r="954">
          <cell r="F954" t="str">
            <v>MATERIAL BESI DAN BAJA</v>
          </cell>
        </row>
        <row r="955">
          <cell r="F955" t="str">
            <v>Baja (ulir) U-39</v>
          </cell>
          <cell r="G955" t="str">
            <v>kg</v>
          </cell>
          <cell r="H955">
            <v>14600</v>
          </cell>
        </row>
        <row r="956">
          <cell r="F956" t="str">
            <v>Baja (ulir) U-48</v>
          </cell>
          <cell r="G956" t="str">
            <v>kg</v>
          </cell>
          <cell r="H956">
            <v>14600</v>
          </cell>
        </row>
        <row r="957">
          <cell r="F957" t="str">
            <v>Baja Tahan Karat  ( Stainless  Steel )</v>
          </cell>
          <cell r="G957" t="str">
            <v>kg</v>
          </cell>
          <cell r="H957">
            <v>80340</v>
          </cell>
        </row>
        <row r="958">
          <cell r="F958" t="str">
            <v>Baja L 40.40.4</v>
          </cell>
          <cell r="G958" t="str">
            <v>kg</v>
          </cell>
          <cell r="H958">
            <v>14840</v>
          </cell>
        </row>
        <row r="959">
          <cell r="F959" t="str">
            <v>Frame besi L.30.30.3</v>
          </cell>
          <cell r="G959" t="str">
            <v>kg</v>
          </cell>
          <cell r="H959">
            <v>14840</v>
          </cell>
        </row>
        <row r="960">
          <cell r="F960" t="str">
            <v>Frame Allum L.10.1</v>
          </cell>
          <cell r="G960" t="str">
            <v>kg</v>
          </cell>
          <cell r="H960">
            <v>25000</v>
          </cell>
        </row>
        <row r="961">
          <cell r="F961" t="str">
            <v>Besi angkur diameter 8</v>
          </cell>
          <cell r="G961" t="str">
            <v>kg</v>
          </cell>
          <cell r="H961">
            <v>35000</v>
          </cell>
        </row>
        <row r="962">
          <cell r="F962" t="str">
            <v>Besi angkur/mur/baut</v>
          </cell>
          <cell r="G962" t="str">
            <v>kg</v>
          </cell>
          <cell r="H962">
            <v>16660</v>
          </cell>
        </row>
        <row r="964">
          <cell r="F964" t="str">
            <v xml:space="preserve">Baut </v>
          </cell>
          <cell r="G964" t="str">
            <v xml:space="preserve">kg </v>
          </cell>
          <cell r="H964">
            <v>17000</v>
          </cell>
        </row>
        <row r="965">
          <cell r="F965" t="str">
            <v>Besi hollow  38.38.2</v>
          </cell>
          <cell r="G965" t="str">
            <v>kg</v>
          </cell>
          <cell r="H965">
            <v>13700</v>
          </cell>
        </row>
        <row r="966">
          <cell r="F966" t="str">
            <v>Besi hollow  50.50.3</v>
          </cell>
          <cell r="G966" t="str">
            <v>kg</v>
          </cell>
          <cell r="H966">
            <v>13800</v>
          </cell>
        </row>
        <row r="967">
          <cell r="F967" t="str">
            <v>Besi hollow galvanis 40.40</v>
          </cell>
          <cell r="G967" t="str">
            <v>m'</v>
          </cell>
          <cell r="H967">
            <v>6250</v>
          </cell>
        </row>
        <row r="968">
          <cell r="F968" t="str">
            <v>Besi lis  kaca (1 x  1) cm</v>
          </cell>
          <cell r="G968" t="str">
            <v>m'</v>
          </cell>
          <cell r="H968">
            <v>10500</v>
          </cell>
        </row>
        <row r="969">
          <cell r="F969" t="str">
            <v>Besi plat baja tebal 2 mm</v>
          </cell>
          <cell r="G969" t="str">
            <v>kg</v>
          </cell>
          <cell r="H969">
            <v>25000</v>
          </cell>
        </row>
        <row r="970">
          <cell r="F970" t="str">
            <v>Besi profil</v>
          </cell>
          <cell r="G970" t="str">
            <v>kg</v>
          </cell>
          <cell r="H970">
            <v>14840</v>
          </cell>
        </row>
        <row r="971">
          <cell r="F971" t="str">
            <v>Besi siku</v>
          </cell>
          <cell r="G971" t="str">
            <v>kg</v>
          </cell>
          <cell r="H971">
            <v>14700</v>
          </cell>
        </row>
        <row r="972">
          <cell r="F972" t="str">
            <v>Besi siku 30x30x3 mm</v>
          </cell>
          <cell r="G972" t="str">
            <v>kg</v>
          </cell>
          <cell r="H972">
            <v>13000</v>
          </cell>
        </row>
        <row r="973">
          <cell r="F973" t="str">
            <v>Besi siku 40x40x4 mm</v>
          </cell>
          <cell r="G973" t="str">
            <v>kg</v>
          </cell>
          <cell r="H973">
            <v>15667</v>
          </cell>
        </row>
        <row r="974">
          <cell r="F974" t="str">
            <v xml:space="preserve">Baja Profil Siku </v>
          </cell>
          <cell r="G974" t="str">
            <v>kg</v>
          </cell>
          <cell r="H974">
            <v>15500</v>
          </cell>
        </row>
        <row r="975">
          <cell r="F975" t="str">
            <v>Besi siku 40x40x4</v>
          </cell>
          <cell r="G975" t="str">
            <v>m'</v>
          </cell>
          <cell r="H975">
            <v>20825</v>
          </cell>
        </row>
        <row r="976">
          <cell r="F976" t="str">
            <v>Besi siku 20x20 tebal 2 mm</v>
          </cell>
          <cell r="G976" t="str">
            <v>m</v>
          </cell>
          <cell r="H976">
            <v>19500</v>
          </cell>
        </row>
        <row r="977">
          <cell r="F977" t="str">
            <v>Besi strip</v>
          </cell>
          <cell r="G977" t="str">
            <v>kg</v>
          </cell>
          <cell r="H977">
            <v>7500</v>
          </cell>
        </row>
        <row r="978">
          <cell r="F978" t="str">
            <v xml:space="preserve">Teralis Besi Strip lengkap dengan accessories </v>
          </cell>
          <cell r="G978" t="str">
            <v>M2</v>
          </cell>
          <cell r="H978">
            <v>150000</v>
          </cell>
        </row>
        <row r="979">
          <cell r="F979" t="str">
            <v>Pelat Strip t=2,6 mm, L=12 cm</v>
          </cell>
          <cell r="G979" t="str">
            <v>buah</v>
          </cell>
          <cell r="H979">
            <v>21000</v>
          </cell>
        </row>
        <row r="980">
          <cell r="F980" t="str">
            <v>Pelat Strip t=2,6 mm, L=14 cm</v>
          </cell>
          <cell r="G980" t="str">
            <v>buah</v>
          </cell>
          <cell r="H980">
            <v>29000</v>
          </cell>
        </row>
        <row r="981">
          <cell r="F981" t="str">
            <v>Pelat Strip t=2,6 mm, L=17 cm</v>
          </cell>
          <cell r="G981" t="str">
            <v xml:space="preserve">buah </v>
          </cell>
          <cell r="H981">
            <v>39000</v>
          </cell>
        </row>
        <row r="982">
          <cell r="F982" t="str">
            <v>Pelat Strip t=2,6 mm, L=34 cm</v>
          </cell>
          <cell r="G982" t="str">
            <v>buah</v>
          </cell>
          <cell r="H982">
            <v>58000</v>
          </cell>
        </row>
        <row r="983">
          <cell r="F983" t="str">
            <v xml:space="preserve">Angkur Baja Full Drat ASTM 307 dia. 10 mm Panjang 35 cm </v>
          </cell>
          <cell r="G983" t="str">
            <v>buah</v>
          </cell>
          <cell r="H983">
            <v>9200</v>
          </cell>
        </row>
        <row r="984">
          <cell r="F984" t="str">
            <v xml:space="preserve">Angkur Baja Full Drat ASTM 307 dia 10 mm Panjang 65 cm </v>
          </cell>
          <cell r="G984" t="str">
            <v>buah</v>
          </cell>
          <cell r="H984">
            <v>18000</v>
          </cell>
        </row>
        <row r="985">
          <cell r="F985" t="str">
            <v>Besi strip (0,2x2) cm</v>
          </cell>
          <cell r="G985" t="str">
            <v>m'</v>
          </cell>
          <cell r="H985">
            <v>5000</v>
          </cell>
        </row>
        <row r="986">
          <cell r="F986" t="str">
            <v>Besi strip (0,2x2) cm</v>
          </cell>
          <cell r="G986" t="str">
            <v>kg</v>
          </cell>
          <cell r="H986">
            <v>15000</v>
          </cell>
        </row>
        <row r="987">
          <cell r="F987" t="str">
            <v>Besi strip (20x3) mm</v>
          </cell>
          <cell r="G987" t="str">
            <v>kg</v>
          </cell>
          <cell r="H987">
            <v>17250</v>
          </cell>
        </row>
        <row r="988">
          <cell r="F988" t="str">
            <v>Plat Strip 3/30 mm</v>
          </cell>
          <cell r="G988" t="str">
            <v>m'</v>
          </cell>
          <cell r="H988">
            <v>9900</v>
          </cell>
        </row>
        <row r="989">
          <cell r="F989" t="str">
            <v>Besi strip tebal 5 mm</v>
          </cell>
          <cell r="G989" t="str">
            <v>kg</v>
          </cell>
          <cell r="H989">
            <v>7500</v>
          </cell>
        </row>
        <row r="990">
          <cell r="F990" t="str">
            <v>BjTP</v>
          </cell>
          <cell r="G990" t="str">
            <v>kg</v>
          </cell>
          <cell r="H990">
            <v>14250</v>
          </cell>
        </row>
        <row r="991">
          <cell r="F991" t="str">
            <v>Baja Tulangan Polos (BjTP) diameter &lt; 12 mm</v>
          </cell>
          <cell r="G991" t="str">
            <v xml:space="preserve">kg </v>
          </cell>
          <cell r="H991">
            <v>14250</v>
          </cell>
        </row>
        <row r="992">
          <cell r="F992" t="str">
            <v>Baja Tulangan Polos (BjTP) diameter &gt;12 mm</v>
          </cell>
          <cell r="G992" t="str">
            <v xml:space="preserve">kg </v>
          </cell>
          <cell r="H992">
            <v>16000</v>
          </cell>
        </row>
        <row r="993">
          <cell r="F993" t="str">
            <v>BjTS</v>
          </cell>
          <cell r="G993" t="str">
            <v>kg</v>
          </cell>
          <cell r="H993">
            <v>14500</v>
          </cell>
        </row>
        <row r="994">
          <cell r="F994" t="str">
            <v>Baja Tulangan Sirip (BjTS) diameter &lt; 12 mm</v>
          </cell>
          <cell r="G994" t="str">
            <v xml:space="preserve">kg </v>
          </cell>
          <cell r="H994">
            <v>14500</v>
          </cell>
        </row>
        <row r="995">
          <cell r="F995" t="str">
            <v>Baja Tulangan Sirip (BjTS) diameter &gt;12 mm</v>
          </cell>
          <cell r="G995" t="str">
            <v xml:space="preserve">kg </v>
          </cell>
          <cell r="H995">
            <v>16500</v>
          </cell>
        </row>
        <row r="996">
          <cell r="F996" t="str">
            <v>Bronjong kawat  pabrikan Uk.2x1x0,5 ø  3mm mesh 8x10</v>
          </cell>
          <cell r="G996" t="str">
            <v>Unit</v>
          </cell>
          <cell r="H996">
            <v>460000</v>
          </cell>
        </row>
        <row r="997">
          <cell r="F997" t="str">
            <v>Bronjong kawat  pabrikan Uk.3x1,5x0,5 ø  3mm mesh 8x10</v>
          </cell>
          <cell r="G997" t="str">
            <v>Unit</v>
          </cell>
          <cell r="H997">
            <v>891000</v>
          </cell>
        </row>
        <row r="998">
          <cell r="F998" t="str">
            <v>Bronjong kawat  pabrikan Uk.3x1x0,5 ø  3mm mesh 8x10</v>
          </cell>
          <cell r="G998" t="str">
            <v>Unit</v>
          </cell>
          <cell r="H998">
            <v>656000</v>
          </cell>
        </row>
        <row r="999">
          <cell r="F999" t="str">
            <v>Bronjong kawat  pabrikan Uk.4x1x0,5 ø  3mm mesh 8x10</v>
          </cell>
          <cell r="G999" t="str">
            <v>Unit</v>
          </cell>
          <cell r="H999">
            <v>805000</v>
          </cell>
        </row>
        <row r="1000">
          <cell r="F1000" t="str">
            <v>Dinabolt dia. 12mm (10-15 cm)</v>
          </cell>
          <cell r="G1000" t="str">
            <v>buah</v>
          </cell>
          <cell r="H1000">
            <v>4550</v>
          </cell>
        </row>
        <row r="1001">
          <cell r="F1001" t="str">
            <v>Dynabolt M12</v>
          </cell>
          <cell r="G1001" t="str">
            <v xml:space="preserve">buah </v>
          </cell>
          <cell r="H1001">
            <v>30500</v>
          </cell>
        </row>
        <row r="1002">
          <cell r="F1002" t="str">
            <v>Jaring Kawat Baja dilas</v>
          </cell>
          <cell r="G1002" t="str">
            <v>kg</v>
          </cell>
          <cell r="H1002">
            <v>15150</v>
          </cell>
        </row>
        <row r="1003">
          <cell r="F1003" t="str">
            <v>Kawat  bronjong</v>
          </cell>
          <cell r="G1003" t="str">
            <v>kg</v>
          </cell>
          <cell r="H1003">
            <v>15680</v>
          </cell>
        </row>
        <row r="1004">
          <cell r="F1004" t="str">
            <v>Kawat  duri</v>
          </cell>
          <cell r="G1004" t="str">
            <v>roll</v>
          </cell>
          <cell r="H1004">
            <v>116750</v>
          </cell>
        </row>
        <row r="1005">
          <cell r="F1005" t="str">
            <v>Kawat  galvanis  Ø 3 mm</v>
          </cell>
          <cell r="G1005" t="str">
            <v>kg</v>
          </cell>
          <cell r="H1005">
            <v>26020</v>
          </cell>
        </row>
        <row r="1006">
          <cell r="F1006" t="str">
            <v>Kawat  galvanis  Ø 4 mm</v>
          </cell>
          <cell r="G1006" t="str">
            <v>kg</v>
          </cell>
          <cell r="H1006">
            <v>25400</v>
          </cell>
        </row>
        <row r="1007">
          <cell r="F1007" t="str">
            <v>Kawat  galvanis  Ø 5 mm</v>
          </cell>
          <cell r="G1007" t="str">
            <v>kg</v>
          </cell>
          <cell r="H1007">
            <v>22800</v>
          </cell>
        </row>
        <row r="1008">
          <cell r="F1008" t="str">
            <v>Kawat  harmonika 12 x  24 mm</v>
          </cell>
          <cell r="G1008" t="str">
            <v>m2</v>
          </cell>
          <cell r="H1008">
            <v>28450</v>
          </cell>
        </row>
        <row r="1009">
          <cell r="F1009" t="str">
            <v>Kawat  harmonika 14 x  30 mm</v>
          </cell>
          <cell r="G1009" t="str">
            <v>m2</v>
          </cell>
          <cell r="H1009">
            <v>28470</v>
          </cell>
        </row>
        <row r="1010">
          <cell r="F1010" t="str">
            <v>Kawat  harmonika 14 x  35 mm</v>
          </cell>
          <cell r="G1010" t="str">
            <v>m2</v>
          </cell>
          <cell r="H1010">
            <v>27900</v>
          </cell>
        </row>
        <row r="1011">
          <cell r="F1011" t="str">
            <v>Kawat  kasa</v>
          </cell>
          <cell r="G1011" t="str">
            <v>m2</v>
          </cell>
          <cell r="H1011">
            <v>26900</v>
          </cell>
        </row>
        <row r="1012">
          <cell r="F1012" t="str">
            <v>Kawat beton</v>
          </cell>
          <cell r="G1012" t="str">
            <v>kg</v>
          </cell>
          <cell r="H1012">
            <v>18800</v>
          </cell>
        </row>
        <row r="1013">
          <cell r="F1013" t="str">
            <v>Kawat bendrat</v>
          </cell>
          <cell r="G1013" t="str">
            <v xml:space="preserve">kg </v>
          </cell>
          <cell r="H1013">
            <v>18800</v>
          </cell>
        </row>
        <row r="1014">
          <cell r="F1014" t="str">
            <v>Kawat duri</v>
          </cell>
          <cell r="G1014" t="str">
            <v>m'</v>
          </cell>
          <cell r="H1014">
            <v>1750</v>
          </cell>
        </row>
        <row r="1015">
          <cell r="F1015" t="str">
            <v>Kawat seng 3mm</v>
          </cell>
          <cell r="G1015" t="str">
            <v>kg</v>
          </cell>
          <cell r="H1015">
            <v>18800</v>
          </cell>
        </row>
        <row r="1016">
          <cell r="F1016" t="str">
            <v>Kawat harmonika</v>
          </cell>
          <cell r="G1016" t="str">
            <v>m2</v>
          </cell>
          <cell r="H1016">
            <v>34620</v>
          </cell>
        </row>
        <row r="1017">
          <cell r="F1017" t="str">
            <v>Kawat jaring panjang 240 cm</v>
          </cell>
          <cell r="G1017" t="str">
            <v>lembar</v>
          </cell>
          <cell r="H1017">
            <v>300000</v>
          </cell>
        </row>
        <row r="1018">
          <cell r="F1018" t="str">
            <v>Kawat las</v>
          </cell>
          <cell r="G1018" t="str">
            <v>kg</v>
          </cell>
          <cell r="H1018">
            <v>45550</v>
          </cell>
        </row>
        <row r="1019">
          <cell r="F1019" t="str">
            <v>Kawat nyamuk</v>
          </cell>
          <cell r="G1019" t="str">
            <v>m3</v>
          </cell>
          <cell r="H1019">
            <v>20190</v>
          </cell>
        </row>
        <row r="1020">
          <cell r="F1020" t="str">
            <v>Kawat nyamuk nylon</v>
          </cell>
          <cell r="G1020" t="str">
            <v>m2</v>
          </cell>
          <cell r="H1020">
            <v>18000</v>
          </cell>
        </row>
        <row r="1021">
          <cell r="F1021" t="str">
            <v>Kawat Ø 4 mm</v>
          </cell>
          <cell r="G1021" t="str">
            <v>kg</v>
          </cell>
          <cell r="H1021">
            <v>35000</v>
          </cell>
        </row>
        <row r="1022">
          <cell r="F1022" t="str">
            <v>Lapisan hot  deep galvanis</v>
          </cell>
          <cell r="G1022" t="str">
            <v>kg</v>
          </cell>
          <cell r="H1022">
            <v>8400</v>
          </cell>
        </row>
        <row r="1023">
          <cell r="F1023" t="str">
            <v>Paku</v>
          </cell>
          <cell r="G1023" t="str">
            <v>kg</v>
          </cell>
          <cell r="H1023">
            <v>20000</v>
          </cell>
        </row>
        <row r="1024">
          <cell r="F1024" t="str">
            <v>Paku 1 inch</v>
          </cell>
          <cell r="G1024" t="str">
            <v>kg</v>
          </cell>
          <cell r="H1024">
            <v>15000</v>
          </cell>
        </row>
        <row r="1025">
          <cell r="F1025" t="str">
            <v>Paku 12 cm</v>
          </cell>
          <cell r="G1025" t="str">
            <v>buah</v>
          </cell>
          <cell r="H1025">
            <v>1500</v>
          </cell>
        </row>
        <row r="1026">
          <cell r="F1026" t="str">
            <v>Paku 2 inch</v>
          </cell>
          <cell r="G1026" t="str">
            <v>kg</v>
          </cell>
          <cell r="H1026">
            <v>18000</v>
          </cell>
        </row>
        <row r="1027">
          <cell r="F1027" t="str">
            <v>Paku 4 inch</v>
          </cell>
          <cell r="G1027" t="str">
            <v>kg</v>
          </cell>
          <cell r="H1027">
            <v>19000</v>
          </cell>
        </row>
        <row r="1028">
          <cell r="F1028" t="str">
            <v>Paku biasa 5 inchi</v>
          </cell>
          <cell r="G1028" t="str">
            <v>kg</v>
          </cell>
          <cell r="H1028">
            <v>20000</v>
          </cell>
        </row>
        <row r="1029">
          <cell r="F1029" t="str">
            <v xml:space="preserve">Paku 5 dan 10 cm </v>
          </cell>
          <cell r="G1029" t="str">
            <v xml:space="preserve">kg </v>
          </cell>
          <cell r="H1029">
            <v>20000</v>
          </cell>
        </row>
        <row r="1030">
          <cell r="F1030" t="str">
            <v>Paku 5 dan 7 cm</v>
          </cell>
          <cell r="G1030" t="str">
            <v>kg</v>
          </cell>
          <cell r="H1030">
            <v>20000</v>
          </cell>
        </row>
        <row r="1031">
          <cell r="F1031" t="str">
            <v xml:space="preserve">Paku 7 - 10 cm </v>
          </cell>
          <cell r="G1031" t="str">
            <v>kg</v>
          </cell>
          <cell r="H1031">
            <v>20000</v>
          </cell>
        </row>
        <row r="1032">
          <cell r="F1032" t="str">
            <v xml:space="preserve">Paku 3 cm </v>
          </cell>
          <cell r="G1032" t="str">
            <v>kg</v>
          </cell>
          <cell r="H1032">
            <v>15000</v>
          </cell>
        </row>
        <row r="1033">
          <cell r="F1033" t="str">
            <v xml:space="preserve">Paku Tripleks </v>
          </cell>
          <cell r="G1033" t="str">
            <v>kg</v>
          </cell>
          <cell r="H1033">
            <v>17500</v>
          </cell>
        </row>
        <row r="1034">
          <cell r="F1034" t="str">
            <v>Paku beton</v>
          </cell>
          <cell r="G1034" t="str">
            <v>kg</v>
          </cell>
          <cell r="H1034">
            <v>39450</v>
          </cell>
        </row>
        <row r="1035">
          <cell r="F1035" t="str">
            <v>Paku Beton 5 cm</v>
          </cell>
          <cell r="G1035" t="str">
            <v>buah</v>
          </cell>
          <cell r="H1035">
            <v>200</v>
          </cell>
        </row>
        <row r="1036">
          <cell r="F1036" t="str">
            <v>Paku hak panj 15cm</v>
          </cell>
          <cell r="G1036" t="str">
            <v>kg</v>
          </cell>
          <cell r="H1036">
            <v>22070</v>
          </cell>
        </row>
        <row r="1037">
          <cell r="F1037" t="str">
            <v>Paku pancing 6x23</v>
          </cell>
          <cell r="G1037" t="str">
            <v>kg</v>
          </cell>
          <cell r="H1037">
            <v>19460</v>
          </cell>
        </row>
        <row r="1038">
          <cell r="F1038" t="str">
            <v>Paku payung</v>
          </cell>
          <cell r="G1038" t="str">
            <v>kg</v>
          </cell>
          <cell r="H1038">
            <v>35590</v>
          </cell>
        </row>
        <row r="1039">
          <cell r="F1039" t="str">
            <v>Paku rivet</v>
          </cell>
          <cell r="G1039" t="str">
            <v>buah</v>
          </cell>
          <cell r="H1039">
            <v>200</v>
          </cell>
        </row>
        <row r="1040">
          <cell r="F1040" t="str">
            <v>Paku sekrup</v>
          </cell>
          <cell r="G1040" t="str">
            <v>kg</v>
          </cell>
          <cell r="H1040">
            <v>30090</v>
          </cell>
        </row>
        <row r="1041">
          <cell r="F1041" t="str">
            <v>Paku sekrup (buah)</v>
          </cell>
          <cell r="G1041" t="str">
            <v>buah</v>
          </cell>
          <cell r="H1041">
            <v>1600</v>
          </cell>
        </row>
        <row r="1042">
          <cell r="F1042" t="str">
            <v>Paku Sekrup 1-2 cm</v>
          </cell>
          <cell r="G1042" t="str">
            <v>buah</v>
          </cell>
          <cell r="H1042">
            <v>1600</v>
          </cell>
        </row>
        <row r="1043">
          <cell r="F1043" t="str">
            <v>Paku Fishes/kotak</v>
          </cell>
          <cell r="G1043" t="str">
            <v>kotak</v>
          </cell>
          <cell r="H1043">
            <v>29000</v>
          </cell>
        </row>
        <row r="1044">
          <cell r="F1044" t="str">
            <v xml:space="preserve">Paku Fishes </v>
          </cell>
          <cell r="G1044" t="str">
            <v xml:space="preserve">buah </v>
          </cell>
          <cell r="H1044">
            <v>580</v>
          </cell>
        </row>
        <row r="1045">
          <cell r="F1045" t="str">
            <v>Pintu tahan api</v>
          </cell>
          <cell r="G1045" t="str">
            <v>unit</v>
          </cell>
          <cell r="H1045">
            <v>8000000</v>
          </cell>
        </row>
        <row r="1046">
          <cell r="F1046" t="str">
            <v>Pipa baja dia. 30 cm</v>
          </cell>
          <cell r="G1046" t="str">
            <v>m'</v>
          </cell>
          <cell r="H1046">
            <v>1680000</v>
          </cell>
        </row>
        <row r="1047">
          <cell r="F1047" t="str">
            <v>Pipa baja dia. 40 cm</v>
          </cell>
          <cell r="G1047" t="str">
            <v>m'</v>
          </cell>
          <cell r="H1047">
            <v>2240000</v>
          </cell>
        </row>
        <row r="1048">
          <cell r="F1048" t="str">
            <v>Pipa baja dia. 50 cm</v>
          </cell>
          <cell r="G1048" t="str">
            <v>m'</v>
          </cell>
          <cell r="H1048">
            <v>2800000</v>
          </cell>
        </row>
        <row r="1049">
          <cell r="F1049" t="str">
            <v>Pipa besi hitam 1 inch</v>
          </cell>
          <cell r="G1049" t="str">
            <v>m'</v>
          </cell>
          <cell r="H1049">
            <v>15500</v>
          </cell>
        </row>
        <row r="1050">
          <cell r="F1050" t="str">
            <v>Pipa besi hitam 1,5 inch</v>
          </cell>
          <cell r="G1050" t="str">
            <v>m'</v>
          </cell>
          <cell r="H1050">
            <v>22000</v>
          </cell>
        </row>
        <row r="1051">
          <cell r="F1051" t="str">
            <v>Pipa besi hitam 2 inch</v>
          </cell>
          <cell r="G1051" t="str">
            <v>m'</v>
          </cell>
          <cell r="H1051">
            <v>31000</v>
          </cell>
        </row>
        <row r="1052">
          <cell r="F1052" t="str">
            <v>Pipa besi hitam 3 inch</v>
          </cell>
          <cell r="G1052" t="str">
            <v>m'</v>
          </cell>
          <cell r="H1052">
            <v>42000</v>
          </cell>
        </row>
        <row r="1053">
          <cell r="F1053" t="str">
            <v>Saringan pasir</v>
          </cell>
          <cell r="G1053" t="str">
            <v>m'</v>
          </cell>
          <cell r="H1053">
            <v>16650</v>
          </cell>
        </row>
        <row r="1054">
          <cell r="F1054" t="str">
            <v>Sekrup kait</v>
          </cell>
          <cell r="G1054" t="str">
            <v>buah</v>
          </cell>
          <cell r="H1054">
            <v>700</v>
          </cell>
        </row>
        <row r="1055">
          <cell r="F1055" t="str">
            <v>Wiremesh M10</v>
          </cell>
          <cell r="G1055" t="str">
            <v>kg</v>
          </cell>
          <cell r="H1055">
            <v>12430</v>
          </cell>
        </row>
        <row r="1056">
          <cell r="F1056" t="str">
            <v>Wiremesh M12</v>
          </cell>
          <cell r="G1056" t="str">
            <v>kg</v>
          </cell>
          <cell r="H1056">
            <v>12660</v>
          </cell>
        </row>
        <row r="1057">
          <cell r="F1057" t="str">
            <v>Wiremesh M6</v>
          </cell>
          <cell r="G1057" t="str">
            <v>kg</v>
          </cell>
          <cell r="H1057">
            <v>11522</v>
          </cell>
        </row>
        <row r="1058">
          <cell r="F1058" t="str">
            <v>Wiremesh M7</v>
          </cell>
          <cell r="G1058" t="str">
            <v>kg</v>
          </cell>
          <cell r="H1058">
            <v>11816</v>
          </cell>
        </row>
        <row r="1059">
          <cell r="F1059" t="str">
            <v>Wiremesh M8</v>
          </cell>
          <cell r="G1059" t="str">
            <v>kg</v>
          </cell>
          <cell r="H1059">
            <v>12049</v>
          </cell>
        </row>
        <row r="1060">
          <cell r="F1060" t="str">
            <v>Wiremesh M9</v>
          </cell>
          <cell r="G1060" t="str">
            <v>kg</v>
          </cell>
          <cell r="H1060">
            <v>12276</v>
          </cell>
        </row>
        <row r="1061">
          <cell r="F1061" t="str">
            <v>MATERIAL PENUTUP ATAP</v>
          </cell>
        </row>
        <row r="1062">
          <cell r="F1062" t="str">
            <v>Aluminium gelombang 95x180 cm</v>
          </cell>
          <cell r="G1062" t="str">
            <v>lembar</v>
          </cell>
          <cell r="H1062">
            <v>180400</v>
          </cell>
        </row>
        <row r="1063">
          <cell r="F1063" t="str">
            <v>Asbes  gelombang kecil 4mm (150x105)</v>
          </cell>
          <cell r="G1063" t="str">
            <v>lembar</v>
          </cell>
          <cell r="H1063">
            <v>47800</v>
          </cell>
        </row>
        <row r="1064">
          <cell r="F1064" t="str">
            <v>Asbes  gelombang kecil 4mm (180x105)</v>
          </cell>
          <cell r="G1064" t="str">
            <v>lembar</v>
          </cell>
          <cell r="H1064">
            <v>57300</v>
          </cell>
        </row>
        <row r="1065">
          <cell r="F1065" t="str">
            <v>Asbes  gelombang kecil 4mm (210x105)</v>
          </cell>
          <cell r="G1065" t="str">
            <v>lembar</v>
          </cell>
          <cell r="H1065">
            <v>65300</v>
          </cell>
        </row>
        <row r="1066">
          <cell r="F1066" t="str">
            <v>Asbes  gelombang kecil 4mm (240x105)</v>
          </cell>
          <cell r="G1066" t="str">
            <v>lembar</v>
          </cell>
          <cell r="H1066">
            <v>75500</v>
          </cell>
        </row>
        <row r="1067">
          <cell r="F1067" t="str">
            <v>Asbes gelombang besar 5 mm, 150x105 cm</v>
          </cell>
          <cell r="G1067" t="str">
            <v>lembar</v>
          </cell>
          <cell r="H1067">
            <v>120000</v>
          </cell>
        </row>
        <row r="1068">
          <cell r="F1068" t="str">
            <v>Asbes gelombang besar 5 mm, 180x92 cm</v>
          </cell>
          <cell r="G1068" t="str">
            <v>lembar</v>
          </cell>
          <cell r="H1068">
            <v>85500</v>
          </cell>
        </row>
        <row r="1069">
          <cell r="F1069" t="str">
            <v>Asbes gelombang besar 5 mm, 200x92 cm</v>
          </cell>
          <cell r="G1069" t="str">
            <v>lembar</v>
          </cell>
          <cell r="H1069">
            <v>94000</v>
          </cell>
        </row>
        <row r="1070">
          <cell r="F1070" t="str">
            <v>Asbes gelombang besar 5 mm, 210x105 cm</v>
          </cell>
          <cell r="G1070" t="str">
            <v>lembar</v>
          </cell>
          <cell r="H1070">
            <v>125000</v>
          </cell>
        </row>
        <row r="1071">
          <cell r="F1071" t="str">
            <v>Asbes gelombang besar 5 mm, 225x92 cm</v>
          </cell>
          <cell r="G1071" t="str">
            <v>lembar</v>
          </cell>
          <cell r="H1071">
            <v>104900</v>
          </cell>
        </row>
        <row r="1072">
          <cell r="F1072" t="str">
            <v>Asbes gelombang besar 5 mm, 240x105 cm</v>
          </cell>
          <cell r="G1072" t="str">
            <v>lembar</v>
          </cell>
          <cell r="H1072">
            <v>130000</v>
          </cell>
        </row>
        <row r="1073">
          <cell r="F1073" t="str">
            <v>Asbes gelombang besar 5 mm, 250x92 cm</v>
          </cell>
          <cell r="G1073" t="str">
            <v>lembar</v>
          </cell>
          <cell r="H1073">
            <v>113400</v>
          </cell>
        </row>
        <row r="1074">
          <cell r="F1074" t="str">
            <v>Asbes gelombang besar 5 mm, 300x105 cm</v>
          </cell>
          <cell r="G1074" t="str">
            <v>lembar</v>
          </cell>
          <cell r="H1074">
            <v>135000</v>
          </cell>
        </row>
        <row r="1075">
          <cell r="F1075" t="str">
            <v>Asbes gelombang besar 6 mm, 180x108 cm</v>
          </cell>
          <cell r="G1075" t="str">
            <v>lembar</v>
          </cell>
          <cell r="H1075">
            <v>93000</v>
          </cell>
        </row>
        <row r="1076">
          <cell r="F1076" t="str">
            <v>Asbes gelombang besar 6 mm, 210x108 cm</v>
          </cell>
          <cell r="G1076" t="str">
            <v>lembar</v>
          </cell>
          <cell r="H1076">
            <v>92900</v>
          </cell>
        </row>
        <row r="1077">
          <cell r="F1077" t="str">
            <v>Asbes gelombang besar 6 mm, 240x108 cm</v>
          </cell>
          <cell r="G1077" t="str">
            <v>lembar</v>
          </cell>
          <cell r="H1077">
            <v>99600</v>
          </cell>
        </row>
        <row r="1078">
          <cell r="F1078" t="str">
            <v>Asbes gelombang besar 6 mm, 270x108 cm</v>
          </cell>
          <cell r="G1078" t="str">
            <v>lembar</v>
          </cell>
          <cell r="H1078">
            <v>113400</v>
          </cell>
        </row>
        <row r="1079">
          <cell r="F1079" t="str">
            <v>Asbes gelombang besar 6 mm, 300x108 cm</v>
          </cell>
          <cell r="G1079" t="str">
            <v>lembar</v>
          </cell>
          <cell r="H1079">
            <v>131000</v>
          </cell>
        </row>
        <row r="1080">
          <cell r="F1080" t="str">
            <v>Asbes gelombang kecil 4 mm, 270x105 cm</v>
          </cell>
          <cell r="G1080" t="str">
            <v>lembar</v>
          </cell>
          <cell r="H1080">
            <v>88400</v>
          </cell>
        </row>
        <row r="1081">
          <cell r="F1081" t="str">
            <v>Asbes gelombang kecil 4 mm, 300x105 cm</v>
          </cell>
          <cell r="G1081" t="str">
            <v>lembar</v>
          </cell>
          <cell r="H1081">
            <v>100500</v>
          </cell>
        </row>
        <row r="1082">
          <cell r="F1082" t="str">
            <v>Atap metal berpasir</v>
          </cell>
          <cell r="G1082" t="str">
            <v>m2</v>
          </cell>
          <cell r="H1082">
            <v>112500</v>
          </cell>
        </row>
        <row r="1083">
          <cell r="F1083" t="str">
            <v>Atap metal lembaran</v>
          </cell>
          <cell r="G1083" t="str">
            <v>m2</v>
          </cell>
          <cell r="H1083">
            <v>112500</v>
          </cell>
        </row>
        <row r="1084">
          <cell r="F1084" t="str">
            <v>Atap metal menerus</v>
          </cell>
          <cell r="G1084" t="str">
            <v>m2</v>
          </cell>
          <cell r="H1084">
            <v>80000</v>
          </cell>
        </row>
        <row r="1085">
          <cell r="F1085" t="str">
            <v>Atap Rumbia /  Atap Saung 150cmx50cm</v>
          </cell>
          <cell r="G1085" t="str">
            <v>buah</v>
          </cell>
          <cell r="H1085">
            <v>20000</v>
          </cell>
        </row>
        <row r="1086">
          <cell r="F1086" t="str">
            <v>Atap UPVC uk. 86x119 cm</v>
          </cell>
          <cell r="G1086" t="str">
            <v>m2</v>
          </cell>
          <cell r="H1086">
            <v>200000</v>
          </cell>
        </row>
        <row r="1087">
          <cell r="F1087" t="str">
            <v>Bitumen tekstur genting</v>
          </cell>
          <cell r="G1087" t="str">
            <v>lembar</v>
          </cell>
          <cell r="H1087">
            <v>62700</v>
          </cell>
        </row>
        <row r="1088">
          <cell r="F1088" t="str">
            <v>Bubung genteng kodok</v>
          </cell>
          <cell r="G1088" t="str">
            <v>buah</v>
          </cell>
          <cell r="H1088">
            <v>8600</v>
          </cell>
        </row>
        <row r="1089">
          <cell r="F1089" t="str">
            <v>Bubung genteng palentong</v>
          </cell>
          <cell r="G1089" t="str">
            <v>buah</v>
          </cell>
          <cell r="H1089">
            <v>10700</v>
          </cell>
        </row>
        <row r="1090">
          <cell r="F1090" t="str">
            <v>Bubungan asbes  besar</v>
          </cell>
          <cell r="G1090" t="str">
            <v>buah</v>
          </cell>
          <cell r="H1090">
            <v>30700</v>
          </cell>
        </row>
        <row r="1091">
          <cell r="F1091" t="str">
            <v>Bubungan asbes  kecil</v>
          </cell>
          <cell r="G1091" t="str">
            <v>buah</v>
          </cell>
          <cell r="H1091">
            <v>48100</v>
          </cell>
        </row>
        <row r="1092">
          <cell r="F1092" t="str">
            <v>Bubungan beton press</v>
          </cell>
          <cell r="G1092" t="str">
            <v>buah</v>
          </cell>
          <cell r="H1092">
            <v>5300</v>
          </cell>
        </row>
        <row r="1093">
          <cell r="F1093" t="str">
            <v>Fibre glass  (jabes) 180x105 cm</v>
          </cell>
          <cell r="G1093" t="str">
            <v>lembar</v>
          </cell>
          <cell r="H1093">
            <v>78500</v>
          </cell>
        </row>
        <row r="1094">
          <cell r="F1094" t="str">
            <v>Fibre glass  (jabes) 200x92 cm</v>
          </cell>
          <cell r="G1094" t="str">
            <v>lembar</v>
          </cell>
          <cell r="H1094">
            <v>68500</v>
          </cell>
        </row>
        <row r="1095">
          <cell r="F1095" t="str">
            <v>Fibre glass  (jabes) 210x105 cm</v>
          </cell>
          <cell r="G1095" t="str">
            <v>buah</v>
          </cell>
          <cell r="H1095">
            <v>89700</v>
          </cell>
        </row>
        <row r="1096">
          <cell r="F1096" t="str">
            <v>Fibre glass  (jabes) 250x105 cm</v>
          </cell>
          <cell r="G1096" t="str">
            <v>buah</v>
          </cell>
          <cell r="H1096">
            <v>122300</v>
          </cell>
        </row>
        <row r="1097">
          <cell r="F1097" t="str">
            <v>Fibre glass  (jabes) 250x92 cm</v>
          </cell>
          <cell r="G1097" t="str">
            <v>buah</v>
          </cell>
          <cell r="H1097">
            <v>162500</v>
          </cell>
        </row>
        <row r="1098">
          <cell r="F1098" t="str">
            <v>Fibreglass 180x90 cm</v>
          </cell>
          <cell r="G1098" t="str">
            <v>lembar</v>
          </cell>
          <cell r="H1098">
            <v>59600</v>
          </cell>
        </row>
        <row r="1099">
          <cell r="F1099" t="str">
            <v>Frame 'S' 85.50 tinggi profil 85 dan tebal 0,75  mm</v>
          </cell>
          <cell r="G1099" t="str">
            <v>batang</v>
          </cell>
          <cell r="H1099">
            <v>145000</v>
          </cell>
        </row>
        <row r="1100">
          <cell r="F1100" t="str">
            <v>Galvalum Gelombang Lapis  Pasir</v>
          </cell>
          <cell r="G1100" t="str">
            <v>lembar</v>
          </cell>
          <cell r="H1100">
            <v>61200</v>
          </cell>
        </row>
        <row r="1101">
          <cell r="F1101" t="str">
            <v>Genteng aspal 80x100 cm</v>
          </cell>
          <cell r="G1101" t="str">
            <v>buah</v>
          </cell>
          <cell r="H1101">
            <v>149700</v>
          </cell>
        </row>
        <row r="1102">
          <cell r="F1102" t="str">
            <v>Genteng beton</v>
          </cell>
          <cell r="G1102" t="str">
            <v>buah</v>
          </cell>
          <cell r="H1102">
            <v>6800</v>
          </cell>
        </row>
        <row r="1103">
          <cell r="F1103" t="str">
            <v>Genteng decra bond</v>
          </cell>
          <cell r="G1103" t="str">
            <v>buah</v>
          </cell>
          <cell r="H1103">
            <v>9800</v>
          </cell>
        </row>
        <row r="1104">
          <cell r="F1104" t="str">
            <v>Genteng kodok</v>
          </cell>
          <cell r="G1104" t="str">
            <v>buah</v>
          </cell>
          <cell r="H1104">
            <v>3400</v>
          </cell>
        </row>
        <row r="1105">
          <cell r="F1105" t="str">
            <v>Genteng kodok glazuur</v>
          </cell>
          <cell r="G1105" t="str">
            <v>buah</v>
          </cell>
          <cell r="H1105">
            <v>5800</v>
          </cell>
        </row>
        <row r="1106">
          <cell r="F1106" t="str">
            <v>Genteng metal</v>
          </cell>
          <cell r="G1106" t="str">
            <v>lembar</v>
          </cell>
          <cell r="H1106">
            <v>50700</v>
          </cell>
        </row>
        <row r="1107">
          <cell r="F1107" t="str">
            <v>Genteng metal berpasir</v>
          </cell>
          <cell r="G1107" t="str">
            <v>lembar</v>
          </cell>
          <cell r="H1107">
            <v>30500</v>
          </cell>
        </row>
        <row r="1108">
          <cell r="F1108" t="str">
            <v>Genteng palentong</v>
          </cell>
          <cell r="G1108" t="str">
            <v>buah</v>
          </cell>
          <cell r="H1108">
            <v>2800</v>
          </cell>
        </row>
        <row r="1109">
          <cell r="F1109" t="str">
            <v>Genteng palentong super</v>
          </cell>
          <cell r="G1109" t="str">
            <v>buah</v>
          </cell>
          <cell r="H1109">
            <v>5300</v>
          </cell>
        </row>
        <row r="1110">
          <cell r="F1110" t="str">
            <v>Listplang papan kalsiboard</v>
          </cell>
          <cell r="G1110" t="str">
            <v>buah</v>
          </cell>
          <cell r="H1110">
            <v>56200</v>
          </cell>
        </row>
        <row r="1111">
          <cell r="F1111" t="str">
            <v>Listplang tekstur kayu</v>
          </cell>
          <cell r="G1111" t="str">
            <v>buah</v>
          </cell>
          <cell r="H1111">
            <v>54500</v>
          </cell>
        </row>
        <row r="1112">
          <cell r="F1112" t="str">
            <v>Nok genteng aspal</v>
          </cell>
          <cell r="G1112" t="str">
            <v>buah</v>
          </cell>
          <cell r="H1112">
            <v>95000</v>
          </cell>
        </row>
        <row r="1113">
          <cell r="F1113" t="str">
            <v>Nok genteng beton</v>
          </cell>
          <cell r="G1113" t="str">
            <v>buah</v>
          </cell>
          <cell r="H1113">
            <v>9600</v>
          </cell>
        </row>
        <row r="1114">
          <cell r="F1114" t="str">
            <v>Nok genteng metal</v>
          </cell>
          <cell r="G1114" t="str">
            <v>buah</v>
          </cell>
          <cell r="H1114">
            <v>25600</v>
          </cell>
        </row>
        <row r="1115">
          <cell r="F1115" t="str">
            <v>Nok paten 105 cm</v>
          </cell>
          <cell r="G1115" t="str">
            <v>lembar</v>
          </cell>
          <cell r="H1115">
            <v>70000</v>
          </cell>
        </row>
        <row r="1116">
          <cell r="F1116" t="str">
            <v>Nok paten 108 cm</v>
          </cell>
          <cell r="G1116" t="str">
            <v>lembar</v>
          </cell>
          <cell r="H1116">
            <v>75000</v>
          </cell>
        </row>
        <row r="1117">
          <cell r="F1117" t="str">
            <v>Nok paten 92 cm</v>
          </cell>
          <cell r="G1117" t="str">
            <v>lembar</v>
          </cell>
          <cell r="H1117">
            <v>65000</v>
          </cell>
        </row>
        <row r="1118">
          <cell r="F1118" t="str">
            <v>Nok setel rata 105 cm</v>
          </cell>
          <cell r="G1118" t="str">
            <v>lembar</v>
          </cell>
          <cell r="H1118">
            <v>75000</v>
          </cell>
        </row>
        <row r="1119">
          <cell r="F1119" t="str">
            <v>Nok setel rata 108 cm</v>
          </cell>
          <cell r="G1119" t="str">
            <v>lembar</v>
          </cell>
          <cell r="H1119">
            <v>80000</v>
          </cell>
        </row>
        <row r="1120">
          <cell r="F1120" t="str">
            <v>Nok setel rata 92 cm</v>
          </cell>
          <cell r="G1120" t="str">
            <v>lembar</v>
          </cell>
          <cell r="H1120">
            <v>70000</v>
          </cell>
        </row>
        <row r="1121">
          <cell r="F1121" t="str">
            <v>Nok standar</v>
          </cell>
          <cell r="G1121" t="str">
            <v>lembar</v>
          </cell>
          <cell r="H1121">
            <v>67000</v>
          </cell>
        </row>
        <row r="1122">
          <cell r="F1122" t="str">
            <v>Nok stel gelombang 105 cm</v>
          </cell>
          <cell r="G1122" t="str">
            <v>lembar</v>
          </cell>
          <cell r="H1122">
            <v>70000</v>
          </cell>
        </row>
        <row r="1123">
          <cell r="F1123" t="str">
            <v>Nok stel gelombang 108 cm</v>
          </cell>
          <cell r="G1123" t="str">
            <v>lembar</v>
          </cell>
          <cell r="H1123">
            <v>80000</v>
          </cell>
        </row>
        <row r="1124">
          <cell r="F1124" t="str">
            <v>Nok stel gelombang 92 cm</v>
          </cell>
          <cell r="G1124" t="str">
            <v>lembar</v>
          </cell>
          <cell r="H1124">
            <v>60000</v>
          </cell>
        </row>
        <row r="1125">
          <cell r="F1125" t="str">
            <v>Reng  batten  0,5</v>
          </cell>
          <cell r="G1125" t="str">
            <v>batang</v>
          </cell>
          <cell r="H1125">
            <v>35000</v>
          </cell>
        </row>
        <row r="1126">
          <cell r="F1126" t="str">
            <v>Roof light fiberglass</v>
          </cell>
          <cell r="G1126" t="str">
            <v>lembar</v>
          </cell>
          <cell r="H1126">
            <v>116300</v>
          </cell>
        </row>
        <row r="1127">
          <cell r="F1127" t="str">
            <v>Seng gelombang</v>
          </cell>
          <cell r="G1127" t="str">
            <v>lembar</v>
          </cell>
          <cell r="H1127">
            <v>85000</v>
          </cell>
        </row>
        <row r="1128">
          <cell r="F1128" t="str">
            <v>Seng gelombang 3x6 inch</v>
          </cell>
          <cell r="G1128" t="str">
            <v>lembar</v>
          </cell>
          <cell r="H1128">
            <v>83100</v>
          </cell>
        </row>
        <row r="1129">
          <cell r="F1129" t="str">
            <v>Seng Gelombang 105 cm x 180 cm</v>
          </cell>
          <cell r="G1129" t="str">
            <v xml:space="preserve">Lembar </v>
          </cell>
          <cell r="H1129">
            <v>85000</v>
          </cell>
        </row>
        <row r="1130">
          <cell r="F1130" t="str">
            <v>Seng gelombang bjls  0.18 panjang 180 cm</v>
          </cell>
          <cell r="G1130" t="str">
            <v>lembar</v>
          </cell>
          <cell r="H1130">
            <v>55200</v>
          </cell>
        </row>
        <row r="1131">
          <cell r="F1131" t="str">
            <v>Seng gelombang bjls  0.20 panjang 180 cm</v>
          </cell>
          <cell r="G1131" t="str">
            <v>lembar</v>
          </cell>
          <cell r="H1131">
            <v>63900</v>
          </cell>
        </row>
        <row r="1132">
          <cell r="F1132" t="str">
            <v>Seng gelombang bjls  30 panjang 180 cm</v>
          </cell>
          <cell r="G1132" t="str">
            <v>lembar</v>
          </cell>
          <cell r="H1132">
            <v>73300</v>
          </cell>
        </row>
        <row r="1133">
          <cell r="F1133" t="str">
            <v>Seng gelombang bjls  0.40 panjang 180 cm</v>
          </cell>
          <cell r="G1133" t="str">
            <v>lembar</v>
          </cell>
          <cell r="H1133">
            <v>73000</v>
          </cell>
        </row>
        <row r="1134">
          <cell r="F1134" t="str">
            <v>Seng gelombang bjls  28</v>
          </cell>
          <cell r="G1134" t="str">
            <v>lembar</v>
          </cell>
          <cell r="H1134">
            <v>85500</v>
          </cell>
        </row>
        <row r="1135">
          <cell r="F1135" t="str">
            <v>Seng gelombang bljs 30</v>
          </cell>
          <cell r="G1135" t="str">
            <v>lembar</v>
          </cell>
          <cell r="H1135">
            <v>79000</v>
          </cell>
        </row>
        <row r="1136">
          <cell r="F1136" t="str">
            <v>Seng gelombang panjang 200 cm</v>
          </cell>
          <cell r="G1136" t="str">
            <v>lembar</v>
          </cell>
          <cell r="H1136">
            <v>85000</v>
          </cell>
        </row>
        <row r="1137">
          <cell r="F1137" t="str">
            <v>Seng plat  BJLS 0.18 lebar 55 cm</v>
          </cell>
          <cell r="G1137" t="str">
            <v>m'</v>
          </cell>
          <cell r="H1137">
            <v>24800</v>
          </cell>
        </row>
        <row r="1138">
          <cell r="F1138" t="str">
            <v>Seng plat  BJLS 0.20 lebar 55 cm</v>
          </cell>
          <cell r="G1138" t="str">
            <v>m'</v>
          </cell>
          <cell r="H1138">
            <v>28100</v>
          </cell>
        </row>
        <row r="1139">
          <cell r="F1139" t="str">
            <v>Seng plat  BJLS 0.28 lebar 55 cm</v>
          </cell>
          <cell r="G1139" t="str">
            <v>m'</v>
          </cell>
          <cell r="H1139">
            <v>30400</v>
          </cell>
        </row>
        <row r="1140">
          <cell r="F1140" t="str">
            <v>Seng plat  BJLS 0.30 lebar 55 cm</v>
          </cell>
          <cell r="G1140" t="str">
            <v>m'</v>
          </cell>
          <cell r="H1140">
            <v>34600</v>
          </cell>
        </row>
        <row r="1141">
          <cell r="F1141" t="str">
            <v>Seng plat 3x6 inch</v>
          </cell>
          <cell r="G1141" t="str">
            <v>lembar</v>
          </cell>
          <cell r="H1141">
            <v>66900</v>
          </cell>
        </row>
        <row r="1142">
          <cell r="F1142" t="str">
            <v>Seng plat 3x6 inch bjls 28</v>
          </cell>
          <cell r="G1142" t="str">
            <v>lembar</v>
          </cell>
          <cell r="H1142">
            <v>72200</v>
          </cell>
        </row>
        <row r="1143">
          <cell r="F1143" t="str">
            <v>Seng pelat</v>
          </cell>
          <cell r="G1143" t="str">
            <v>lembar</v>
          </cell>
          <cell r="H1143">
            <v>72200</v>
          </cell>
        </row>
        <row r="1144">
          <cell r="F1144" t="str">
            <v>Seng Pelat  90x180 cm bjls 28</v>
          </cell>
          <cell r="G1144" t="str">
            <v xml:space="preserve">lembar </v>
          </cell>
          <cell r="H1144">
            <v>72200</v>
          </cell>
        </row>
        <row r="1145">
          <cell r="F1145" t="str">
            <v>Seng plat bjls 28</v>
          </cell>
          <cell r="G1145" t="str">
            <v>m'</v>
          </cell>
          <cell r="H1145">
            <v>70200</v>
          </cell>
        </row>
        <row r="1146">
          <cell r="F1146" t="str">
            <v>Seng plat bjls 30</v>
          </cell>
          <cell r="G1146" t="str">
            <v>m'</v>
          </cell>
          <cell r="H1146">
            <v>74400</v>
          </cell>
        </row>
        <row r="1147">
          <cell r="F1147" t="str">
            <v>Seng plat bjls 30</v>
          </cell>
          <cell r="G1147" t="str">
            <v>lembar</v>
          </cell>
          <cell r="H1147">
            <v>35000</v>
          </cell>
        </row>
        <row r="1148">
          <cell r="F1148" t="str">
            <v>Sirap (100 lbr)</v>
          </cell>
          <cell r="G1148" t="str">
            <v>pak</v>
          </cell>
          <cell r="H1148">
            <v>200000</v>
          </cell>
        </row>
        <row r="1149">
          <cell r="F1149" t="str">
            <v>Sirap kayu</v>
          </cell>
          <cell r="G1149" t="str">
            <v>buah</v>
          </cell>
          <cell r="H1149">
            <v>5000</v>
          </cell>
        </row>
        <row r="1150">
          <cell r="F1150" t="str">
            <v>Wab  capsule 62.27  tinggi 62  mm dan  tebal 0,4mm</v>
          </cell>
          <cell r="G1150" t="str">
            <v>batang</v>
          </cell>
          <cell r="H1150">
            <v>55000</v>
          </cell>
        </row>
        <row r="1151">
          <cell r="F1151" t="str">
            <v>MATERIAL PLAFON</v>
          </cell>
        </row>
        <row r="1152">
          <cell r="F1152" t="str">
            <v>Asbes 1,00  x 1,00  m</v>
          </cell>
          <cell r="G1152" t="str">
            <v>lembar</v>
          </cell>
          <cell r="H1152">
            <v>17400</v>
          </cell>
        </row>
        <row r="1153">
          <cell r="F1153" t="str">
            <v>Compon Flafond</v>
          </cell>
          <cell r="G1153" t="str">
            <v>kg</v>
          </cell>
          <cell r="H1153">
            <v>5000</v>
          </cell>
        </row>
        <row r="1154">
          <cell r="F1154" t="str">
            <v>cross tee</v>
          </cell>
          <cell r="G1154" t="str">
            <v>batang</v>
          </cell>
          <cell r="H1154">
            <v>18000</v>
          </cell>
        </row>
        <row r="1155">
          <cell r="F1155" t="str">
            <v>GRC Pelat t=4 mm uk 122x244 cm</v>
          </cell>
          <cell r="G1155" t="str">
            <v>lembar</v>
          </cell>
          <cell r="H1155">
            <v>200000</v>
          </cell>
        </row>
        <row r="1156">
          <cell r="F1156" t="str">
            <v>GRCboard (120 cm x  240 cm x  5 mm)</v>
          </cell>
          <cell r="G1156" t="str">
            <v>m2</v>
          </cell>
          <cell r="H1156">
            <v>80800</v>
          </cell>
        </row>
        <row r="1157">
          <cell r="F1157" t="str">
            <v>GRCboard (120 cm x  240 cm x  6 mm)</v>
          </cell>
          <cell r="G1157" t="str">
            <v>m2</v>
          </cell>
          <cell r="H1157">
            <v>99300</v>
          </cell>
        </row>
        <row r="1158">
          <cell r="F1158" t="str">
            <v>Gypsum Board (120 cm x  240 cm x  12 mm)</v>
          </cell>
          <cell r="G1158" t="str">
            <v>lembar</v>
          </cell>
          <cell r="H1158">
            <v>93000</v>
          </cell>
        </row>
        <row r="1159">
          <cell r="F1159" t="str">
            <v>Gypsum Board (122 cm x  244 cm x  12 mm)</v>
          </cell>
          <cell r="G1159" t="str">
            <v xml:space="preserve">Lembar </v>
          </cell>
          <cell r="H1159">
            <v>96000</v>
          </cell>
        </row>
        <row r="1160">
          <cell r="F1160" t="str">
            <v>Gypsum board (120 cm x 240 cm x 9 mm)</v>
          </cell>
          <cell r="G1160" t="str">
            <v>lembar</v>
          </cell>
          <cell r="H1160">
            <v>70000</v>
          </cell>
        </row>
        <row r="1161">
          <cell r="F1161" t="str">
            <v>Rockwool tebal 50 mm</v>
          </cell>
          <cell r="G1161" t="str">
            <v>m2</v>
          </cell>
          <cell r="H1161">
            <v>290000</v>
          </cell>
        </row>
        <row r="1162">
          <cell r="F1162" t="str">
            <v>Lambersening plafon ˂3</v>
          </cell>
          <cell r="G1162" t="str">
            <v>m2</v>
          </cell>
          <cell r="H1162">
            <v>180000</v>
          </cell>
        </row>
        <row r="1163">
          <cell r="F1163" t="str">
            <v>Lambersening plafon ˃3</v>
          </cell>
          <cell r="G1163" t="str">
            <v>m2</v>
          </cell>
          <cell r="H1163">
            <v>200000</v>
          </cell>
        </row>
        <row r="1164">
          <cell r="F1164" t="str">
            <v>List gypsum profil</v>
          </cell>
          <cell r="G1164" t="str">
            <v>m'</v>
          </cell>
          <cell r="H1164">
            <v>15800</v>
          </cell>
        </row>
        <row r="1165">
          <cell r="F1165" t="str">
            <v>Listplank GRC lebar 20 cm</v>
          </cell>
          <cell r="G1165" t="str">
            <v>m'</v>
          </cell>
          <cell r="H1165">
            <v>21000</v>
          </cell>
        </row>
        <row r="1166">
          <cell r="F1166" t="str">
            <v>Listplank GRC lebar 30 cm</v>
          </cell>
          <cell r="G1166" t="str">
            <v>m'</v>
          </cell>
          <cell r="H1166">
            <v>23000</v>
          </cell>
        </row>
        <row r="1167">
          <cell r="F1167" t="str">
            <v>Main tee</v>
          </cell>
          <cell r="G1167" t="str">
            <v>batang</v>
          </cell>
          <cell r="H1167">
            <v>34000</v>
          </cell>
        </row>
        <row r="1168">
          <cell r="F1168" t="str">
            <v>Papan semen</v>
          </cell>
          <cell r="G1168" t="str">
            <v>m2</v>
          </cell>
          <cell r="H1168">
            <v>45000</v>
          </cell>
        </row>
        <row r="1169">
          <cell r="F1169" t="str">
            <v>Asbes gelombang</v>
          </cell>
          <cell r="G1169" t="str">
            <v>lembar</v>
          </cell>
          <cell r="H1169">
            <v>62400</v>
          </cell>
        </row>
        <row r="1170">
          <cell r="F1170" t="str">
            <v>Pelat  asbes  tebal 3,5 mm</v>
          </cell>
          <cell r="G1170" t="str">
            <v>lembar</v>
          </cell>
          <cell r="H1170">
            <v>62400</v>
          </cell>
        </row>
        <row r="1171">
          <cell r="F1171" t="str">
            <v>Pelat  asbes  tebal 4 mm</v>
          </cell>
          <cell r="G1171" t="str">
            <v>lembar</v>
          </cell>
          <cell r="H1171">
            <v>69800</v>
          </cell>
        </row>
        <row r="1172">
          <cell r="F1172" t="str">
            <v>Plafon akustik 30x30 cm</v>
          </cell>
          <cell r="G1172" t="str">
            <v>lembar</v>
          </cell>
          <cell r="H1172">
            <v>6200</v>
          </cell>
        </row>
        <row r="1173">
          <cell r="F1173" t="str">
            <v>Plafon akustik 30x60 cm</v>
          </cell>
          <cell r="G1173" t="str">
            <v>lembar</v>
          </cell>
          <cell r="H1173">
            <v>13900</v>
          </cell>
        </row>
        <row r="1174">
          <cell r="F1174" t="str">
            <v>Plafon akustik 60x120 cm</v>
          </cell>
          <cell r="G1174" t="str">
            <v>lembar</v>
          </cell>
          <cell r="H1174">
            <v>24000</v>
          </cell>
        </row>
        <row r="1175">
          <cell r="F1175" t="str">
            <v>MATERIAL PENUTUP LANTAI DAN DINDING</v>
          </cell>
        </row>
        <row r="1176">
          <cell r="F1176" t="str">
            <v>Bata Ekspose Tempel warna natural 8x24x2 cm</v>
          </cell>
          <cell r="G1176" t="str">
            <v>m'</v>
          </cell>
          <cell r="H1176">
            <v>125000</v>
          </cell>
        </row>
        <row r="1177">
          <cell r="F1177" t="str">
            <v>Bata tempel</v>
          </cell>
          <cell r="G1177" t="str">
            <v>buah</v>
          </cell>
          <cell r="H1177">
            <v>2500</v>
          </cell>
        </row>
        <row r="1178">
          <cell r="F1178" t="str">
            <v>Batako 20x40x10 cm</v>
          </cell>
          <cell r="G1178" t="str">
            <v>buah</v>
          </cell>
          <cell r="H1178">
            <v>3000</v>
          </cell>
        </row>
        <row r="1179">
          <cell r="F1179" t="str">
            <v>Batu andesit  30x30 t=3cm</v>
          </cell>
          <cell r="G1179" t="str">
            <v>m2</v>
          </cell>
          <cell r="H1179">
            <v>165000</v>
          </cell>
        </row>
        <row r="1180">
          <cell r="F1180" t="str">
            <v>Batu andesit  30x30 t=5cm</v>
          </cell>
          <cell r="G1180" t="str">
            <v>m2</v>
          </cell>
          <cell r="H1180">
            <v>265000</v>
          </cell>
        </row>
        <row r="1181">
          <cell r="F1181" t="str">
            <v>Batu paras</v>
          </cell>
          <cell r="G1181" t="str">
            <v>m2</v>
          </cell>
          <cell r="H1181">
            <v>125000</v>
          </cell>
        </row>
        <row r="1182">
          <cell r="F1182" t="str">
            <v>Batu paros</v>
          </cell>
          <cell r="G1182" t="str">
            <v>m2</v>
          </cell>
          <cell r="H1182">
            <v>131600</v>
          </cell>
        </row>
        <row r="1183">
          <cell r="F1183" t="str">
            <v>Batu tempel hitam</v>
          </cell>
          <cell r="G1183" t="str">
            <v>m2</v>
          </cell>
          <cell r="H1183">
            <v>121600</v>
          </cell>
        </row>
        <row r="1184">
          <cell r="F1184" t="str">
            <v>Floor hardener</v>
          </cell>
          <cell r="G1184" t="str">
            <v>kg</v>
          </cell>
          <cell r="H1184">
            <v>5000</v>
          </cell>
        </row>
        <row r="1185">
          <cell r="F1185" t="str">
            <v>Flooring Kayu Kruing   1,5x13,5x60 cm</v>
          </cell>
          <cell r="G1185" t="str">
            <v>m2</v>
          </cell>
          <cell r="H1185">
            <v>195000</v>
          </cell>
        </row>
        <row r="1186">
          <cell r="F1186" t="str">
            <v>Flooring Kayu Merbau 1,5x9x30cm</v>
          </cell>
          <cell r="G1186" t="str">
            <v>m2</v>
          </cell>
          <cell r="H1186">
            <v>420000</v>
          </cell>
        </row>
        <row r="1187">
          <cell r="F1187" t="str">
            <v>Flooring Kayu Sonokeling Grade B  1,5x9x30cm</v>
          </cell>
          <cell r="G1187" t="str">
            <v>m2</v>
          </cell>
          <cell r="H1187">
            <v>420000</v>
          </cell>
        </row>
        <row r="1188">
          <cell r="F1188" t="str">
            <v>Granit  bakar 10x10, t=2cm</v>
          </cell>
          <cell r="G1188" t="str">
            <v>m2</v>
          </cell>
          <cell r="H1188">
            <v>275000</v>
          </cell>
        </row>
        <row r="1189">
          <cell r="F1189" t="str">
            <v>Granit  bakar 30x30, t=2cm</v>
          </cell>
          <cell r="G1189" t="str">
            <v>m2</v>
          </cell>
          <cell r="H1189">
            <v>315000</v>
          </cell>
        </row>
        <row r="1190">
          <cell r="F1190" t="str">
            <v>Granit  tile unpolish /  anti skid</v>
          </cell>
          <cell r="G1190" t="str">
            <v>m2</v>
          </cell>
          <cell r="H1190">
            <v>220100</v>
          </cell>
        </row>
        <row r="1191">
          <cell r="F1191" t="str">
            <v>Granit tile 30x30 cm (double loading)</v>
          </cell>
          <cell r="G1191" t="str">
            <v>buah</v>
          </cell>
          <cell r="H1191">
            <v>27700</v>
          </cell>
        </row>
        <row r="1192">
          <cell r="F1192" t="str">
            <v>Granit tile 40x40 cm (double loading)</v>
          </cell>
          <cell r="G1192" t="str">
            <v>buah</v>
          </cell>
          <cell r="H1192">
            <v>39200</v>
          </cell>
        </row>
        <row r="1193">
          <cell r="F1193" t="str">
            <v>Granit tile 60x60 cm (double loading)</v>
          </cell>
          <cell r="G1193" t="str">
            <v>buah</v>
          </cell>
          <cell r="H1193">
            <v>92800</v>
          </cell>
        </row>
        <row r="1194">
          <cell r="F1194" t="str">
            <v>Granito  30 x  30 cm</v>
          </cell>
          <cell r="G1194" t="str">
            <v>m2</v>
          </cell>
          <cell r="H1194">
            <v>326400</v>
          </cell>
        </row>
        <row r="1195">
          <cell r="F1195" t="str">
            <v>Granito  40 x  40 cm</v>
          </cell>
          <cell r="G1195" t="str">
            <v>m2</v>
          </cell>
          <cell r="H1195">
            <v>242500</v>
          </cell>
        </row>
        <row r="1196">
          <cell r="F1196" t="str">
            <v>Guiding Block Warna t  =  6 cm</v>
          </cell>
          <cell r="G1196" t="str">
            <v>m2</v>
          </cell>
          <cell r="H1196">
            <v>330600</v>
          </cell>
        </row>
        <row r="1197">
          <cell r="F1197" t="str">
            <v>Homogenous tile 30x30 cm</v>
          </cell>
          <cell r="G1197" t="str">
            <v>buah</v>
          </cell>
          <cell r="H1197">
            <v>20000</v>
          </cell>
        </row>
        <row r="1198">
          <cell r="F1198" t="str">
            <v>Homogenous tile 40x40 cm</v>
          </cell>
          <cell r="G1198" t="str">
            <v>buah</v>
          </cell>
          <cell r="H1198">
            <v>30000</v>
          </cell>
        </row>
        <row r="1199">
          <cell r="F1199" t="str">
            <v>Homogenous tile 60x60 cm</v>
          </cell>
          <cell r="G1199" t="str">
            <v>buah</v>
          </cell>
          <cell r="H1199">
            <v>50000</v>
          </cell>
        </row>
        <row r="1200">
          <cell r="F1200" t="str">
            <v>Homogenous tile unpolish 30x30 cm</v>
          </cell>
          <cell r="G1200" t="str">
            <v>buah</v>
          </cell>
          <cell r="H1200">
            <v>27000</v>
          </cell>
        </row>
        <row r="1201">
          <cell r="F1201" t="str">
            <v>Homogenous tile unpolish 40x40 cm</v>
          </cell>
          <cell r="G1201" t="str">
            <v>buah</v>
          </cell>
          <cell r="H1201">
            <v>39000</v>
          </cell>
        </row>
        <row r="1202">
          <cell r="F1202" t="str">
            <v>Homogenous tile unpolish 60x60 cm</v>
          </cell>
          <cell r="G1202" t="str">
            <v>buah</v>
          </cell>
          <cell r="H1202">
            <v>56000</v>
          </cell>
        </row>
        <row r="1203">
          <cell r="F1203" t="str">
            <v>Homogenous tile dinding 30x30 cm</v>
          </cell>
          <cell r="G1203" t="str">
            <v>buah</v>
          </cell>
          <cell r="H1203">
            <v>22000</v>
          </cell>
        </row>
        <row r="1204">
          <cell r="F1204" t="str">
            <v>Homogenous tile dinding 40x40 cm</v>
          </cell>
          <cell r="G1204" t="str">
            <v>buah</v>
          </cell>
          <cell r="H1204">
            <v>30000</v>
          </cell>
        </row>
        <row r="1205">
          <cell r="F1205" t="str">
            <v>Homogenous tile dinding 60x60 cm</v>
          </cell>
          <cell r="G1205" t="str">
            <v>buah</v>
          </cell>
          <cell r="H1205">
            <v>35000</v>
          </cell>
        </row>
        <row r="1206">
          <cell r="F1206" t="str">
            <v>Karpet</v>
          </cell>
          <cell r="G1206" t="str">
            <v>m2</v>
          </cell>
          <cell r="H1206">
            <v>45000</v>
          </cell>
        </row>
        <row r="1207">
          <cell r="F1207" t="str">
            <v>Keramik  20  x 25  cm</v>
          </cell>
          <cell r="G1207" t="str">
            <v>buah</v>
          </cell>
          <cell r="H1207">
            <v>2400</v>
          </cell>
        </row>
        <row r="1208">
          <cell r="F1208" t="str">
            <v>Keramik 10 x  20 cm</v>
          </cell>
          <cell r="G1208" t="str">
            <v>buah</v>
          </cell>
          <cell r="H1208">
            <v>2300</v>
          </cell>
        </row>
        <row r="1209">
          <cell r="F1209" t="str">
            <v>Keramik 20x20 cm</v>
          </cell>
          <cell r="G1209" t="str">
            <v>buah</v>
          </cell>
          <cell r="H1209">
            <v>2200</v>
          </cell>
        </row>
        <row r="1210">
          <cell r="F1210" t="str">
            <v>Keramik 25 x  25 cm</v>
          </cell>
          <cell r="G1210" t="str">
            <v>buah</v>
          </cell>
          <cell r="H1210">
            <v>3100</v>
          </cell>
        </row>
        <row r="1211">
          <cell r="F1211" t="str">
            <v>Keramik 30x30 cm</v>
          </cell>
          <cell r="G1211" t="str">
            <v>buah</v>
          </cell>
          <cell r="H1211">
            <v>4000</v>
          </cell>
        </row>
        <row r="1212">
          <cell r="F1212" t="str">
            <v>Keramik 40x40 cm</v>
          </cell>
          <cell r="G1212" t="str">
            <v>buah</v>
          </cell>
          <cell r="H1212">
            <v>8100</v>
          </cell>
        </row>
        <row r="1213">
          <cell r="F1213" t="str">
            <v>Keramik 60x60 cm</v>
          </cell>
          <cell r="G1213" t="str">
            <v>buah</v>
          </cell>
          <cell r="H1213">
            <v>12000</v>
          </cell>
        </row>
        <row r="1214">
          <cell r="F1214" t="str">
            <v>Keramik Variasi 30x30 cm</v>
          </cell>
          <cell r="G1214" t="str">
            <v>buah</v>
          </cell>
          <cell r="H1214">
            <v>4000</v>
          </cell>
        </row>
        <row r="1215">
          <cell r="F1215" t="str">
            <v>Keramik Variasi 40x40 cm</v>
          </cell>
          <cell r="G1215" t="str">
            <v>buah</v>
          </cell>
          <cell r="H1215">
            <v>8100</v>
          </cell>
        </row>
        <row r="1216">
          <cell r="F1216" t="str">
            <v>KeramikVariasi  60x60 cm</v>
          </cell>
          <cell r="G1216" t="str">
            <v>buah</v>
          </cell>
          <cell r="H1216">
            <v>12000</v>
          </cell>
        </row>
        <row r="1217">
          <cell r="F1217" t="str">
            <v>Step Nosing Keramik 10x60 cm</v>
          </cell>
          <cell r="G1217" t="str">
            <v xml:space="preserve">buah </v>
          </cell>
          <cell r="H1217">
            <v>28000</v>
          </cell>
        </row>
        <row r="1218">
          <cell r="F1218" t="str">
            <v xml:space="preserve">Keramik Tactile 30x30 cm </v>
          </cell>
          <cell r="G1218" t="str">
            <v xml:space="preserve">buah </v>
          </cell>
          <cell r="H1218">
            <v>37000</v>
          </cell>
        </row>
        <row r="1219">
          <cell r="F1219" t="str">
            <v>Keramik Tactile 40x40 cm</v>
          </cell>
          <cell r="G1219" t="str">
            <v xml:space="preserve">buah </v>
          </cell>
          <cell r="H1219">
            <v>39500</v>
          </cell>
        </row>
        <row r="1220">
          <cell r="F1220" t="str">
            <v>Keramik artistik 10x10 cm</v>
          </cell>
          <cell r="G1220" t="str">
            <v>buah</v>
          </cell>
          <cell r="H1220">
            <v>1500</v>
          </cell>
        </row>
        <row r="1221">
          <cell r="F1221" t="str">
            <v>Keramik artistik 20x20 cm</v>
          </cell>
          <cell r="G1221" t="str">
            <v>buah</v>
          </cell>
          <cell r="H1221">
            <v>2000</v>
          </cell>
        </row>
        <row r="1222">
          <cell r="F1222" t="str">
            <v>Keramik artistik 30x30 cm</v>
          </cell>
          <cell r="G1222" t="str">
            <v>buah</v>
          </cell>
          <cell r="H1222">
            <v>3000</v>
          </cell>
        </row>
        <row r="1223">
          <cell r="F1223" t="str">
            <v>Keramik artistik 40x40 cm</v>
          </cell>
          <cell r="G1223" t="str">
            <v>buah</v>
          </cell>
          <cell r="H1223">
            <v>4000</v>
          </cell>
        </row>
        <row r="1224">
          <cell r="F1224" t="str">
            <v>Keramik artistik 8x8 cm</v>
          </cell>
          <cell r="G1224" t="str">
            <v>buah</v>
          </cell>
          <cell r="H1224">
            <v>1000</v>
          </cell>
        </row>
        <row r="1225">
          <cell r="F1225" t="str">
            <v>Keramik cuting 50x50</v>
          </cell>
          <cell r="G1225" t="str">
            <v>buah</v>
          </cell>
          <cell r="H1225">
            <v>27500</v>
          </cell>
        </row>
        <row r="1226">
          <cell r="F1226" t="str">
            <v>Keramik dinding 10x20 cm</v>
          </cell>
          <cell r="G1226" t="str">
            <v>buah</v>
          </cell>
          <cell r="H1226">
            <v>2000</v>
          </cell>
        </row>
        <row r="1227">
          <cell r="F1227" t="str">
            <v>Keramik dinding 20x20 cm</v>
          </cell>
          <cell r="G1227" t="str">
            <v>buah</v>
          </cell>
          <cell r="H1227">
            <v>3000</v>
          </cell>
        </row>
        <row r="1228">
          <cell r="F1228" t="str">
            <v>Keramik dinding artistik 10x20 cm</v>
          </cell>
          <cell r="G1228" t="str">
            <v>buah</v>
          </cell>
          <cell r="H1228">
            <v>2500</v>
          </cell>
        </row>
        <row r="1229">
          <cell r="F1229" t="str">
            <v>Keramik dinding artistik 5x20 cm</v>
          </cell>
          <cell r="G1229" t="str">
            <v>buah</v>
          </cell>
          <cell r="H1229">
            <v>2000</v>
          </cell>
        </row>
        <row r="1230">
          <cell r="F1230" t="str">
            <v>Lamparquet  Kayu Merbau 1x6x20cm</v>
          </cell>
          <cell r="G1230" t="str">
            <v>m2</v>
          </cell>
          <cell r="H1230">
            <v>190000</v>
          </cell>
        </row>
        <row r="1231">
          <cell r="F1231" t="str">
            <v>Lamparquet  Kayu Merbau 1x9x20cm</v>
          </cell>
          <cell r="G1231" t="str">
            <v>m2</v>
          </cell>
          <cell r="H1231">
            <v>200000</v>
          </cell>
        </row>
        <row r="1232">
          <cell r="F1232" t="str">
            <v>Lantai engineering wood</v>
          </cell>
          <cell r="G1232" t="str">
            <v>m2</v>
          </cell>
          <cell r="H1232">
            <v>200000</v>
          </cell>
        </row>
        <row r="1233">
          <cell r="F1233" t="str">
            <v>Lantai Parket  Jati grade A   1,2x5x17 cm</v>
          </cell>
          <cell r="G1233" t="str">
            <v>m2</v>
          </cell>
          <cell r="H1233">
            <v>175000</v>
          </cell>
        </row>
        <row r="1234">
          <cell r="F1234" t="str">
            <v>Lantai Parket  Jati grade A   1,2x5x20cm</v>
          </cell>
          <cell r="G1234" t="str">
            <v>m2</v>
          </cell>
          <cell r="H1234">
            <v>222000</v>
          </cell>
        </row>
        <row r="1235">
          <cell r="F1235" t="str">
            <v>Lantai Parket  Jati grade A   1,2x5x25 cm</v>
          </cell>
          <cell r="G1235" t="str">
            <v>m2</v>
          </cell>
          <cell r="H1235">
            <v>250000</v>
          </cell>
        </row>
        <row r="1236">
          <cell r="F1236" t="str">
            <v>Lantai Parket  Jati grade A   1,2x5x30 cm</v>
          </cell>
          <cell r="G1236" t="str">
            <v>m2</v>
          </cell>
          <cell r="H1236">
            <v>280000</v>
          </cell>
        </row>
        <row r="1237">
          <cell r="F1237" t="str">
            <v>Lantai Parket  Jati grade B   1,2x5x17 cm</v>
          </cell>
          <cell r="G1237" t="str">
            <v>m2</v>
          </cell>
          <cell r="H1237">
            <v>160000</v>
          </cell>
        </row>
        <row r="1238">
          <cell r="F1238" t="str">
            <v>Lantai Parket  Jati grade B   1,2x5x20cm</v>
          </cell>
          <cell r="G1238" t="str">
            <v>m2</v>
          </cell>
          <cell r="H1238">
            <v>195000</v>
          </cell>
        </row>
        <row r="1239">
          <cell r="F1239" t="str">
            <v>Lantai Parket  Jati grade B   1,2x5x25 cm</v>
          </cell>
          <cell r="G1239" t="str">
            <v>m2</v>
          </cell>
          <cell r="H1239">
            <v>210000</v>
          </cell>
        </row>
        <row r="1240">
          <cell r="F1240" t="str">
            <v>Lantai Parket  Jati grade B   1,2x5x30 cm</v>
          </cell>
          <cell r="G1240" t="str">
            <v>m2</v>
          </cell>
          <cell r="H1240">
            <v>250000</v>
          </cell>
        </row>
        <row r="1241">
          <cell r="F1241" t="str">
            <v>Lantai Parket  Jati grade C   1,2x5x20cm</v>
          </cell>
          <cell r="G1241" t="str">
            <v>m2</v>
          </cell>
          <cell r="H1241">
            <v>140000</v>
          </cell>
        </row>
        <row r="1242">
          <cell r="F1242" t="str">
            <v>Lantai Parket  Jati grade C   1,2x5x25 cm</v>
          </cell>
          <cell r="G1242" t="str">
            <v>m2</v>
          </cell>
          <cell r="H1242">
            <v>150000</v>
          </cell>
        </row>
        <row r="1243">
          <cell r="F1243" t="str">
            <v>Lantai Parket  Jati grade C   1,2x5x30 cm</v>
          </cell>
          <cell r="G1243" t="str">
            <v>m2</v>
          </cell>
          <cell r="H1243">
            <v>160000</v>
          </cell>
        </row>
        <row r="1244">
          <cell r="F1244" t="str">
            <v>Lem</v>
          </cell>
          <cell r="G1244" t="str">
            <v>kg</v>
          </cell>
          <cell r="H1244">
            <v>60000</v>
          </cell>
        </row>
        <row r="1245">
          <cell r="F1245" t="str">
            <v>Marmer</v>
          </cell>
          <cell r="G1245" t="str">
            <v>buah</v>
          </cell>
          <cell r="H1245">
            <v>800000</v>
          </cell>
        </row>
        <row r="1246">
          <cell r="F1246" t="str">
            <v>Marmer</v>
          </cell>
          <cell r="G1246" t="str">
            <v>m2</v>
          </cell>
          <cell r="H1246">
            <v>492600</v>
          </cell>
        </row>
        <row r="1247">
          <cell r="F1247" t="str">
            <v>Marmer Graphir 10x10 cm</v>
          </cell>
          <cell r="G1247" t="str">
            <v>buah</v>
          </cell>
          <cell r="H1247">
            <v>20000</v>
          </cell>
        </row>
        <row r="1248">
          <cell r="F1248" t="str">
            <v>Marmer Graphir 12x12 cm</v>
          </cell>
          <cell r="G1248" t="str">
            <v>buah</v>
          </cell>
          <cell r="H1248">
            <v>25000</v>
          </cell>
        </row>
        <row r="1249">
          <cell r="F1249" t="str">
            <v>Pen Kuningan titik acuan</v>
          </cell>
          <cell r="G1249" t="str">
            <v xml:space="preserve">buah </v>
          </cell>
          <cell r="H1249">
            <v>27000</v>
          </cell>
        </row>
        <row r="1250">
          <cell r="F1250" t="str">
            <v>Mozaik porselen 10 x  20 cm</v>
          </cell>
          <cell r="G1250" t="str">
            <v>m2</v>
          </cell>
          <cell r="H1250">
            <v>73400</v>
          </cell>
        </row>
        <row r="1251">
          <cell r="F1251" t="str">
            <v>Mozaik porselen 15 x  15 cm</v>
          </cell>
          <cell r="G1251" t="str">
            <v>m2</v>
          </cell>
          <cell r="H1251">
            <v>74400</v>
          </cell>
        </row>
        <row r="1252">
          <cell r="F1252" t="str">
            <v>Mozaik porselen 20 x  20 cm</v>
          </cell>
          <cell r="G1252" t="str">
            <v>m2</v>
          </cell>
          <cell r="H1252">
            <v>75400</v>
          </cell>
        </row>
        <row r="1253">
          <cell r="F1253" t="str">
            <v>Mozaik porselen 20 x  25 cm</v>
          </cell>
          <cell r="G1253" t="str">
            <v>m2</v>
          </cell>
          <cell r="H1253">
            <v>75400</v>
          </cell>
        </row>
        <row r="1254">
          <cell r="F1254" t="str">
            <v>Parquet kayu solid</v>
          </cell>
          <cell r="G1254" t="str">
            <v>m2</v>
          </cell>
          <cell r="H1254">
            <v>306600</v>
          </cell>
        </row>
        <row r="1255">
          <cell r="F1255" t="str">
            <v>Plint  Kayu 10 cm</v>
          </cell>
          <cell r="G1255" t="str">
            <v>buah</v>
          </cell>
          <cell r="H1255">
            <v>85000</v>
          </cell>
        </row>
        <row r="1256">
          <cell r="F1256" t="str">
            <v>Plint  keramik 10 x  20 cm</v>
          </cell>
          <cell r="G1256" t="str">
            <v>buah</v>
          </cell>
          <cell r="H1256">
            <v>8200</v>
          </cell>
        </row>
        <row r="1257">
          <cell r="F1257" t="str">
            <v>Plint  keramik 5 x  20 cm</v>
          </cell>
          <cell r="G1257" t="str">
            <v>buah</v>
          </cell>
          <cell r="H1257">
            <v>3400</v>
          </cell>
        </row>
        <row r="1258">
          <cell r="F1258" t="str">
            <v>Plint granit 10 cm x 40 cm</v>
          </cell>
          <cell r="G1258" t="str">
            <v>buah</v>
          </cell>
          <cell r="H1258">
            <v>24000</v>
          </cell>
        </row>
        <row r="1259">
          <cell r="F1259" t="str">
            <v>Plint granit 10cm x 30cm</v>
          </cell>
          <cell r="G1259" t="str">
            <v>buah</v>
          </cell>
          <cell r="H1259">
            <v>22600</v>
          </cell>
        </row>
        <row r="1260">
          <cell r="F1260" t="str">
            <v>Plint homogenous tile uk. 10-15x30 cm</v>
          </cell>
          <cell r="G1260" t="str">
            <v>buah</v>
          </cell>
          <cell r="H1260">
            <v>5000</v>
          </cell>
        </row>
        <row r="1261">
          <cell r="F1261" t="str">
            <v>Plint homogenous tile uk. 10-15x40 cm</v>
          </cell>
          <cell r="G1261" t="str">
            <v>buah</v>
          </cell>
          <cell r="H1261">
            <v>7000</v>
          </cell>
        </row>
        <row r="1262">
          <cell r="F1262" t="str">
            <v>Plint homogenous tile uk. 10-15x60 cm</v>
          </cell>
          <cell r="G1262" t="str">
            <v>buah</v>
          </cell>
          <cell r="H1262">
            <v>10000</v>
          </cell>
        </row>
        <row r="1263">
          <cell r="F1263" t="str">
            <v>Plint homogenous tile unpolish uk. 10-15x30 cm</v>
          </cell>
          <cell r="G1263" t="str">
            <v>buah</v>
          </cell>
          <cell r="H1263">
            <v>7000</v>
          </cell>
        </row>
        <row r="1264">
          <cell r="F1264" t="str">
            <v>Plint homogenous tile unpolish uk. 10-15x40 cm</v>
          </cell>
          <cell r="G1264" t="str">
            <v>buah</v>
          </cell>
          <cell r="H1264">
            <v>9000</v>
          </cell>
        </row>
        <row r="1265">
          <cell r="F1265" t="str">
            <v>Plint homogenous tile unpolish uk. 10-15x60 cm</v>
          </cell>
          <cell r="G1265" t="str">
            <v>buah</v>
          </cell>
          <cell r="H1265">
            <v>13000</v>
          </cell>
        </row>
        <row r="1266">
          <cell r="F1266" t="str">
            <v>Plint internal cove uk. 5x5x20 cm</v>
          </cell>
          <cell r="G1266" t="str">
            <v>buah</v>
          </cell>
          <cell r="H1266">
            <v>5000</v>
          </cell>
        </row>
        <row r="1267">
          <cell r="F1267" t="str">
            <v>Plint keramik  10  x 30  cm</v>
          </cell>
          <cell r="G1267" t="str">
            <v>buah</v>
          </cell>
          <cell r="H1267">
            <v>15300</v>
          </cell>
        </row>
        <row r="1268">
          <cell r="F1268" t="str">
            <v>Plint keramik uk. 10-15x20 cm</v>
          </cell>
          <cell r="G1268" t="str">
            <v>buah</v>
          </cell>
          <cell r="H1268">
            <v>2000</v>
          </cell>
        </row>
        <row r="1269">
          <cell r="F1269" t="str">
            <v>Plint keramik uk. 10-15x30 cm</v>
          </cell>
          <cell r="G1269" t="str">
            <v>buah</v>
          </cell>
          <cell r="H1269">
            <v>3000</v>
          </cell>
        </row>
        <row r="1270">
          <cell r="F1270" t="str">
            <v>Plint keramik uk. 10-15x40 cm</v>
          </cell>
          <cell r="G1270" t="str">
            <v>buah</v>
          </cell>
          <cell r="H1270">
            <v>4000</v>
          </cell>
        </row>
        <row r="1271">
          <cell r="F1271" t="str">
            <v>Plint keramik uk. 10-15x60 cm</v>
          </cell>
          <cell r="G1271" t="str">
            <v>buah</v>
          </cell>
          <cell r="H1271">
            <v>5000</v>
          </cell>
        </row>
        <row r="1272">
          <cell r="F1272" t="str">
            <v>Plint teralux kerang uk. 10-15x30 cm</v>
          </cell>
          <cell r="G1272" t="str">
            <v>buah</v>
          </cell>
          <cell r="H1272">
            <v>2000</v>
          </cell>
        </row>
        <row r="1273">
          <cell r="F1273" t="str">
            <v>Plint teralux kerang uk. 10-15x40 cm</v>
          </cell>
          <cell r="G1273" t="str">
            <v>buah</v>
          </cell>
          <cell r="H1273">
            <v>3000</v>
          </cell>
        </row>
        <row r="1274">
          <cell r="F1274" t="str">
            <v>Plint teralux kerang uk. 10-15x60 cm</v>
          </cell>
          <cell r="G1274" t="str">
            <v>buah</v>
          </cell>
          <cell r="H1274">
            <v>4000</v>
          </cell>
        </row>
        <row r="1275">
          <cell r="F1275" t="str">
            <v>Plint teralux marmer uk. 10-15x30 cm</v>
          </cell>
          <cell r="G1275" t="str">
            <v>buah</v>
          </cell>
          <cell r="H1275">
            <v>2500</v>
          </cell>
        </row>
        <row r="1276">
          <cell r="F1276" t="str">
            <v>Plint teralux marmer uk. 10-15x40 cm</v>
          </cell>
          <cell r="G1276" t="str">
            <v>buah</v>
          </cell>
          <cell r="H1276">
            <v>3000</v>
          </cell>
        </row>
        <row r="1277">
          <cell r="F1277" t="str">
            <v>Plint teralux marmer uk. 10-15x60 cm</v>
          </cell>
          <cell r="G1277" t="str">
            <v>buah</v>
          </cell>
          <cell r="H1277">
            <v>4000</v>
          </cell>
        </row>
        <row r="1278">
          <cell r="F1278" t="str">
            <v>Plint ubin granit uk. 10-15x30 cm</v>
          </cell>
          <cell r="G1278" t="str">
            <v>buah</v>
          </cell>
          <cell r="H1278">
            <v>6000</v>
          </cell>
        </row>
        <row r="1279">
          <cell r="F1279" t="str">
            <v>Plint ubin granit uk. 10-15x40 cm</v>
          </cell>
          <cell r="G1279" t="str">
            <v>buah</v>
          </cell>
          <cell r="H1279">
            <v>8000</v>
          </cell>
        </row>
        <row r="1280">
          <cell r="F1280" t="str">
            <v>Plint ubin granit uk. 10-15x60 cm</v>
          </cell>
          <cell r="G1280" t="str">
            <v>buah</v>
          </cell>
          <cell r="H1280">
            <v>10000</v>
          </cell>
        </row>
        <row r="1281">
          <cell r="F1281" t="str">
            <v>Plint ubin PC abu-abu uk. 10-15x20 cm</v>
          </cell>
          <cell r="G1281" t="str">
            <v>buah</v>
          </cell>
          <cell r="H1281">
            <v>1000</v>
          </cell>
        </row>
        <row r="1282">
          <cell r="F1282" t="str">
            <v>Plint ubin PC abu-abu uk. 10-15x30 cm</v>
          </cell>
          <cell r="G1282" t="str">
            <v>buah</v>
          </cell>
          <cell r="H1282">
            <v>1500</v>
          </cell>
        </row>
        <row r="1283">
          <cell r="F1283" t="str">
            <v>Plint ubin PC abu-abu uk. 10-15x40 cm</v>
          </cell>
          <cell r="G1283" t="str">
            <v>buah</v>
          </cell>
          <cell r="H1283">
            <v>2000</v>
          </cell>
        </row>
        <row r="1284">
          <cell r="F1284" t="str">
            <v>Plint ubin PC abu-abu uk. 10-15x60 cm</v>
          </cell>
          <cell r="G1284" t="str">
            <v>buah</v>
          </cell>
          <cell r="H1284">
            <v>2500</v>
          </cell>
        </row>
        <row r="1285">
          <cell r="F1285" t="str">
            <v>Plint ubin teraso uk. 10-15x30 cm</v>
          </cell>
          <cell r="G1285" t="str">
            <v>buah</v>
          </cell>
          <cell r="H1285">
            <v>4000</v>
          </cell>
        </row>
        <row r="1286">
          <cell r="F1286" t="str">
            <v>Plint ubin teraso uk. 10-15x40 cm</v>
          </cell>
          <cell r="G1286" t="str">
            <v>buah</v>
          </cell>
          <cell r="H1286">
            <v>6000</v>
          </cell>
        </row>
        <row r="1287">
          <cell r="F1287" t="str">
            <v>Plint ubin warna uk. 10-15x20 cm</v>
          </cell>
          <cell r="G1287" t="str">
            <v>buah</v>
          </cell>
          <cell r="H1287">
            <v>1500</v>
          </cell>
        </row>
        <row r="1288">
          <cell r="F1288" t="str">
            <v>Plint ubin warna uk. 10-15x30 cm</v>
          </cell>
          <cell r="G1288" t="str">
            <v>buah</v>
          </cell>
          <cell r="H1288">
            <v>2000</v>
          </cell>
        </row>
        <row r="1289">
          <cell r="F1289" t="str">
            <v>Plint ubin warna uk. 10-15x40 cm</v>
          </cell>
          <cell r="G1289" t="str">
            <v>buah</v>
          </cell>
          <cell r="H1289">
            <v>3000</v>
          </cell>
        </row>
        <row r="1290">
          <cell r="F1290" t="str">
            <v>Plint ubin warna uk. 10-15x60 cm</v>
          </cell>
          <cell r="G1290" t="str">
            <v>buah</v>
          </cell>
          <cell r="H1290">
            <v>4500</v>
          </cell>
        </row>
        <row r="1291">
          <cell r="F1291" t="str">
            <v>Porselen 10x20 cm</v>
          </cell>
          <cell r="G1291" t="str">
            <v>buah</v>
          </cell>
          <cell r="H1291">
            <v>2000</v>
          </cell>
        </row>
        <row r="1292">
          <cell r="F1292" t="str">
            <v>Porselen 11x11 cm</v>
          </cell>
          <cell r="G1292" t="str">
            <v>buah</v>
          </cell>
          <cell r="H1292">
            <v>1000</v>
          </cell>
        </row>
        <row r="1293">
          <cell r="F1293" t="str">
            <v>Porselen 11x11 cm (dus)</v>
          </cell>
          <cell r="G1293" t="str">
            <v>dus</v>
          </cell>
          <cell r="H1293">
            <v>83000</v>
          </cell>
        </row>
        <row r="1294">
          <cell r="F1294" t="str">
            <v>Porselen 20x20 cm</v>
          </cell>
          <cell r="G1294" t="str">
            <v>buah</v>
          </cell>
          <cell r="H1294">
            <v>4000</v>
          </cell>
        </row>
        <row r="1295">
          <cell r="F1295" t="str">
            <v>Tangga Papan</v>
          </cell>
          <cell r="G1295" t="str">
            <v>m2</v>
          </cell>
          <cell r="H1295">
            <v>160000</v>
          </cell>
        </row>
        <row r="1296">
          <cell r="F1296" t="str">
            <v>Tangga Parquet  /  Flooring</v>
          </cell>
          <cell r="G1296" t="str">
            <v>m2</v>
          </cell>
          <cell r="H1296">
            <v>180000</v>
          </cell>
        </row>
        <row r="1297">
          <cell r="F1297" t="str">
            <v>Tegel plint, PC  abu-abu 15 x  20 cm</v>
          </cell>
          <cell r="G1297" t="str">
            <v>buah</v>
          </cell>
          <cell r="H1297">
            <v>6100</v>
          </cell>
        </row>
        <row r="1298">
          <cell r="F1298" t="str">
            <v>Tegel plint, PC  warna 10 x  20 cm</v>
          </cell>
          <cell r="G1298" t="str">
            <v>buah</v>
          </cell>
          <cell r="H1298">
            <v>5300</v>
          </cell>
        </row>
        <row r="1299">
          <cell r="F1299" t="str">
            <v>Teraso cor</v>
          </cell>
          <cell r="G1299" t="str">
            <v>m3</v>
          </cell>
          <cell r="H1299">
            <v>3500000</v>
          </cell>
        </row>
        <row r="1300">
          <cell r="F1300" t="str">
            <v>Ubin granit 30x30 cm</v>
          </cell>
          <cell r="G1300" t="str">
            <v>buah</v>
          </cell>
          <cell r="H1300">
            <v>14200</v>
          </cell>
        </row>
        <row r="1301">
          <cell r="F1301" t="str">
            <v>Ubin granit 40x40 cm</v>
          </cell>
          <cell r="G1301" t="str">
            <v>buah</v>
          </cell>
          <cell r="H1301">
            <v>20000</v>
          </cell>
        </row>
        <row r="1302">
          <cell r="F1302" t="str">
            <v>Ubin granit 60x60 cm</v>
          </cell>
          <cell r="G1302" t="str">
            <v>buah</v>
          </cell>
          <cell r="H1302">
            <v>30000</v>
          </cell>
        </row>
        <row r="1303">
          <cell r="F1303" t="str">
            <v>Ubin PC abu-abu 20x20 cm</v>
          </cell>
          <cell r="G1303" t="str">
            <v>buah</v>
          </cell>
          <cell r="H1303">
            <v>2000</v>
          </cell>
        </row>
        <row r="1304">
          <cell r="F1304" t="str">
            <v>Ubin PC abu-abu 30x30 cm</v>
          </cell>
          <cell r="G1304" t="str">
            <v>buah</v>
          </cell>
          <cell r="H1304">
            <v>3400</v>
          </cell>
        </row>
        <row r="1305">
          <cell r="F1305" t="str">
            <v>Ubin PC abu-abu 40x40 cm</v>
          </cell>
          <cell r="G1305" t="str">
            <v>buah</v>
          </cell>
          <cell r="H1305">
            <v>4600</v>
          </cell>
        </row>
        <row r="1306">
          <cell r="F1306" t="str">
            <v>Ubin PC abu-abu 60x60 cm</v>
          </cell>
          <cell r="G1306" t="str">
            <v>buah</v>
          </cell>
          <cell r="H1306">
            <v>6000</v>
          </cell>
        </row>
        <row r="1307">
          <cell r="F1307" t="str">
            <v>Ubin porselen lokal 11 x  11 putih</v>
          </cell>
          <cell r="G1307" t="str">
            <v>dos</v>
          </cell>
          <cell r="H1307">
            <v>43800</v>
          </cell>
        </row>
        <row r="1308">
          <cell r="F1308" t="str">
            <v>Ubin porselen lokal 11 x  11 warna</v>
          </cell>
          <cell r="G1308" t="str">
            <v>dos</v>
          </cell>
          <cell r="H1308">
            <v>46900</v>
          </cell>
        </row>
        <row r="1309">
          <cell r="F1309" t="str">
            <v>Ubin porselen lokal 15 x  15 putih</v>
          </cell>
          <cell r="G1309" t="str">
            <v>dos</v>
          </cell>
          <cell r="H1309">
            <v>48400</v>
          </cell>
        </row>
        <row r="1310">
          <cell r="F1310" t="str">
            <v>Ubin porselen lokal 15 x  15 warna</v>
          </cell>
          <cell r="G1310" t="str">
            <v>dos</v>
          </cell>
          <cell r="H1310">
            <v>49900</v>
          </cell>
        </row>
        <row r="1311">
          <cell r="F1311" t="str">
            <v>Ubin teralux marmer 30x30 cm</v>
          </cell>
          <cell r="G1311" t="str">
            <v>buah</v>
          </cell>
          <cell r="H1311">
            <v>45000</v>
          </cell>
        </row>
        <row r="1312">
          <cell r="F1312" t="str">
            <v>Ubin teralux marmer 40x40 cm</v>
          </cell>
          <cell r="G1312" t="str">
            <v>buah</v>
          </cell>
          <cell r="H1312">
            <v>60000</v>
          </cell>
        </row>
        <row r="1313">
          <cell r="F1313" t="str">
            <v>Ubin teralux marmer 60x60 cm</v>
          </cell>
          <cell r="G1313" t="str">
            <v>buah</v>
          </cell>
          <cell r="H1313">
            <v>70000</v>
          </cell>
        </row>
        <row r="1314">
          <cell r="F1314" t="str">
            <v>Ubin teraso 30x30 cm</v>
          </cell>
          <cell r="G1314" t="str">
            <v>buah</v>
          </cell>
          <cell r="H1314">
            <v>24000</v>
          </cell>
        </row>
        <row r="1315">
          <cell r="F1315" t="str">
            <v>Ubin teraso 40x40 cm</v>
          </cell>
          <cell r="G1315" t="str">
            <v>buah</v>
          </cell>
          <cell r="H1315">
            <v>30000</v>
          </cell>
        </row>
        <row r="1316">
          <cell r="F1316" t="str">
            <v>Ubin warna 20x20 cm</v>
          </cell>
          <cell r="G1316" t="str">
            <v>buah</v>
          </cell>
          <cell r="H1316">
            <v>2000</v>
          </cell>
        </row>
        <row r="1317">
          <cell r="F1317" t="str">
            <v>Ubin warna 30x30 cm</v>
          </cell>
          <cell r="G1317" t="str">
            <v>buah</v>
          </cell>
          <cell r="H1317">
            <v>4500</v>
          </cell>
        </row>
        <row r="1318">
          <cell r="F1318" t="str">
            <v>Ubin warna 40x40 cm</v>
          </cell>
          <cell r="G1318" t="str">
            <v>buah</v>
          </cell>
          <cell r="H1318">
            <v>6000</v>
          </cell>
        </row>
        <row r="1319">
          <cell r="F1319" t="str">
            <v>Ubin warna 60x60 cm</v>
          </cell>
          <cell r="G1319" t="str">
            <v>buah</v>
          </cell>
          <cell r="H1319">
            <v>8000</v>
          </cell>
        </row>
        <row r="1320">
          <cell r="F1320" t="str">
            <v>Underlayer karpet</v>
          </cell>
          <cell r="G1320" t="str">
            <v>m2</v>
          </cell>
          <cell r="H1320">
            <v>10000</v>
          </cell>
        </row>
        <row r="1321">
          <cell r="F1321" t="str">
            <v>UPVC decking</v>
          </cell>
          <cell r="G1321" t="str">
            <v>m2</v>
          </cell>
          <cell r="H1321">
            <v>500000</v>
          </cell>
        </row>
        <row r="1322">
          <cell r="F1322" t="str">
            <v>Vinyl</v>
          </cell>
          <cell r="G1322" t="str">
            <v>buah</v>
          </cell>
          <cell r="H1322">
            <v>7000</v>
          </cell>
        </row>
        <row r="1323">
          <cell r="F1323" t="str">
            <v>MATERIAL BETON DAN ADUKAN PASANGAN</v>
          </cell>
        </row>
        <row r="1324">
          <cell r="F1324" t="str">
            <v>Additive</v>
          </cell>
          <cell r="G1324" t="str">
            <v>liter</v>
          </cell>
          <cell r="H1324">
            <v>51600</v>
          </cell>
        </row>
        <row r="1325">
          <cell r="F1325" t="str">
            <v xml:space="preserve">Zat Aditif </v>
          </cell>
          <cell r="G1325" t="str">
            <v xml:space="preserve">kg </v>
          </cell>
          <cell r="H1325">
            <v>25000</v>
          </cell>
        </row>
        <row r="1326">
          <cell r="F1326" t="str">
            <v>Floor lantai (Beton lantai kerja)</v>
          </cell>
          <cell r="G1326" t="str">
            <v>m3</v>
          </cell>
          <cell r="H1326">
            <v>805600</v>
          </cell>
        </row>
        <row r="1327">
          <cell r="F1327" t="str">
            <v>Lantai Kerja</v>
          </cell>
          <cell r="G1327" t="str">
            <v>m3</v>
          </cell>
          <cell r="H1327">
            <v>805000</v>
          </cell>
        </row>
        <row r="1328">
          <cell r="F1328" t="str">
            <v>Adukan beton berpori (Aggregat  10/20mm) ready mix</v>
          </cell>
          <cell r="G1328" t="str">
            <v>m3</v>
          </cell>
          <cell r="H1328">
            <v>2250000</v>
          </cell>
        </row>
        <row r="1329">
          <cell r="F1329" t="str">
            <v>Adukan beton K-100 ready mix</v>
          </cell>
          <cell r="G1329" t="str">
            <v>m3</v>
          </cell>
          <cell r="H1329">
            <v>788100</v>
          </cell>
        </row>
        <row r="1330">
          <cell r="F1330" t="str">
            <v>Adukan beton K-125 ready mix</v>
          </cell>
          <cell r="G1330" t="str">
            <v>m3</v>
          </cell>
          <cell r="H1330">
            <v>805600</v>
          </cell>
        </row>
        <row r="1331">
          <cell r="F1331" t="str">
            <v>Adukan beton K-175 ready mix</v>
          </cell>
          <cell r="G1331" t="str">
            <v>m3</v>
          </cell>
          <cell r="H1331">
            <v>848100</v>
          </cell>
        </row>
        <row r="1332">
          <cell r="F1332" t="str">
            <v>Adukan beton K-200 ready mix</v>
          </cell>
          <cell r="G1332" t="str">
            <v>m3</v>
          </cell>
          <cell r="H1332">
            <v>869200</v>
          </cell>
        </row>
        <row r="1333">
          <cell r="F1333" t="str">
            <v>Adukan beton K-225 ready mix</v>
          </cell>
          <cell r="G1333" t="str">
            <v>m3</v>
          </cell>
          <cell r="H1333">
            <v>887700</v>
          </cell>
        </row>
        <row r="1334">
          <cell r="F1334" t="str">
            <v>Adukan beton K-250 ready mix</v>
          </cell>
          <cell r="G1334" t="str">
            <v>m3</v>
          </cell>
          <cell r="H1334">
            <v>911300</v>
          </cell>
        </row>
        <row r="1335">
          <cell r="F1335" t="str">
            <v>Adukan beton K-275 ready mix</v>
          </cell>
          <cell r="G1335" t="str">
            <v>m3</v>
          </cell>
          <cell r="H1335">
            <v>937100</v>
          </cell>
        </row>
        <row r="1336">
          <cell r="F1336" t="str">
            <v>Adukan beton K-300 ready mix</v>
          </cell>
          <cell r="G1336" t="str">
            <v>m3</v>
          </cell>
          <cell r="H1336">
            <v>961200</v>
          </cell>
        </row>
        <row r="1337">
          <cell r="F1337" t="str">
            <v>Adukan beton K-350 ready mix</v>
          </cell>
          <cell r="G1337" t="str">
            <v>m3</v>
          </cell>
          <cell r="H1337">
            <v>1001900</v>
          </cell>
        </row>
        <row r="1338">
          <cell r="F1338" t="str">
            <v>Adukan beton K-400 ready mix</v>
          </cell>
          <cell r="G1338" t="str">
            <v>m3</v>
          </cell>
          <cell r="H1338">
            <v>1066100</v>
          </cell>
        </row>
        <row r="1339">
          <cell r="F1339" t="str">
            <v>Adukan beton K-500 ready mix</v>
          </cell>
          <cell r="G1339" t="str">
            <v>m3</v>
          </cell>
          <cell r="H1339">
            <v>1152800</v>
          </cell>
        </row>
        <row r="1340">
          <cell r="F1340" t="str">
            <v>Beton fc' 15 Mpa</v>
          </cell>
          <cell r="G1340" t="str">
            <v>m3</v>
          </cell>
          <cell r="H1340">
            <v>848100</v>
          </cell>
        </row>
        <row r="1342">
          <cell r="F1342" t="str">
            <v>Compound gypsum</v>
          </cell>
          <cell r="G1342" t="str">
            <v>kg</v>
          </cell>
          <cell r="H1342">
            <v>3500</v>
          </cell>
        </row>
        <row r="1343">
          <cell r="F1343" t="str">
            <v>Compound hardboard</v>
          </cell>
          <cell r="G1343" t="str">
            <v>kg</v>
          </cell>
          <cell r="H1343">
            <v>3700</v>
          </cell>
        </row>
        <row r="1344">
          <cell r="F1344" t="str">
            <v>Curing compound</v>
          </cell>
          <cell r="G1344" t="str">
            <v>liter</v>
          </cell>
          <cell r="H1344">
            <v>44100</v>
          </cell>
        </row>
        <row r="1345">
          <cell r="F1345" t="str">
            <v>Flexible waterproofing</v>
          </cell>
          <cell r="G1345" t="str">
            <v>kg</v>
          </cell>
          <cell r="H1345">
            <v>52400</v>
          </cell>
        </row>
        <row r="1346">
          <cell r="F1346" t="str">
            <v xml:space="preserve">Membran Bakar </v>
          </cell>
          <cell r="G1346" t="str">
            <v>m2</v>
          </cell>
          <cell r="H1346">
            <v>150000</v>
          </cell>
        </row>
        <row r="1347">
          <cell r="F1347" t="str">
            <v xml:space="preserve">Cairan Primer </v>
          </cell>
          <cell r="G1347" t="str">
            <v xml:space="preserve">kg </v>
          </cell>
          <cell r="H1347">
            <v>57500</v>
          </cell>
        </row>
        <row r="1348">
          <cell r="F1348" t="str">
            <v>Formtie/penjaga jarak bekesting/spacer</v>
          </cell>
          <cell r="G1348" t="str">
            <v>buah</v>
          </cell>
          <cell r="H1348">
            <v>7000</v>
          </cell>
        </row>
        <row r="1349">
          <cell r="F1349" t="str">
            <v>Kassa</v>
          </cell>
          <cell r="G1349" t="str">
            <v>m'</v>
          </cell>
          <cell r="H1349">
            <v>8100</v>
          </cell>
        </row>
        <row r="1350">
          <cell r="F1350" t="str">
            <v>Kolom beton pracetak</v>
          </cell>
          <cell r="G1350" t="str">
            <v>batang</v>
          </cell>
          <cell r="H1350">
            <v>282000</v>
          </cell>
        </row>
        <row r="1351">
          <cell r="F1351" t="str">
            <v>Panel beton pracetak</v>
          </cell>
          <cell r="G1351" t="str">
            <v>lembar</v>
          </cell>
          <cell r="H1351">
            <v>125000</v>
          </cell>
        </row>
        <row r="1352">
          <cell r="F1352" t="str">
            <v>Paper tape hardboard</v>
          </cell>
          <cell r="G1352" t="str">
            <v>m'</v>
          </cell>
          <cell r="H1352">
            <v>4800</v>
          </cell>
        </row>
        <row r="1353">
          <cell r="F1353" t="str">
            <v>Pengisi khusus  rongga nat</v>
          </cell>
          <cell r="G1353" t="str">
            <v>kg</v>
          </cell>
          <cell r="H1353">
            <v>15500</v>
          </cell>
        </row>
        <row r="1354">
          <cell r="F1354" t="str">
            <v>Perekat  khusus  penutup dinding</v>
          </cell>
          <cell r="G1354" t="str">
            <v>kg</v>
          </cell>
          <cell r="H1354">
            <v>21100</v>
          </cell>
        </row>
        <row r="1355">
          <cell r="F1355" t="str">
            <v>Perekat  khusus  penutup lantai</v>
          </cell>
          <cell r="G1355" t="str">
            <v>kg</v>
          </cell>
          <cell r="H1355">
            <v>17200</v>
          </cell>
        </row>
        <row r="1356">
          <cell r="F1356" t="str">
            <v>Semen 40 Kg</v>
          </cell>
          <cell r="G1356" t="str">
            <v>zak</v>
          </cell>
          <cell r="H1356">
            <v>46600</v>
          </cell>
        </row>
        <row r="1357">
          <cell r="F1357" t="str">
            <v>Semen 50 Kg</v>
          </cell>
          <cell r="G1357" t="str">
            <v>zak</v>
          </cell>
          <cell r="H1357">
            <v>58200</v>
          </cell>
        </row>
        <row r="1358">
          <cell r="F1358" t="str">
            <v>Semen grout</v>
          </cell>
          <cell r="G1358" t="str">
            <v>kg</v>
          </cell>
          <cell r="H1358">
            <v>6000</v>
          </cell>
        </row>
        <row r="1359">
          <cell r="F1359" t="str">
            <v>Semen merah</v>
          </cell>
          <cell r="G1359" t="str">
            <v>kg</v>
          </cell>
          <cell r="H1359">
            <v>15800</v>
          </cell>
        </row>
        <row r="1360">
          <cell r="F1360" t="str">
            <v>Semen Merk II 40 Kg</v>
          </cell>
          <cell r="G1360" t="str">
            <v>zak</v>
          </cell>
          <cell r="H1360">
            <v>46500</v>
          </cell>
        </row>
        <row r="1361">
          <cell r="F1361" t="str">
            <v>Semen Merk II 50 Kg</v>
          </cell>
          <cell r="G1361" t="str">
            <v>zak</v>
          </cell>
          <cell r="H1361">
            <v>57600</v>
          </cell>
        </row>
        <row r="1362">
          <cell r="F1362" t="str">
            <v>Semen nat</v>
          </cell>
          <cell r="G1362" t="str">
            <v>kg</v>
          </cell>
          <cell r="H1362">
            <v>16100</v>
          </cell>
        </row>
        <row r="1363">
          <cell r="F1363" t="str">
            <v>Semen Portland (PC)</v>
          </cell>
          <cell r="G1363" t="str">
            <v>kg</v>
          </cell>
          <cell r="H1363">
            <v>1300</v>
          </cell>
        </row>
        <row r="1364">
          <cell r="F1364" t="str">
            <v>Semen putih 40 Kg</v>
          </cell>
          <cell r="G1364" t="str">
            <v>zak</v>
          </cell>
          <cell r="H1364">
            <v>89700</v>
          </cell>
        </row>
        <row r="1365">
          <cell r="F1365" t="str">
            <v>Semen putih 50 Kg</v>
          </cell>
          <cell r="G1365" t="str">
            <v>zak</v>
          </cell>
          <cell r="H1365">
            <v>97700</v>
          </cell>
        </row>
        <row r="1366">
          <cell r="F1366" t="str">
            <v>Semen warna</v>
          </cell>
          <cell r="G1366" t="str">
            <v>kg</v>
          </cell>
          <cell r="H1366">
            <v>7800</v>
          </cell>
        </row>
        <row r="1367">
          <cell r="F1367" t="str">
            <v>Waterproofing</v>
          </cell>
          <cell r="G1367" t="str">
            <v>kg</v>
          </cell>
          <cell r="H1367">
            <v>61200</v>
          </cell>
        </row>
        <row r="1368">
          <cell r="F1368" t="str">
            <v>Waterproofing Cristalin</v>
          </cell>
          <cell r="G1368" t="str">
            <v>kg</v>
          </cell>
          <cell r="H1368">
            <v>62000</v>
          </cell>
        </row>
        <row r="1369">
          <cell r="F1369" t="str">
            <v>Waterproofing Semen Base</v>
          </cell>
          <cell r="G1369" t="str">
            <v>kg</v>
          </cell>
          <cell r="H1369">
            <v>74500</v>
          </cell>
        </row>
        <row r="1370">
          <cell r="F1370" t="str">
            <v>Waterproofing Acrylic Base</v>
          </cell>
          <cell r="G1370" t="str">
            <v>kg</v>
          </cell>
          <cell r="H1370">
            <v>64000</v>
          </cell>
        </row>
        <row r="1371">
          <cell r="F1371" t="str">
            <v>Joint Sealant</v>
          </cell>
          <cell r="G1371" t="str">
            <v>kg</v>
          </cell>
          <cell r="H1371">
            <v>22000</v>
          </cell>
        </row>
        <row r="1372">
          <cell r="F1372" t="str">
            <v>Polytene 125 Mikron</v>
          </cell>
          <cell r="G1372" t="str">
            <v xml:space="preserve">kg </v>
          </cell>
          <cell r="H1372">
            <v>46000</v>
          </cell>
        </row>
        <row r="1373">
          <cell r="F1373" t="str">
            <v>Dowel dia. 25 mm (BjTs)</v>
          </cell>
          <cell r="G1373" t="str">
            <v>Kg</v>
          </cell>
          <cell r="H1373">
            <v>15367.965367965367</v>
          </cell>
        </row>
        <row r="1374">
          <cell r="F1374" t="str">
            <v>Tie Bar Dia. 16 mm (BjTS)</v>
          </cell>
          <cell r="G1374" t="str">
            <v xml:space="preserve">Kg </v>
          </cell>
          <cell r="H1374">
            <v>17721.518987341773</v>
          </cell>
        </row>
        <row r="1375">
          <cell r="F1375" t="str">
            <v>Lolos screen 2 ukuran 9,5-19,0</v>
          </cell>
          <cell r="G1375" t="str">
            <v>m3</v>
          </cell>
          <cell r="H1375">
            <v>1970000</v>
          </cell>
        </row>
        <row r="1376">
          <cell r="F1376" t="str">
            <v>Lolos screen 2 ukuran 0-5</v>
          </cell>
          <cell r="G1376" t="str">
            <v>m3</v>
          </cell>
          <cell r="H1376">
            <v>1799000</v>
          </cell>
        </row>
        <row r="1377">
          <cell r="F1377" t="str">
            <v>Lantai Kerja fc 10 Mpa</v>
          </cell>
          <cell r="G1377" t="str">
            <v>m3</v>
          </cell>
          <cell r="H1377">
            <v>1236000</v>
          </cell>
        </row>
        <row r="1378">
          <cell r="F1378" t="str">
            <v>Lantai Kerja fc 7,5 Mpa</v>
          </cell>
          <cell r="G1378" t="str">
            <v>m3</v>
          </cell>
          <cell r="H1378">
            <v>928000</v>
          </cell>
        </row>
        <row r="1379">
          <cell r="F1379" t="str">
            <v xml:space="preserve">U-Ditch 30x30x120 cm </v>
          </cell>
          <cell r="G1379" t="str">
            <v>Buah</v>
          </cell>
          <cell r="H1379">
            <v>220000</v>
          </cell>
        </row>
        <row r="1380">
          <cell r="F1380" t="str">
            <v xml:space="preserve">U-Ditch 30x40x120 cm </v>
          </cell>
          <cell r="G1380" t="str">
            <v>Buah</v>
          </cell>
          <cell r="H1380">
            <v>240000</v>
          </cell>
        </row>
        <row r="1381">
          <cell r="F1381" t="str">
            <v xml:space="preserve">U-Ditch 40x40x120 cm </v>
          </cell>
          <cell r="G1381" t="str">
            <v>Buah</v>
          </cell>
          <cell r="H1381">
            <v>270000</v>
          </cell>
        </row>
        <row r="1382">
          <cell r="F1382" t="str">
            <v xml:space="preserve">U-Ditch 40x50x120 cm </v>
          </cell>
          <cell r="G1382" t="str">
            <v>Buah</v>
          </cell>
          <cell r="H1382">
            <v>290000</v>
          </cell>
        </row>
        <row r="1383">
          <cell r="F1383" t="str">
            <v xml:space="preserve">U-Ditch 40x60x120 cm </v>
          </cell>
          <cell r="G1383" t="str">
            <v>Buah</v>
          </cell>
          <cell r="H1383">
            <v>320000</v>
          </cell>
        </row>
        <row r="1384">
          <cell r="F1384" t="str">
            <v xml:space="preserve">U-Ditch 50x50x120 cm </v>
          </cell>
          <cell r="G1384" t="str">
            <v>Buah</v>
          </cell>
          <cell r="H1384">
            <v>340000</v>
          </cell>
        </row>
        <row r="1385">
          <cell r="F1385" t="str">
            <v xml:space="preserve">U-Ditch 50x60x120 cm </v>
          </cell>
          <cell r="G1385" t="str">
            <v>Buah</v>
          </cell>
          <cell r="H1385">
            <v>370000</v>
          </cell>
        </row>
        <row r="1386">
          <cell r="F1386" t="str">
            <v xml:space="preserve">U-Ditch 50x70x120 cm </v>
          </cell>
          <cell r="G1386" t="str">
            <v>Buah</v>
          </cell>
          <cell r="H1386">
            <v>390000</v>
          </cell>
        </row>
        <row r="1387">
          <cell r="F1387" t="str">
            <v xml:space="preserve">U-Ditch 60x60x120 cm </v>
          </cell>
          <cell r="G1387" t="str">
            <v>Buah</v>
          </cell>
          <cell r="H1387">
            <v>420000</v>
          </cell>
        </row>
        <row r="1388">
          <cell r="F1388" t="str">
            <v xml:space="preserve">U-Ditch 60x70x120 cm </v>
          </cell>
          <cell r="G1388" t="str">
            <v>Buah</v>
          </cell>
          <cell r="H1388">
            <v>440000</v>
          </cell>
        </row>
        <row r="1389">
          <cell r="F1389" t="str">
            <v xml:space="preserve">U-Ditch 60x80x120 cm </v>
          </cell>
          <cell r="G1389" t="str">
            <v>Buah</v>
          </cell>
          <cell r="H1389">
            <v>470000</v>
          </cell>
        </row>
        <row r="1390">
          <cell r="F1390" t="str">
            <v xml:space="preserve">U-Ditch 80x60x120 cm </v>
          </cell>
          <cell r="G1390" t="str">
            <v>Buah</v>
          </cell>
          <cell r="H1390">
            <v>490000</v>
          </cell>
        </row>
        <row r="1391">
          <cell r="F1391" t="str">
            <v xml:space="preserve">U-Ditch 80x80x120 cm </v>
          </cell>
          <cell r="G1391" t="str">
            <v>Buah</v>
          </cell>
          <cell r="H1391">
            <v>520000</v>
          </cell>
        </row>
        <row r="1392">
          <cell r="F1392" t="str">
            <v xml:space="preserve">U-Ditch 80x100x120 cm </v>
          </cell>
          <cell r="G1392" t="str">
            <v>Buah</v>
          </cell>
          <cell r="H1392">
            <v>540000</v>
          </cell>
        </row>
        <row r="1393">
          <cell r="F1393" t="str">
            <v xml:space="preserve">U-Ditch 100x100x120 cm </v>
          </cell>
          <cell r="G1393" t="str">
            <v>Buah</v>
          </cell>
          <cell r="H1393">
            <v>570000</v>
          </cell>
        </row>
        <row r="1394">
          <cell r="F1394" t="str">
            <v xml:space="preserve">U-Ditch 100x120x120 cm </v>
          </cell>
          <cell r="G1394" t="str">
            <v>Buah</v>
          </cell>
          <cell r="H1394">
            <v>590000</v>
          </cell>
        </row>
        <row r="1395">
          <cell r="F1395" t="str">
            <v xml:space="preserve">U-Ditch 120x120x120 cm </v>
          </cell>
          <cell r="G1395" t="str">
            <v>Buah</v>
          </cell>
          <cell r="H1395">
            <v>620000</v>
          </cell>
        </row>
        <row r="1396">
          <cell r="F1396" t="str">
            <v xml:space="preserve">U-Ditch 120x140x120 cm </v>
          </cell>
          <cell r="G1396" t="str">
            <v>Buah</v>
          </cell>
          <cell r="H1396">
            <v>640000</v>
          </cell>
        </row>
        <row r="1397">
          <cell r="F1397" t="str">
            <v xml:space="preserve">U-Ditch 140x140x120 cm </v>
          </cell>
          <cell r="G1397" t="str">
            <v>Buah</v>
          </cell>
          <cell r="H1397">
            <v>670000</v>
          </cell>
        </row>
        <row r="1398">
          <cell r="F1398" t="str">
            <v xml:space="preserve">U-Ditch 150x100x120 cm </v>
          </cell>
          <cell r="G1398" t="str">
            <v>Buah</v>
          </cell>
          <cell r="H1398">
            <v>680000</v>
          </cell>
        </row>
        <row r="1399">
          <cell r="F1399" t="str">
            <v xml:space="preserve">U-Ditch 150x150x120 cm </v>
          </cell>
          <cell r="G1399" t="str">
            <v>Buah</v>
          </cell>
          <cell r="H1399">
            <v>710000</v>
          </cell>
        </row>
        <row r="1400">
          <cell r="F1400" t="str">
            <v xml:space="preserve">U-Ditch 150x170x120 cm </v>
          </cell>
          <cell r="G1400" t="str">
            <v>Buah</v>
          </cell>
          <cell r="H1400">
            <v>730000</v>
          </cell>
        </row>
        <row r="1401">
          <cell r="F1401" t="str">
            <v xml:space="preserve">U-Ditch 160x160x120 cm </v>
          </cell>
          <cell r="G1401" t="str">
            <v>Buah</v>
          </cell>
          <cell r="H1401">
            <v>750000</v>
          </cell>
        </row>
        <row r="1402">
          <cell r="F1402" t="str">
            <v xml:space="preserve">U-Ditch 160x180x120 cm </v>
          </cell>
          <cell r="G1402" t="str">
            <v>Buah</v>
          </cell>
          <cell r="H1402">
            <v>780000</v>
          </cell>
        </row>
        <row r="1403">
          <cell r="F1403" t="str">
            <v xml:space="preserve">U-Ditch 180x180x120 cm </v>
          </cell>
          <cell r="G1403" t="str">
            <v>Buah</v>
          </cell>
          <cell r="H1403">
            <v>800000</v>
          </cell>
        </row>
        <row r="1404">
          <cell r="F1404" t="str">
            <v xml:space="preserve">U-Ditch 180x200x120 cm </v>
          </cell>
          <cell r="G1404" t="str">
            <v>Buah</v>
          </cell>
          <cell r="H1404">
            <v>830000</v>
          </cell>
        </row>
        <row r="1405">
          <cell r="F1405" t="str">
            <v xml:space="preserve">U-Ditch 200x200x120 cm </v>
          </cell>
          <cell r="G1405" t="str">
            <v>Buah</v>
          </cell>
          <cell r="H1405">
            <v>850000</v>
          </cell>
        </row>
        <row r="1406">
          <cell r="F1406" t="str">
            <v>Tutup U-Ditch 39x60x6 (tipe LD)</v>
          </cell>
          <cell r="G1406" t="str">
            <v xml:space="preserve">buah </v>
          </cell>
          <cell r="H1406">
            <v>70000</v>
          </cell>
        </row>
        <row r="1407">
          <cell r="F1407" t="str">
            <v>Tutup U-Ditch 51x60x7 (tipe LD)</v>
          </cell>
          <cell r="G1407" t="str">
            <v xml:space="preserve">buah </v>
          </cell>
          <cell r="H1407">
            <v>100000</v>
          </cell>
        </row>
        <row r="1408">
          <cell r="F1408" t="str">
            <v>Tutup U-Ditch 62x60x7,5 (tipe LD)</v>
          </cell>
          <cell r="G1408" t="str">
            <v xml:space="preserve">buah </v>
          </cell>
          <cell r="H1408">
            <v>125000</v>
          </cell>
        </row>
        <row r="1409">
          <cell r="F1409" t="str">
            <v>Tutup U-Ditch 73x60x7,8 (tipe LD)</v>
          </cell>
          <cell r="G1409" t="str">
            <v>buah</v>
          </cell>
          <cell r="H1409">
            <v>165000</v>
          </cell>
        </row>
        <row r="1410">
          <cell r="F1410" t="str">
            <v>Tutup U-Ditch 94x60x10 (tipe LD)</v>
          </cell>
          <cell r="G1410" t="str">
            <v xml:space="preserve">buah </v>
          </cell>
          <cell r="H1410">
            <v>195000</v>
          </cell>
        </row>
        <row r="1411">
          <cell r="F1411" t="str">
            <v>Tutup U-Ditch 39x60x9 (tipe HD)</v>
          </cell>
          <cell r="G1411" t="str">
            <v xml:space="preserve">buah </v>
          </cell>
          <cell r="H1411">
            <v>125000</v>
          </cell>
        </row>
        <row r="1412">
          <cell r="F1412" t="str">
            <v>Tutup U-Ditch 51x60x10 (tipe HD)</v>
          </cell>
          <cell r="G1412" t="str">
            <v xml:space="preserve">buah </v>
          </cell>
          <cell r="H1412">
            <v>176000</v>
          </cell>
        </row>
        <row r="1413">
          <cell r="F1413" t="str">
            <v>Tutup U-Ditch 73x60x14 (tipe HD)</v>
          </cell>
          <cell r="G1413" t="str">
            <v xml:space="preserve">buah </v>
          </cell>
          <cell r="H1413">
            <v>235000</v>
          </cell>
        </row>
        <row r="1414">
          <cell r="F1414" t="str">
            <v>Tutup U-Ditch 94x60x15 (tipe HD)</v>
          </cell>
          <cell r="G1414" t="str">
            <v xml:space="preserve">Buah </v>
          </cell>
          <cell r="H1414">
            <v>375000</v>
          </cell>
        </row>
        <row r="1416">
          <cell r="F1416" t="str">
            <v>MATERIAL CAT</v>
          </cell>
        </row>
        <row r="1417">
          <cell r="F1417" t="str">
            <v>Cat  anti karat</v>
          </cell>
          <cell r="G1417" t="str">
            <v>kg</v>
          </cell>
          <cell r="H1417">
            <v>58200</v>
          </cell>
        </row>
        <row r="1418">
          <cell r="F1418" t="str">
            <v>Cat  besi</v>
          </cell>
          <cell r="G1418" t="str">
            <v>kg</v>
          </cell>
          <cell r="H1418">
            <v>62800</v>
          </cell>
        </row>
        <row r="1419">
          <cell r="F1419" t="str">
            <v>Cat  coating</v>
          </cell>
          <cell r="G1419" t="str">
            <v>liter</v>
          </cell>
          <cell r="H1419">
            <v>75700</v>
          </cell>
        </row>
        <row r="1420">
          <cell r="F1420" t="str">
            <v>Cat  genteng</v>
          </cell>
          <cell r="G1420" t="str">
            <v>kg</v>
          </cell>
          <cell r="H1420">
            <v>52800</v>
          </cell>
        </row>
        <row r="1421">
          <cell r="F1421" t="str">
            <v>Cat  tembok per 20 kg</v>
          </cell>
          <cell r="G1421" t="str">
            <v>kg</v>
          </cell>
          <cell r="H1421">
            <v>528800</v>
          </cell>
        </row>
        <row r="1422">
          <cell r="F1422" t="str">
            <v>Cat antara (cat besi)</v>
          </cell>
          <cell r="G1422" t="str">
            <v>kg</v>
          </cell>
          <cell r="H1422">
            <v>49700</v>
          </cell>
        </row>
        <row r="1423">
          <cell r="F1423" t="str">
            <v>Cat dasar (cat besi)</v>
          </cell>
          <cell r="G1423" t="str">
            <v>kg</v>
          </cell>
          <cell r="H1423">
            <v>52300</v>
          </cell>
        </row>
        <row r="1424">
          <cell r="F1424" t="str">
            <v>Cat dasar (cat kayu)</v>
          </cell>
          <cell r="G1424" t="str">
            <v>kg</v>
          </cell>
          <cell r="H1424">
            <v>38200</v>
          </cell>
        </row>
        <row r="1425">
          <cell r="F1425" t="str">
            <v>Cat kayu</v>
          </cell>
          <cell r="G1425" t="str">
            <v>kg</v>
          </cell>
          <cell r="H1425">
            <v>50000</v>
          </cell>
        </row>
        <row r="1426">
          <cell r="F1426" t="str">
            <v>Cat dasar (cat tembok eksterior)</v>
          </cell>
          <cell r="G1426" t="str">
            <v>kg</v>
          </cell>
          <cell r="H1426">
            <v>128500</v>
          </cell>
        </row>
        <row r="1427">
          <cell r="F1427" t="str">
            <v>Cat dasar (cat tembok interior)</v>
          </cell>
          <cell r="G1427" t="str">
            <v>kg</v>
          </cell>
          <cell r="H1427">
            <v>119100</v>
          </cell>
        </row>
        <row r="1428">
          <cell r="F1428" t="str">
            <v>Cat Dasar Plafond</v>
          </cell>
          <cell r="G1428" t="str">
            <v xml:space="preserve">Kg </v>
          </cell>
          <cell r="H1428">
            <v>128500</v>
          </cell>
        </row>
        <row r="1429">
          <cell r="F1429" t="str">
            <v>Cat Plafond Eksterior</v>
          </cell>
          <cell r="G1429" t="str">
            <v>kg</v>
          </cell>
          <cell r="H1429">
            <v>119100</v>
          </cell>
        </row>
        <row r="1430">
          <cell r="F1430" t="str">
            <v>Cat epoxy</v>
          </cell>
          <cell r="G1430" t="str">
            <v>kg</v>
          </cell>
          <cell r="H1430">
            <v>30000</v>
          </cell>
        </row>
        <row r="1431">
          <cell r="F1431" t="str">
            <v>Cat kedap  air  ( water  base)</v>
          </cell>
          <cell r="G1431" t="str">
            <v>kg</v>
          </cell>
          <cell r="H1431">
            <v>53300</v>
          </cell>
        </row>
        <row r="1432">
          <cell r="F1432" t="str">
            <v>Cat penutup (cat besi)</v>
          </cell>
          <cell r="G1432" t="str">
            <v>kg</v>
          </cell>
          <cell r="H1432">
            <v>54700</v>
          </cell>
        </row>
        <row r="1433">
          <cell r="F1433" t="str">
            <v>Cat penutup (cat kayu)</v>
          </cell>
          <cell r="G1433" t="str">
            <v>kg</v>
          </cell>
          <cell r="H1433">
            <v>58500</v>
          </cell>
        </row>
        <row r="1434">
          <cell r="F1434" t="str">
            <v>Cat penutup (cat tembok eksterior)</v>
          </cell>
          <cell r="G1434" t="str">
            <v>kg</v>
          </cell>
          <cell r="H1434">
            <v>136600</v>
          </cell>
        </row>
        <row r="1435">
          <cell r="F1435" t="str">
            <v>Cat penutup (cat tembok interior)</v>
          </cell>
          <cell r="G1435" t="str">
            <v>kg</v>
          </cell>
          <cell r="H1435">
            <v>130500</v>
          </cell>
        </row>
        <row r="1436">
          <cell r="F1436" t="str">
            <v>Cat dinding</v>
          </cell>
          <cell r="G1436" t="str">
            <v>m2</v>
          </cell>
          <cell r="H1436">
            <v>25000</v>
          </cell>
        </row>
        <row r="1437">
          <cell r="F1437" t="str">
            <v>Cat zyncromate</v>
          </cell>
          <cell r="G1437" t="str">
            <v>kg</v>
          </cell>
          <cell r="H1437">
            <v>26000</v>
          </cell>
        </row>
        <row r="1438">
          <cell r="F1438" t="str">
            <v xml:space="preserve">Cat Thermoplast </v>
          </cell>
          <cell r="G1438" t="str">
            <v xml:space="preserve">kg </v>
          </cell>
          <cell r="H1438">
            <v>29120</v>
          </cell>
        </row>
        <row r="1439">
          <cell r="F1439" t="str">
            <v xml:space="preserve">Glass Beads </v>
          </cell>
          <cell r="G1439" t="str">
            <v>kg</v>
          </cell>
          <cell r="H1439">
            <v>18000</v>
          </cell>
        </row>
        <row r="1440">
          <cell r="F1440" t="str">
            <v xml:space="preserve">Compressor </v>
          </cell>
          <cell r="G1440" t="str">
            <v xml:space="preserve">jam </v>
          </cell>
          <cell r="H1440">
            <v>92500</v>
          </cell>
        </row>
        <row r="1441">
          <cell r="F1441" t="str">
            <v xml:space="preserve">Logo PU Akrilik 40x40 cm </v>
          </cell>
          <cell r="G1441" t="str">
            <v xml:space="preserve">buah </v>
          </cell>
          <cell r="H1441">
            <v>400000</v>
          </cell>
        </row>
        <row r="1442">
          <cell r="F1442" t="str">
            <v xml:space="preserve">Logo PU Plat Baja 80x80 cm </v>
          </cell>
          <cell r="G1442" t="str">
            <v xml:space="preserve">buah </v>
          </cell>
          <cell r="H1442">
            <v>450000</v>
          </cell>
        </row>
        <row r="1443">
          <cell r="F1443" t="str">
            <v>Nomor Rumah Akrilik 15x30 cm</v>
          </cell>
          <cell r="G1443" t="str">
            <v xml:space="preserve">buah </v>
          </cell>
          <cell r="H1443">
            <v>55000</v>
          </cell>
        </row>
        <row r="1444">
          <cell r="F1444" t="str">
            <v xml:space="preserve">Bak Cuci Piring </v>
          </cell>
          <cell r="G1444" t="str">
            <v xml:space="preserve">unit </v>
          </cell>
          <cell r="H1444">
            <v>436500</v>
          </cell>
        </row>
        <row r="1445">
          <cell r="F1445" t="str">
            <v>Shower Set</v>
          </cell>
          <cell r="G1445" t="str">
            <v>unit</v>
          </cell>
          <cell r="H1445">
            <v>666000</v>
          </cell>
        </row>
        <row r="1446">
          <cell r="F1446" t="str">
            <v>Dempul</v>
          </cell>
          <cell r="G1446" t="str">
            <v>kg</v>
          </cell>
          <cell r="H1446">
            <v>33500</v>
          </cell>
        </row>
        <row r="1447">
          <cell r="F1447" t="str">
            <v>Dempul jadi</v>
          </cell>
          <cell r="G1447" t="str">
            <v>kg</v>
          </cell>
          <cell r="H1447">
            <v>35500</v>
          </cell>
        </row>
        <row r="1448">
          <cell r="F1448" t="str">
            <v>Kuas  1"</v>
          </cell>
          <cell r="G1448" t="str">
            <v>buah</v>
          </cell>
          <cell r="H1448">
            <v>7100</v>
          </cell>
        </row>
        <row r="1449">
          <cell r="F1449" t="str">
            <v>Kuas  2"</v>
          </cell>
          <cell r="G1449" t="str">
            <v>buah</v>
          </cell>
          <cell r="H1449">
            <v>9800</v>
          </cell>
        </row>
        <row r="1450">
          <cell r="F1450" t="str">
            <v>Kuas  4"</v>
          </cell>
          <cell r="G1450" t="str">
            <v>buah</v>
          </cell>
          <cell r="H1450">
            <v>14100</v>
          </cell>
        </row>
        <row r="1451">
          <cell r="F1451" t="str">
            <v>Kuas 3 inch</v>
          </cell>
          <cell r="G1451" t="str">
            <v>buah</v>
          </cell>
          <cell r="H1451">
            <v>10400</v>
          </cell>
        </row>
        <row r="1452">
          <cell r="F1452" t="str">
            <v>Melamic</v>
          </cell>
          <cell r="G1452" t="str">
            <v>kg</v>
          </cell>
          <cell r="H1452">
            <v>60000</v>
          </cell>
        </row>
        <row r="1453">
          <cell r="F1453" t="str">
            <v>Meni besi</v>
          </cell>
          <cell r="G1453" t="str">
            <v>kg</v>
          </cell>
          <cell r="H1453">
            <v>39700</v>
          </cell>
        </row>
        <row r="1454">
          <cell r="F1454" t="str">
            <v>Meni kayu</v>
          </cell>
          <cell r="G1454" t="str">
            <v>kg</v>
          </cell>
          <cell r="H1454">
            <v>34500</v>
          </cell>
        </row>
        <row r="1455">
          <cell r="F1455" t="str">
            <v>Pelitur</v>
          </cell>
          <cell r="G1455" t="str">
            <v>liter</v>
          </cell>
          <cell r="H1455">
            <v>73700</v>
          </cell>
        </row>
        <row r="1456">
          <cell r="F1456" t="str">
            <v>Pelitur jadi</v>
          </cell>
          <cell r="G1456" t="str">
            <v>liter</v>
          </cell>
          <cell r="H1456">
            <v>66200</v>
          </cell>
        </row>
        <row r="1457">
          <cell r="F1457" t="str">
            <v>Pengencer cat kayu/besi</v>
          </cell>
          <cell r="G1457" t="str">
            <v>liter</v>
          </cell>
          <cell r="H1457">
            <v>20000</v>
          </cell>
        </row>
        <row r="1458">
          <cell r="F1458" t="str">
            <v>Pengencer cat kayu/besi</v>
          </cell>
          <cell r="G1458" t="str">
            <v>kg</v>
          </cell>
          <cell r="H1458">
            <v>17400</v>
          </cell>
        </row>
        <row r="1459">
          <cell r="F1459" t="str">
            <v>Pewarna Beton</v>
          </cell>
          <cell r="G1459" t="str">
            <v>kg</v>
          </cell>
          <cell r="H1459">
            <v>75000</v>
          </cell>
        </row>
        <row r="1460">
          <cell r="F1460" t="str">
            <v>Plamir kayu</v>
          </cell>
          <cell r="G1460" t="str">
            <v>kg</v>
          </cell>
          <cell r="H1460">
            <v>30100</v>
          </cell>
        </row>
        <row r="1461">
          <cell r="F1461" t="str">
            <v>Plamir tembok</v>
          </cell>
          <cell r="G1461" t="str">
            <v>kg</v>
          </cell>
          <cell r="H1461">
            <v>26500</v>
          </cell>
        </row>
        <row r="1462">
          <cell r="F1462" t="str">
            <v>Sanding</v>
          </cell>
          <cell r="G1462" t="str">
            <v>kg</v>
          </cell>
          <cell r="H1462">
            <v>90000</v>
          </cell>
        </row>
        <row r="1463">
          <cell r="F1463" t="str">
            <v>Vernis</v>
          </cell>
          <cell r="G1463" t="str">
            <v>liter</v>
          </cell>
          <cell r="H1463">
            <v>44500</v>
          </cell>
        </row>
        <row r="1464">
          <cell r="F1464" t="str">
            <v>Wood filler</v>
          </cell>
          <cell r="G1464" t="str">
            <v>kg</v>
          </cell>
          <cell r="H1464">
            <v>53000</v>
          </cell>
        </row>
        <row r="1465">
          <cell r="F1465" t="str">
            <v>Woodstain</v>
          </cell>
          <cell r="G1465" t="str">
            <v>kg</v>
          </cell>
          <cell r="H1465">
            <v>87000</v>
          </cell>
        </row>
        <row r="1466">
          <cell r="F1466" t="str">
            <v>MATERIAL KUNCI DAN ENGSEL</v>
          </cell>
        </row>
        <row r="1467">
          <cell r="F1467" t="str">
            <v>1 set  kunci pintu (kw  1)</v>
          </cell>
          <cell r="G1467" t="str">
            <v>buah</v>
          </cell>
          <cell r="H1467">
            <v>180900</v>
          </cell>
        </row>
        <row r="1468">
          <cell r="F1468" t="str">
            <v>1 set  kunci pintu (kw  2)</v>
          </cell>
          <cell r="G1468" t="str">
            <v>buah</v>
          </cell>
          <cell r="H1468">
            <v>117900</v>
          </cell>
        </row>
        <row r="1469">
          <cell r="F1469" t="str">
            <v>1 set handle+kunci</v>
          </cell>
          <cell r="G1469" t="str">
            <v>buah</v>
          </cell>
          <cell r="H1469">
            <v>279000</v>
          </cell>
        </row>
        <row r="1470">
          <cell r="F1470" t="str">
            <v>Door closer</v>
          </cell>
          <cell r="G1470" t="str">
            <v>buah</v>
          </cell>
          <cell r="H1470">
            <v>167500</v>
          </cell>
        </row>
        <row r="1471">
          <cell r="F1471" t="str">
            <v>Door holder</v>
          </cell>
          <cell r="G1471" t="str">
            <v>buah</v>
          </cell>
          <cell r="H1471">
            <v>81000</v>
          </cell>
        </row>
        <row r="1472">
          <cell r="F1472" t="str">
            <v>Door stop</v>
          </cell>
          <cell r="G1472" t="str">
            <v>buah</v>
          </cell>
          <cell r="H1472">
            <v>58500</v>
          </cell>
        </row>
        <row r="1473">
          <cell r="F1473" t="str">
            <v>Engsel angin</v>
          </cell>
          <cell r="G1473" t="str">
            <v>buah</v>
          </cell>
          <cell r="H1473">
            <v>27400</v>
          </cell>
        </row>
        <row r="1474">
          <cell r="F1474" t="str">
            <v>Engsel jendela</v>
          </cell>
          <cell r="G1474" t="str">
            <v>buah</v>
          </cell>
          <cell r="H1474">
            <v>18900</v>
          </cell>
        </row>
        <row r="1475">
          <cell r="F1475" t="str">
            <v>Engsel kupu-kupu</v>
          </cell>
          <cell r="G1475" t="str">
            <v>buah</v>
          </cell>
          <cell r="H1475">
            <v>41700</v>
          </cell>
        </row>
        <row r="1476">
          <cell r="F1476" t="str">
            <v>Engsel lengan jendela</v>
          </cell>
          <cell r="G1476" t="str">
            <v>buah</v>
          </cell>
          <cell r="H1476">
            <v>26500</v>
          </cell>
        </row>
        <row r="1477">
          <cell r="F1477" t="str">
            <v>Engsel pintu (kw 1)</v>
          </cell>
          <cell r="G1477" t="str">
            <v>buah</v>
          </cell>
          <cell r="H1477">
            <v>31500</v>
          </cell>
        </row>
        <row r="1478">
          <cell r="F1478" t="str">
            <v>Engsel pintu (kw 2)</v>
          </cell>
          <cell r="G1478" t="str">
            <v>buah</v>
          </cell>
          <cell r="H1478">
            <v>23700</v>
          </cell>
        </row>
        <row r="1479">
          <cell r="F1479" t="str">
            <v>Floor hinge</v>
          </cell>
          <cell r="G1479" t="str">
            <v>buah</v>
          </cell>
          <cell r="H1479">
            <v>500000</v>
          </cell>
        </row>
        <row r="1480">
          <cell r="F1480" t="str">
            <v>Gerendel Biasa</v>
          </cell>
          <cell r="G1480" t="str">
            <v>buah</v>
          </cell>
          <cell r="H1480">
            <v>32600</v>
          </cell>
        </row>
        <row r="1481">
          <cell r="F1481" t="str">
            <v>Grendel</v>
          </cell>
          <cell r="G1481" t="str">
            <v>buah</v>
          </cell>
          <cell r="H1481">
            <v>15000</v>
          </cell>
        </row>
        <row r="1482">
          <cell r="F1482" t="str">
            <v>Grendel tanam</v>
          </cell>
          <cell r="G1482" t="str">
            <v>buah</v>
          </cell>
          <cell r="H1482">
            <v>150000</v>
          </cell>
        </row>
        <row r="1483">
          <cell r="F1483" t="str">
            <v>Handle pintu (kw  1)</v>
          </cell>
          <cell r="G1483" t="str">
            <v>buah</v>
          </cell>
          <cell r="H1483">
            <v>140800</v>
          </cell>
        </row>
        <row r="1484">
          <cell r="F1484" t="str">
            <v xml:space="preserve">Hendle Jendela </v>
          </cell>
          <cell r="G1484" t="str">
            <v xml:space="preserve">buah </v>
          </cell>
          <cell r="H1484">
            <v>58500</v>
          </cell>
        </row>
        <row r="1485">
          <cell r="F1485" t="str">
            <v>Kait angin</v>
          </cell>
          <cell r="G1485" t="str">
            <v>buah</v>
          </cell>
          <cell r="H1485">
            <v>12000</v>
          </cell>
        </row>
        <row r="1486">
          <cell r="F1486" t="str">
            <v>Kunci lemari</v>
          </cell>
          <cell r="G1486" t="str">
            <v>buah</v>
          </cell>
          <cell r="H1486">
            <v>14100</v>
          </cell>
        </row>
        <row r="1487">
          <cell r="F1487" t="str">
            <v>Kunci silinder</v>
          </cell>
          <cell r="G1487" t="str">
            <v>buah</v>
          </cell>
          <cell r="H1487">
            <v>70000</v>
          </cell>
        </row>
        <row r="1488">
          <cell r="F1488" t="str">
            <v>Kunci slot</v>
          </cell>
          <cell r="G1488" t="str">
            <v>buah</v>
          </cell>
          <cell r="H1488">
            <v>101300</v>
          </cell>
        </row>
        <row r="1489">
          <cell r="F1489" t="str">
            <v>Kunci tanam</v>
          </cell>
          <cell r="G1489" t="str">
            <v>buah</v>
          </cell>
          <cell r="H1489">
            <v>65800</v>
          </cell>
        </row>
        <row r="1490">
          <cell r="F1490" t="str">
            <v>Kunci tanam antik</v>
          </cell>
          <cell r="G1490" t="str">
            <v>buah</v>
          </cell>
          <cell r="H1490">
            <v>144300</v>
          </cell>
        </row>
        <row r="1491">
          <cell r="F1491" t="str">
            <v>Kunci tanam biasa</v>
          </cell>
          <cell r="G1491" t="str">
            <v>buah</v>
          </cell>
          <cell r="H1491">
            <v>65800</v>
          </cell>
        </row>
        <row r="1492">
          <cell r="F1492" t="str">
            <v>Kunci Tanam ex  lokal 2x  slag</v>
          </cell>
          <cell r="G1492" t="str">
            <v>buah</v>
          </cell>
          <cell r="H1492">
            <v>75000</v>
          </cell>
        </row>
        <row r="1493">
          <cell r="F1493" t="str">
            <v>Kunci tanam kamar mandi</v>
          </cell>
          <cell r="G1493" t="str">
            <v>buah</v>
          </cell>
          <cell r="H1493">
            <v>46900</v>
          </cell>
        </row>
        <row r="1494">
          <cell r="F1494" t="str">
            <v>Pull handle (kw  1)</v>
          </cell>
          <cell r="G1494" t="str">
            <v>buah</v>
          </cell>
          <cell r="H1494">
            <v>290800</v>
          </cell>
        </row>
        <row r="1495">
          <cell r="F1495" t="str">
            <v>Pull handle stainless  jumbo  (kw  1)</v>
          </cell>
          <cell r="G1495" t="str">
            <v>buah</v>
          </cell>
          <cell r="H1495">
            <v>435200</v>
          </cell>
        </row>
        <row r="1496">
          <cell r="F1496" t="str">
            <v>Rel pintu dorong</v>
          </cell>
          <cell r="G1496" t="str">
            <v>set</v>
          </cell>
          <cell r="H1496">
            <v>243100</v>
          </cell>
        </row>
        <row r="1497">
          <cell r="F1497" t="str">
            <v>Spring knip</v>
          </cell>
          <cell r="G1497" t="str">
            <v>buah</v>
          </cell>
          <cell r="H1497">
            <v>21600</v>
          </cell>
        </row>
        <row r="1498">
          <cell r="F1498" t="str">
            <v>Tarikan Pintu Stainless</v>
          </cell>
          <cell r="G1498" t="str">
            <v>buah</v>
          </cell>
          <cell r="H1498">
            <v>60000</v>
          </cell>
        </row>
        <row r="1499">
          <cell r="F1499" t="str">
            <v>Venetions blinds dan vertical blinds</v>
          </cell>
          <cell r="G1499" t="str">
            <v>m2</v>
          </cell>
          <cell r="H1499">
            <v>140000</v>
          </cell>
        </row>
        <row r="1500">
          <cell r="F1500" t="str">
            <v>MATERIAL KACA</v>
          </cell>
        </row>
        <row r="1501">
          <cell r="F1501" t="str">
            <v>Glass block 20x20 cm</v>
          </cell>
          <cell r="G1501" t="str">
            <v>buah</v>
          </cell>
          <cell r="H1501">
            <v>2500</v>
          </cell>
        </row>
        <row r="1502">
          <cell r="F1502" t="str">
            <v>Frame besi kaca nako</v>
          </cell>
          <cell r="G1502" t="str">
            <v>daun</v>
          </cell>
          <cell r="H1502">
            <v>400000</v>
          </cell>
        </row>
        <row r="1503">
          <cell r="F1503" t="str">
            <v>Jendela nako</v>
          </cell>
          <cell r="G1503" t="str">
            <v>buah</v>
          </cell>
          <cell r="H1503">
            <v>400000</v>
          </cell>
        </row>
        <row r="1504">
          <cell r="F1504" t="str">
            <v xml:space="preserve">Jendela Kaca Upvc 2 daun </v>
          </cell>
          <cell r="G1504" t="str">
            <v xml:space="preserve">buah </v>
          </cell>
          <cell r="H1504">
            <v>2000000</v>
          </cell>
        </row>
        <row r="1505">
          <cell r="F1505" t="str">
            <v xml:space="preserve">Jendela Ornamen GRC </v>
          </cell>
          <cell r="G1505" t="str">
            <v xml:space="preserve">buah </v>
          </cell>
          <cell r="H1505">
            <v>596000</v>
          </cell>
        </row>
        <row r="1506">
          <cell r="F1506" t="str">
            <v>Jendela Nako Rangka Aluminium (rangka+kaca 5 mm)</v>
          </cell>
          <cell r="G1506" t="str">
            <v>m2</v>
          </cell>
          <cell r="H1506">
            <v>242000</v>
          </cell>
        </row>
        <row r="1507">
          <cell r="F1507" t="str">
            <v>Kaca buram 12mm</v>
          </cell>
          <cell r="G1507" t="str">
            <v>m2</v>
          </cell>
          <cell r="H1507">
            <v>317000</v>
          </cell>
        </row>
        <row r="1508">
          <cell r="F1508" t="str">
            <v>Kaca cermin 5 mm</v>
          </cell>
          <cell r="G1508" t="str">
            <v>m2</v>
          </cell>
          <cell r="H1508">
            <v>221400</v>
          </cell>
        </row>
        <row r="1509">
          <cell r="F1509" t="str">
            <v>Kaca cermin 6mm</v>
          </cell>
          <cell r="G1509" t="str">
            <v>m2</v>
          </cell>
          <cell r="H1509">
            <v>270900</v>
          </cell>
        </row>
        <row r="1510">
          <cell r="F1510" t="str">
            <v>Kaca cermin 8 mm</v>
          </cell>
          <cell r="G1510" t="str">
            <v>m2</v>
          </cell>
          <cell r="H1510">
            <v>796100</v>
          </cell>
        </row>
        <row r="1511">
          <cell r="F1511" t="str">
            <v>Kaca es  kabur 3 mm</v>
          </cell>
          <cell r="G1511" t="str">
            <v>m2</v>
          </cell>
          <cell r="H1511">
            <v>85000</v>
          </cell>
        </row>
        <row r="1512">
          <cell r="F1512" t="str">
            <v>Kaca es  kabur 5 mm</v>
          </cell>
          <cell r="G1512" t="str">
            <v>m2</v>
          </cell>
          <cell r="H1512">
            <v>95000</v>
          </cell>
        </row>
        <row r="1513">
          <cell r="F1513" t="str">
            <v>Kaca gravire 5mm</v>
          </cell>
          <cell r="G1513" t="str">
            <v>m2</v>
          </cell>
          <cell r="H1513">
            <v>794400</v>
          </cell>
        </row>
        <row r="1514">
          <cell r="F1514" t="str">
            <v>Kaca gravire putih 5mm</v>
          </cell>
          <cell r="G1514" t="str">
            <v>m2</v>
          </cell>
          <cell r="H1514">
            <v>750000</v>
          </cell>
        </row>
        <row r="1515">
          <cell r="F1515" t="str">
            <v>Kaca laminated 12 mm</v>
          </cell>
          <cell r="G1515" t="str">
            <v>m2</v>
          </cell>
          <cell r="H1515">
            <v>900000</v>
          </cell>
        </row>
        <row r="1516">
          <cell r="F1516" t="str">
            <v>Kaca laminated 8 mm</v>
          </cell>
          <cell r="G1516" t="str">
            <v>m2</v>
          </cell>
          <cell r="H1516">
            <v>700000</v>
          </cell>
        </row>
        <row r="1517">
          <cell r="F1517" t="str">
            <v>Kaca lukis  alur 5mm</v>
          </cell>
          <cell r="G1517" t="str">
            <v>m2</v>
          </cell>
          <cell r="H1517">
            <v>688700</v>
          </cell>
        </row>
        <row r="1518">
          <cell r="F1518" t="str">
            <v>Kaca patri 5 mm</v>
          </cell>
          <cell r="G1518" t="str">
            <v>m2</v>
          </cell>
          <cell r="H1518">
            <v>1516300</v>
          </cell>
        </row>
        <row r="1519">
          <cell r="F1519" t="str">
            <v>Kaca polos</v>
          </cell>
          <cell r="G1519" t="str">
            <v>m2</v>
          </cell>
          <cell r="H1519">
            <v>120000</v>
          </cell>
        </row>
        <row r="1520">
          <cell r="F1520" t="str">
            <v>Kaca polos 3 mm</v>
          </cell>
          <cell r="G1520" t="str">
            <v>m2</v>
          </cell>
          <cell r="H1520">
            <v>120000</v>
          </cell>
        </row>
        <row r="1521">
          <cell r="F1521" t="str">
            <v>Kaca polos 5 mm</v>
          </cell>
          <cell r="G1521" t="str">
            <v>m2</v>
          </cell>
          <cell r="H1521">
            <v>198000</v>
          </cell>
        </row>
        <row r="1522">
          <cell r="F1522" t="str">
            <v>Kaca polos 6 mm</v>
          </cell>
          <cell r="G1522" t="str">
            <v>m2</v>
          </cell>
          <cell r="H1522">
            <v>237000</v>
          </cell>
        </row>
        <row r="1523">
          <cell r="F1523" t="str">
            <v>Kaca polos 8 mm</v>
          </cell>
          <cell r="G1523" t="str">
            <v>m2</v>
          </cell>
          <cell r="H1523">
            <v>226400</v>
          </cell>
        </row>
        <row r="1524">
          <cell r="F1524" t="str">
            <v>Kaca tanpa tripel 5mm</v>
          </cell>
          <cell r="G1524" t="str">
            <v>m2</v>
          </cell>
          <cell r="H1524">
            <v>3447000</v>
          </cell>
        </row>
        <row r="1525">
          <cell r="F1525" t="str">
            <v>Kaca tempered 12 mm</v>
          </cell>
          <cell r="G1525" t="str">
            <v>m2</v>
          </cell>
          <cell r="H1525">
            <v>600000</v>
          </cell>
        </row>
        <row r="1526">
          <cell r="F1526" t="str">
            <v>Kaca triple 5mm</v>
          </cell>
          <cell r="G1526" t="str">
            <v>m2</v>
          </cell>
          <cell r="H1526">
            <v>3179400</v>
          </cell>
        </row>
        <row r="1527">
          <cell r="F1527" t="str">
            <v>Kaca triple platinum 5mm</v>
          </cell>
          <cell r="G1527" t="str">
            <v>m2</v>
          </cell>
          <cell r="H1527">
            <v>3702800</v>
          </cell>
        </row>
        <row r="1528">
          <cell r="F1528" t="str">
            <v>Kaca wireglass 5 mm</v>
          </cell>
          <cell r="G1528" t="str">
            <v>m2</v>
          </cell>
          <cell r="H1528">
            <v>144800</v>
          </cell>
        </row>
        <row r="1529">
          <cell r="F1529" t="str">
            <v>Profil kaca</v>
          </cell>
          <cell r="G1529" t="str">
            <v>m¹</v>
          </cell>
          <cell r="H1529">
            <v>14500</v>
          </cell>
        </row>
        <row r="1530">
          <cell r="F1530" t="str">
            <v>Profil kaca tebal 6 mm</v>
          </cell>
          <cell r="G1530" t="str">
            <v>m2</v>
          </cell>
          <cell r="H1530">
            <v>15000</v>
          </cell>
        </row>
        <row r="1531">
          <cell r="F1531" t="str">
            <v>Ray Band 3mm</v>
          </cell>
          <cell r="G1531" t="str">
            <v>m2</v>
          </cell>
          <cell r="H1531">
            <v>85100</v>
          </cell>
        </row>
        <row r="1532">
          <cell r="F1532" t="str">
            <v>Ray Band 5mm</v>
          </cell>
          <cell r="G1532" t="str">
            <v>m2</v>
          </cell>
          <cell r="H1532">
            <v>112400</v>
          </cell>
        </row>
        <row r="1533">
          <cell r="F1533" t="str">
            <v>MATERIAL SANITAIR</v>
          </cell>
        </row>
        <row r="1534">
          <cell r="F1534" t="str">
            <v>Bak  reservoir  fibreglass (kapasitas 1050  liter)</v>
          </cell>
          <cell r="G1534" t="str">
            <v>buah</v>
          </cell>
          <cell r="H1534">
            <v>1793400</v>
          </cell>
        </row>
        <row r="1535">
          <cell r="F1535" t="str">
            <v>Bak  reservoir  fibreglass (kapasitas 1200  liter)</v>
          </cell>
          <cell r="G1535" t="str">
            <v>buah</v>
          </cell>
          <cell r="H1535">
            <v>1448700</v>
          </cell>
        </row>
        <row r="1536">
          <cell r="F1536" t="str">
            <v>Bak  reservoir  fibreglass (kapasitas 1550  liter)</v>
          </cell>
          <cell r="G1536" t="str">
            <v>buah</v>
          </cell>
          <cell r="H1536">
            <v>2125600</v>
          </cell>
        </row>
        <row r="1537">
          <cell r="F1537" t="str">
            <v>Bak  reservoir  fibreglass (kapasitas 2000  liter)</v>
          </cell>
          <cell r="G1537" t="str">
            <v>buah</v>
          </cell>
          <cell r="H1537">
            <v>2778200</v>
          </cell>
        </row>
        <row r="1538">
          <cell r="F1538" t="str">
            <v>Bak  reservoir  fibreglass (kapasitas 650  liter)</v>
          </cell>
          <cell r="G1538" t="str">
            <v>buah</v>
          </cell>
          <cell r="H1538">
            <v>868300</v>
          </cell>
        </row>
        <row r="1539">
          <cell r="F1539" t="str">
            <v>Bak cuci stainlesteel</v>
          </cell>
          <cell r="G1539" t="str">
            <v>buah</v>
          </cell>
          <cell r="H1539">
            <v>230600</v>
          </cell>
        </row>
        <row r="1540">
          <cell r="F1540" t="str">
            <v>Bak cuci teraso</v>
          </cell>
          <cell r="G1540" t="str">
            <v>buah</v>
          </cell>
          <cell r="H1540">
            <v>600000</v>
          </cell>
        </row>
        <row r="1541">
          <cell r="F1541" t="str">
            <v>Bak fiberglass 1 m3</v>
          </cell>
          <cell r="G1541" t="str">
            <v>buah</v>
          </cell>
          <cell r="H1541">
            <v>400000</v>
          </cell>
        </row>
        <row r="1542">
          <cell r="F1542" t="str">
            <v>Bak fiberglass 70x70x66 cm</v>
          </cell>
          <cell r="G1542" t="str">
            <v>buah</v>
          </cell>
          <cell r="H1542">
            <v>328400</v>
          </cell>
        </row>
        <row r="1543">
          <cell r="F1543" t="str">
            <v>Bak teraso</v>
          </cell>
          <cell r="G1543" t="str">
            <v>buah</v>
          </cell>
          <cell r="H1543">
            <v>450000</v>
          </cell>
        </row>
        <row r="1544">
          <cell r="F1544" t="str">
            <v>Bathup</v>
          </cell>
          <cell r="G1544" t="str">
            <v>unit</v>
          </cell>
          <cell r="H1544">
            <v>2500000</v>
          </cell>
        </row>
        <row r="1545">
          <cell r="F1545" t="str">
            <v>Carbon filter kap. 0,1 m3/hari</v>
          </cell>
          <cell r="G1545" t="str">
            <v>unit</v>
          </cell>
          <cell r="H1545">
            <v>650000</v>
          </cell>
        </row>
        <row r="1546">
          <cell r="F1546" t="str">
            <v>Carbon filter kap. 0,6 m3/hari</v>
          </cell>
          <cell r="G1546" t="str">
            <v>unit</v>
          </cell>
          <cell r="H1546">
            <v>3000000</v>
          </cell>
        </row>
        <row r="1547">
          <cell r="F1547" t="str">
            <v>Clean out</v>
          </cell>
          <cell r="G1547" t="str">
            <v>buah</v>
          </cell>
          <cell r="H1547">
            <v>70000</v>
          </cell>
        </row>
        <row r="1548">
          <cell r="F1548" t="str">
            <v>Flexible hose</v>
          </cell>
          <cell r="G1548" t="str">
            <v>m'</v>
          </cell>
          <cell r="H1548">
            <v>55000</v>
          </cell>
        </row>
        <row r="1549">
          <cell r="F1549" t="str">
            <v>Flexible hose</v>
          </cell>
          <cell r="G1549" t="str">
            <v>buah</v>
          </cell>
          <cell r="H1549">
            <v>50000</v>
          </cell>
        </row>
        <row r="1550">
          <cell r="F1550" t="str">
            <v>Floor drain stainles steel</v>
          </cell>
          <cell r="G1550" t="str">
            <v>buah</v>
          </cell>
          <cell r="H1550">
            <v>44700</v>
          </cell>
        </row>
        <row r="1551">
          <cell r="F1551" t="str">
            <v>Grab bar</v>
          </cell>
          <cell r="G1551" t="str">
            <v>buah</v>
          </cell>
          <cell r="H1551">
            <v>120000</v>
          </cell>
        </row>
        <row r="1552">
          <cell r="F1552" t="str">
            <v>Grease trap central fiberglass, kap. 5 m3</v>
          </cell>
          <cell r="G1552" t="str">
            <v>unit</v>
          </cell>
          <cell r="H1552">
            <v>20000000</v>
          </cell>
        </row>
        <row r="1553">
          <cell r="F1553" t="str">
            <v>Grease trap portable fiberglass, kap. 30 Liter</v>
          </cell>
          <cell r="G1553" t="str">
            <v>unit</v>
          </cell>
          <cell r="H1553">
            <v>1000000</v>
          </cell>
        </row>
        <row r="1554">
          <cell r="F1554" t="str">
            <v>Grease trap portable stainless, kap. 30 Liter</v>
          </cell>
          <cell r="G1554" t="str">
            <v>unit</v>
          </cell>
          <cell r="H1554">
            <v>1500000</v>
          </cell>
        </row>
        <row r="1555">
          <cell r="F1555" t="str">
            <v>Jet washer</v>
          </cell>
          <cell r="G1555" t="str">
            <v>buah</v>
          </cell>
          <cell r="H1555">
            <v>100000</v>
          </cell>
        </row>
        <row r="1556">
          <cell r="F1556" t="str">
            <v>Kloset duduk/monoblok</v>
          </cell>
          <cell r="G1556" t="str">
            <v>buah</v>
          </cell>
          <cell r="H1556">
            <v>1490000</v>
          </cell>
        </row>
        <row r="1557">
          <cell r="F1557" t="str">
            <v>Kloset jongkok</v>
          </cell>
          <cell r="G1557" t="str">
            <v>buah</v>
          </cell>
          <cell r="H1557">
            <v>250000</v>
          </cell>
        </row>
        <row r="1558">
          <cell r="F1558" t="str">
            <v>Komunal 10</v>
          </cell>
          <cell r="G1558" t="str">
            <v>unit</v>
          </cell>
          <cell r="H1558">
            <v>30000000</v>
          </cell>
        </row>
        <row r="1559">
          <cell r="F1559" t="str">
            <v>Komunal 100</v>
          </cell>
          <cell r="G1559" t="str">
            <v>unit</v>
          </cell>
          <cell r="H1559">
            <v>310000000</v>
          </cell>
        </row>
        <row r="1560">
          <cell r="F1560" t="str">
            <v>Komunal 125</v>
          </cell>
          <cell r="G1560" t="str">
            <v>unit</v>
          </cell>
          <cell r="H1560">
            <v>390000000</v>
          </cell>
        </row>
        <row r="1561">
          <cell r="F1561" t="str">
            <v>Komunal 150</v>
          </cell>
          <cell r="G1561" t="str">
            <v>unit</v>
          </cell>
          <cell r="H1561">
            <v>465000000</v>
          </cell>
        </row>
        <row r="1562">
          <cell r="F1562" t="str">
            <v>Komunal 25</v>
          </cell>
          <cell r="G1562" t="str">
            <v>unit</v>
          </cell>
          <cell r="H1562">
            <v>70000000</v>
          </cell>
        </row>
        <row r="1563">
          <cell r="F1563" t="str">
            <v>Komunal 50</v>
          </cell>
          <cell r="G1563" t="str">
            <v>unit</v>
          </cell>
          <cell r="H1563">
            <v>135000000</v>
          </cell>
        </row>
        <row r="1564">
          <cell r="F1564" t="str">
            <v>Komunal 75</v>
          </cell>
          <cell r="G1564" t="str">
            <v>unit</v>
          </cell>
          <cell r="H1564">
            <v>245000000</v>
          </cell>
        </row>
        <row r="1565">
          <cell r="F1565" t="str">
            <v>Kran air</v>
          </cell>
          <cell r="G1565" t="str">
            <v>buah</v>
          </cell>
          <cell r="H1565">
            <v>41700</v>
          </cell>
        </row>
        <row r="1566">
          <cell r="F1566" t="str">
            <v>Partisi urinoir</v>
          </cell>
          <cell r="G1566" t="str">
            <v>buah</v>
          </cell>
          <cell r="H1566">
            <v>700000</v>
          </cell>
        </row>
        <row r="1567">
          <cell r="F1567" t="str">
            <v>Pintu kubikel</v>
          </cell>
          <cell r="G1567" t="str">
            <v>set</v>
          </cell>
          <cell r="H1567">
            <v>1000000</v>
          </cell>
        </row>
        <row r="1568">
          <cell r="F1568" t="str">
            <v>Pompa booster 150 lpm (vertical in line-packaged)</v>
          </cell>
          <cell r="G1568" t="str">
            <v>unit</v>
          </cell>
          <cell r="H1568">
            <v>1200000</v>
          </cell>
        </row>
        <row r="1569">
          <cell r="F1569" t="str">
            <v>Pompa booster 450 lpm (centrifugal end suction)</v>
          </cell>
          <cell r="G1569" t="str">
            <v>unit</v>
          </cell>
          <cell r="H1569">
            <v>2970000</v>
          </cell>
        </row>
        <row r="1570">
          <cell r="F1570" t="str">
            <v>Pompa jet 100 lpm</v>
          </cell>
          <cell r="G1570" t="str">
            <v>unit</v>
          </cell>
          <cell r="H1570">
            <v>2000000</v>
          </cell>
        </row>
        <row r="1571">
          <cell r="F1571" t="str">
            <v>Pompa jet 27 lpm</v>
          </cell>
          <cell r="G1571" t="str">
            <v>unit</v>
          </cell>
          <cell r="H1571">
            <v>900000</v>
          </cell>
        </row>
        <row r="1572">
          <cell r="F1572" t="str">
            <v>Pompa jet 34 lpm</v>
          </cell>
          <cell r="G1572" t="str">
            <v>unit</v>
          </cell>
          <cell r="H1572">
            <v>1200000</v>
          </cell>
        </row>
        <row r="1573">
          <cell r="F1573" t="str">
            <v>Pompa lift 250 lpm</v>
          </cell>
          <cell r="G1573" t="str">
            <v>unit</v>
          </cell>
          <cell r="H1573">
            <v>3500000</v>
          </cell>
        </row>
        <row r="1574">
          <cell r="F1574" t="str">
            <v>Pompa lift 80 lpm</v>
          </cell>
          <cell r="G1574" t="str">
            <v>unit</v>
          </cell>
          <cell r="H1574">
            <v>1000000</v>
          </cell>
        </row>
        <row r="1575">
          <cell r="F1575" t="str">
            <v>Pompa transfer 150 lpm (centrifugal end suction)</v>
          </cell>
          <cell r="G1575" t="str">
            <v>unit</v>
          </cell>
          <cell r="H1575">
            <v>1000000</v>
          </cell>
        </row>
        <row r="1576">
          <cell r="F1576" t="str">
            <v>Pressure tank 1.000 liter</v>
          </cell>
          <cell r="G1576" t="str">
            <v>unit</v>
          </cell>
          <cell r="H1576">
            <v>17000000</v>
          </cell>
        </row>
        <row r="1577">
          <cell r="F1577" t="str">
            <v>Priming tank fiber 1.000 liter</v>
          </cell>
          <cell r="G1577" t="str">
            <v>unit</v>
          </cell>
          <cell r="H1577">
            <v>2850000</v>
          </cell>
        </row>
        <row r="1578">
          <cell r="F1578" t="str">
            <v>Priming tank fiber 2.000 liter</v>
          </cell>
          <cell r="G1578" t="str">
            <v>unit</v>
          </cell>
          <cell r="H1578">
            <v>4000000</v>
          </cell>
        </row>
        <row r="1579">
          <cell r="F1579" t="str">
            <v>Priming tank fiber 500 liter</v>
          </cell>
          <cell r="G1579" t="str">
            <v>unit</v>
          </cell>
          <cell r="H1579">
            <v>1300000</v>
          </cell>
        </row>
        <row r="1580">
          <cell r="F1580" t="str">
            <v>Priming tank fiber 800 liter</v>
          </cell>
          <cell r="G1580" t="str">
            <v>unit</v>
          </cell>
          <cell r="H1580">
            <v>2080000</v>
          </cell>
        </row>
        <row r="1581">
          <cell r="F1581" t="str">
            <v>Robe hook</v>
          </cell>
          <cell r="G1581" t="str">
            <v>buah</v>
          </cell>
          <cell r="H1581">
            <v>70000</v>
          </cell>
        </row>
        <row r="1582">
          <cell r="F1582" t="str">
            <v>Roof tank fiberglass kap. 12 m3</v>
          </cell>
          <cell r="G1582" t="str">
            <v>unit</v>
          </cell>
          <cell r="H1582">
            <v>36000000</v>
          </cell>
        </row>
        <row r="1583">
          <cell r="F1583" t="str">
            <v>Roof tank fiberglass kap. 2 m3</v>
          </cell>
          <cell r="G1583" t="str">
            <v>unit</v>
          </cell>
          <cell r="H1583">
            <v>6000000</v>
          </cell>
        </row>
        <row r="1584">
          <cell r="F1584" t="str">
            <v>Roof tank fiberglass kap. 4 m3</v>
          </cell>
          <cell r="G1584" t="str">
            <v>unit</v>
          </cell>
          <cell r="H1584">
            <v>12000000</v>
          </cell>
        </row>
        <row r="1585">
          <cell r="F1585" t="str">
            <v>Roof tank stainless kap. 12 m3</v>
          </cell>
          <cell r="G1585" t="str">
            <v>unit</v>
          </cell>
          <cell r="H1585">
            <v>48000000</v>
          </cell>
        </row>
        <row r="1586">
          <cell r="F1586" t="str">
            <v>Roof tank stainless kap. 2 m3</v>
          </cell>
          <cell r="G1586" t="str">
            <v>unit</v>
          </cell>
          <cell r="H1586">
            <v>6400000</v>
          </cell>
        </row>
        <row r="1587">
          <cell r="F1587" t="str">
            <v>Roof tank stainless kap. 4 m3</v>
          </cell>
          <cell r="G1587" t="str">
            <v>unit</v>
          </cell>
          <cell r="H1587">
            <v>15000000</v>
          </cell>
        </row>
        <row r="1588">
          <cell r="F1588" t="str">
            <v>Sand filter kap. 0,1 m3/hari</v>
          </cell>
          <cell r="G1588" t="str">
            <v>unit</v>
          </cell>
          <cell r="H1588">
            <v>2500000</v>
          </cell>
        </row>
        <row r="1589">
          <cell r="F1589" t="str">
            <v>Sand filter kap. 14 m3/hari</v>
          </cell>
          <cell r="G1589" t="str">
            <v>unit</v>
          </cell>
          <cell r="H1589">
            <v>4800000</v>
          </cell>
        </row>
        <row r="1590">
          <cell r="F1590" t="str">
            <v>Sekat kubikel</v>
          </cell>
          <cell r="G1590" t="str">
            <v>m2</v>
          </cell>
          <cell r="H1590">
            <v>1200000</v>
          </cell>
        </row>
        <row r="1591">
          <cell r="F1591" t="str">
            <v>Septic  0,6</v>
          </cell>
          <cell r="G1591" t="str">
            <v>unit</v>
          </cell>
          <cell r="H1591">
            <v>3200000</v>
          </cell>
        </row>
        <row r="1592">
          <cell r="F1592" t="str">
            <v>Septic  0,8</v>
          </cell>
          <cell r="G1592" t="str">
            <v>unit</v>
          </cell>
          <cell r="H1592">
            <v>3500000</v>
          </cell>
        </row>
        <row r="1593">
          <cell r="F1593" t="str">
            <v>Septic  1</v>
          </cell>
          <cell r="G1593" t="str">
            <v>unit</v>
          </cell>
          <cell r="H1593">
            <v>3600000</v>
          </cell>
        </row>
        <row r="1594">
          <cell r="F1594" t="str">
            <v>Septic  2</v>
          </cell>
          <cell r="G1594" t="str">
            <v>unit</v>
          </cell>
          <cell r="H1594">
            <v>4600000</v>
          </cell>
        </row>
        <row r="1595">
          <cell r="F1595" t="str">
            <v>Septic  5</v>
          </cell>
          <cell r="G1595" t="str">
            <v>unit</v>
          </cell>
          <cell r="H1595">
            <v>16000000</v>
          </cell>
        </row>
        <row r="1596">
          <cell r="F1596" t="str">
            <v>Sewage Treatment Plant (STP) fiberglass kap. 10 m3</v>
          </cell>
          <cell r="G1596" t="str">
            <v>unit</v>
          </cell>
          <cell r="H1596">
            <v>53200000</v>
          </cell>
        </row>
        <row r="1597">
          <cell r="F1597" t="str">
            <v>Sewage Treatment Plant (STP) fiberglass kap. 2 m3</v>
          </cell>
          <cell r="G1597" t="str">
            <v>unit</v>
          </cell>
          <cell r="H1597">
            <v>19500000</v>
          </cell>
        </row>
        <row r="1598">
          <cell r="F1598" t="str">
            <v>Sewage Treatment Plant (STP) fiberglass kap. 30 m3</v>
          </cell>
          <cell r="G1598" t="str">
            <v>unit</v>
          </cell>
          <cell r="H1598">
            <v>100000000</v>
          </cell>
        </row>
        <row r="1599">
          <cell r="F1599" t="str">
            <v>Sewage Treatment Plant (STP) fiberglass kap. 5 m3</v>
          </cell>
          <cell r="G1599" t="str">
            <v>unit</v>
          </cell>
          <cell r="H1599">
            <v>33000000</v>
          </cell>
        </row>
        <row r="1600">
          <cell r="F1600" t="str">
            <v>Sewage Treatment Plant (STP) precast kap. 30 m3</v>
          </cell>
          <cell r="G1600" t="str">
            <v>unit</v>
          </cell>
          <cell r="H1600">
            <v>84000000</v>
          </cell>
        </row>
        <row r="1601">
          <cell r="F1601" t="str">
            <v>Silika filter kap. 0,1 m3/hari</v>
          </cell>
          <cell r="G1601" t="str">
            <v>unit</v>
          </cell>
          <cell r="H1601">
            <v>500000</v>
          </cell>
        </row>
        <row r="1602">
          <cell r="F1602" t="str">
            <v>Soap holder</v>
          </cell>
          <cell r="G1602" t="str">
            <v>buah</v>
          </cell>
          <cell r="H1602">
            <v>150000</v>
          </cell>
        </row>
        <row r="1603">
          <cell r="F1603" t="str">
            <v>Stop kran PVC 1/2"</v>
          </cell>
          <cell r="G1603" t="str">
            <v>buah</v>
          </cell>
          <cell r="H1603">
            <v>4000</v>
          </cell>
        </row>
        <row r="1604">
          <cell r="F1604" t="str">
            <v>Stop kran PVC 3/4"</v>
          </cell>
          <cell r="G1604" t="str">
            <v>buah</v>
          </cell>
          <cell r="H1604">
            <v>6000</v>
          </cell>
        </row>
        <row r="1605">
          <cell r="F1605" t="str">
            <v>Submersible cutter pump kap. 100 lpm</v>
          </cell>
          <cell r="G1605" t="str">
            <v>unit</v>
          </cell>
          <cell r="H1605">
            <v>8500000</v>
          </cell>
        </row>
        <row r="1606">
          <cell r="F1606" t="str">
            <v>Tangki toren kap. 0,7 m3</v>
          </cell>
          <cell r="G1606" t="str">
            <v>unit</v>
          </cell>
          <cell r="H1606">
            <v>1100000</v>
          </cell>
        </row>
        <row r="1607">
          <cell r="F1607" t="str">
            <v>Tangki toren kap. 1,5 m3</v>
          </cell>
          <cell r="G1607" t="str">
            <v>unit</v>
          </cell>
          <cell r="H1607">
            <v>1700000</v>
          </cell>
        </row>
        <row r="1608">
          <cell r="F1608" t="str">
            <v>Tangki toren kap. 2,5 m3</v>
          </cell>
          <cell r="G1608" t="str">
            <v>unit</v>
          </cell>
          <cell r="H1608">
            <v>3400000</v>
          </cell>
        </row>
        <row r="1609">
          <cell r="F1609" t="str">
            <v>Tangki toren kap. 3 m3</v>
          </cell>
          <cell r="G1609" t="str">
            <v>unit</v>
          </cell>
          <cell r="H1609">
            <v>4600000</v>
          </cell>
        </row>
        <row r="1610">
          <cell r="F1610" t="str">
            <v>Tangki toren kap. 4 m3</v>
          </cell>
          <cell r="G1610" t="str">
            <v>unit</v>
          </cell>
          <cell r="H1610">
            <v>5500000</v>
          </cell>
        </row>
        <row r="1611">
          <cell r="F1611" t="str">
            <v>Tangki toren kap. 5 m3</v>
          </cell>
          <cell r="G1611" t="str">
            <v>unit</v>
          </cell>
          <cell r="H1611">
            <v>6900000</v>
          </cell>
        </row>
        <row r="1612">
          <cell r="F1612" t="str">
            <v>Tangki toren kap. 5,5 m3</v>
          </cell>
          <cell r="G1612" t="str">
            <v>unit</v>
          </cell>
          <cell r="H1612">
            <v>7100000</v>
          </cell>
        </row>
        <row r="1613">
          <cell r="F1613" t="str">
            <v>Tangki toren kap. 6 m3</v>
          </cell>
          <cell r="G1613" t="str">
            <v>unit</v>
          </cell>
          <cell r="H1613">
            <v>7850000</v>
          </cell>
        </row>
        <row r="1614">
          <cell r="F1614" t="str">
            <v>Tangki Panel FRP kap. 12 m3</v>
          </cell>
          <cell r="G1614" t="str">
            <v xml:space="preserve">unit </v>
          </cell>
          <cell r="H1614">
            <v>15000000</v>
          </cell>
        </row>
        <row r="1615">
          <cell r="F1615" t="str">
            <v>Tangki panel Stainless Steel kapasitas 12 m3 + Material Bantu / Aksesoris</v>
          </cell>
          <cell r="G1615" t="str">
            <v xml:space="preserve">Unit </v>
          </cell>
          <cell r="H1615">
            <v>12500000</v>
          </cell>
        </row>
        <row r="1616">
          <cell r="F1616" t="str">
            <v>Tangki panel GRP
kapasitas 12 m3 +
Material Bantu /
Aksesoris</v>
          </cell>
          <cell r="G1616" t="str">
            <v xml:space="preserve">Unit </v>
          </cell>
          <cell r="H1616">
            <v>12000000</v>
          </cell>
        </row>
        <row r="1617">
          <cell r="F1617" t="str">
            <v>Tangki Toren Kapasitas 0,5 m3</v>
          </cell>
          <cell r="G1617" t="str">
            <v xml:space="preserve">Unit </v>
          </cell>
          <cell r="H1617">
            <v>650000</v>
          </cell>
        </row>
        <row r="1618">
          <cell r="F1618" t="str">
            <v xml:space="preserve">Pompa Jet 30 lpm </v>
          </cell>
          <cell r="G1618" t="str">
            <v>unit</v>
          </cell>
          <cell r="H1618">
            <v>730000</v>
          </cell>
        </row>
        <row r="1619">
          <cell r="F1619" t="str">
            <v>Galian tanah biasa</v>
          </cell>
          <cell r="G1619" t="str">
            <v>m3</v>
          </cell>
          <cell r="H1619">
            <v>45000</v>
          </cell>
        </row>
        <row r="1620">
          <cell r="F1620" t="str">
            <v xml:space="preserve">Urukan Tanah </v>
          </cell>
          <cell r="G1620" t="str">
            <v>m2</v>
          </cell>
          <cell r="H1620">
            <v>65000</v>
          </cell>
        </row>
        <row r="1621">
          <cell r="F1621" t="str">
            <v xml:space="preserve">Timbunan Pasir </v>
          </cell>
          <cell r="G1621" t="str">
            <v>m3</v>
          </cell>
          <cell r="H1621">
            <v>150000</v>
          </cell>
        </row>
        <row r="1622">
          <cell r="F1622" t="str">
            <v xml:space="preserve">Buis Beton 1/2 dia. 30 cm </v>
          </cell>
          <cell r="G1622" t="str">
            <v xml:space="preserve">buah </v>
          </cell>
          <cell r="H1622">
            <v>93000</v>
          </cell>
        </row>
        <row r="1623">
          <cell r="F1623" t="str">
            <v xml:space="preserve">Buis Beton 1/2 dia. 40 cm </v>
          </cell>
          <cell r="G1623" t="str">
            <v xml:space="preserve">buah </v>
          </cell>
          <cell r="H1623">
            <v>110250</v>
          </cell>
        </row>
        <row r="1624">
          <cell r="F1624" t="str">
            <v xml:space="preserve">Buis Beton 1/2 dia. 50 cm </v>
          </cell>
          <cell r="G1624" t="str">
            <v xml:space="preserve">buah </v>
          </cell>
          <cell r="H1624">
            <v>115000</v>
          </cell>
        </row>
        <row r="1625">
          <cell r="F1625" t="str">
            <v xml:space="preserve">Buis Beton 1/2 dia. 60 cm </v>
          </cell>
          <cell r="G1625" t="str">
            <v xml:space="preserve">buah </v>
          </cell>
          <cell r="H1625">
            <v>125500</v>
          </cell>
        </row>
        <row r="1626">
          <cell r="F1626" t="str">
            <v xml:space="preserve">Buis beton 1/2 dia. 80 cm </v>
          </cell>
          <cell r="G1626" t="str">
            <v xml:space="preserve">buah </v>
          </cell>
          <cell r="H1626">
            <v>150600</v>
          </cell>
        </row>
        <row r="1627">
          <cell r="F1627" t="str">
            <v xml:space="preserve">Buis Beton 1/2 dia. 100 cm </v>
          </cell>
          <cell r="G1627" t="str">
            <v xml:space="preserve">buah </v>
          </cell>
          <cell r="H1627">
            <v>190000</v>
          </cell>
        </row>
        <row r="1628">
          <cell r="F1628" t="str">
            <v xml:space="preserve">Buis Beton dia. 30 cm </v>
          </cell>
          <cell r="G1628" t="str">
            <v xml:space="preserve">buah </v>
          </cell>
          <cell r="H1628">
            <v>75000</v>
          </cell>
        </row>
        <row r="1629">
          <cell r="F1629" t="str">
            <v xml:space="preserve">Buis Beton dia. 40 cm </v>
          </cell>
          <cell r="G1629" t="str">
            <v xml:space="preserve">buah </v>
          </cell>
          <cell r="H1629">
            <v>120000</v>
          </cell>
        </row>
        <row r="1630">
          <cell r="F1630" t="str">
            <v xml:space="preserve">Buis Beton dia. 50 cm </v>
          </cell>
          <cell r="G1630" t="str">
            <v xml:space="preserve">buah </v>
          </cell>
          <cell r="H1630">
            <v>150000</v>
          </cell>
        </row>
        <row r="1631">
          <cell r="F1631" t="str">
            <v xml:space="preserve">Buis Beton dia. 60 cm </v>
          </cell>
          <cell r="G1631" t="str">
            <v xml:space="preserve">buah </v>
          </cell>
          <cell r="H1631">
            <v>250000</v>
          </cell>
        </row>
        <row r="1632">
          <cell r="F1632" t="str">
            <v xml:space="preserve">Buis beton dia. 80 cm </v>
          </cell>
          <cell r="G1632" t="str">
            <v xml:space="preserve">buah </v>
          </cell>
          <cell r="H1632">
            <v>255400</v>
          </cell>
        </row>
        <row r="1633">
          <cell r="F1633" t="str">
            <v xml:space="preserve">Buis Beton dia. 100 cm </v>
          </cell>
          <cell r="G1633" t="str">
            <v xml:space="preserve">buah </v>
          </cell>
          <cell r="H1633">
            <v>269500</v>
          </cell>
        </row>
        <row r="1634">
          <cell r="F1634" t="str">
            <v xml:space="preserve">Ijuk </v>
          </cell>
          <cell r="G1634" t="str">
            <v xml:space="preserve">kg </v>
          </cell>
          <cell r="H1634">
            <v>7000</v>
          </cell>
        </row>
        <row r="1635">
          <cell r="F1635" t="str">
            <v xml:space="preserve">Beton </v>
          </cell>
          <cell r="G1635" t="str">
            <v>m3</v>
          </cell>
          <cell r="H1635">
            <v>825000</v>
          </cell>
        </row>
        <row r="1636">
          <cell r="F1636" t="str">
            <v xml:space="preserve">tulangan </v>
          </cell>
          <cell r="G1636" t="str">
            <v>kg</v>
          </cell>
          <cell r="H1636">
            <v>10300</v>
          </cell>
        </row>
        <row r="1637">
          <cell r="F1637" t="str">
            <v xml:space="preserve">Bekisting </v>
          </cell>
          <cell r="G1637" t="str">
            <v>m2</v>
          </cell>
          <cell r="H1637">
            <v>37500</v>
          </cell>
        </row>
        <row r="1638">
          <cell r="F1638" t="str">
            <v>Kanstin uk. 10x20x40</v>
          </cell>
          <cell r="G1638" t="str">
            <v xml:space="preserve">Buah </v>
          </cell>
          <cell r="H1638">
            <v>27383</v>
          </cell>
        </row>
        <row r="1639">
          <cell r="F1639" t="str">
            <v>Kanstin uk. 15x40x60</v>
          </cell>
          <cell r="G1639" t="str">
            <v xml:space="preserve">buah </v>
          </cell>
          <cell r="H1639">
            <v>93000</v>
          </cell>
        </row>
        <row r="1640">
          <cell r="F1640" t="str">
            <v>Box Culvert 40x40x100 cm</v>
          </cell>
          <cell r="G1640" t="str">
            <v xml:space="preserve">buah </v>
          </cell>
          <cell r="H1640">
            <v>855000</v>
          </cell>
        </row>
        <row r="1641">
          <cell r="F1641" t="str">
            <v>Box Culvert 50x50x100 cm</v>
          </cell>
          <cell r="G1641" t="str">
            <v xml:space="preserve">buah </v>
          </cell>
          <cell r="H1641">
            <v>1119000</v>
          </cell>
        </row>
        <row r="1642">
          <cell r="F1642" t="str">
            <v>Box Culvert 60x60x100 cm</v>
          </cell>
          <cell r="G1642" t="str">
            <v xml:space="preserve">buah </v>
          </cell>
          <cell r="H1642">
            <v>1504000</v>
          </cell>
        </row>
        <row r="1643">
          <cell r="F1643" t="str">
            <v>Box Culvert 80x80x100 cm</v>
          </cell>
          <cell r="G1643" t="str">
            <v xml:space="preserve">buah </v>
          </cell>
          <cell r="H1643">
            <v>2560000</v>
          </cell>
        </row>
        <row r="1644">
          <cell r="F1644" t="str">
            <v>Box Culvert 100x100x100 cm</v>
          </cell>
          <cell r="G1644" t="str">
            <v xml:space="preserve">buah </v>
          </cell>
          <cell r="H1644">
            <v>3052000</v>
          </cell>
        </row>
        <row r="1645">
          <cell r="F1645" t="str">
            <v>Box Culvert 150x150x100 cm</v>
          </cell>
          <cell r="G1645" t="str">
            <v xml:space="preserve">buah </v>
          </cell>
          <cell r="H1645">
            <v>3570000</v>
          </cell>
        </row>
        <row r="1646">
          <cell r="F1646" t="str">
            <v>Box Culvert 200x200x100 cm</v>
          </cell>
          <cell r="G1646" t="str">
            <v xml:space="preserve">buah </v>
          </cell>
          <cell r="H1646">
            <v>3930000</v>
          </cell>
        </row>
        <row r="1647">
          <cell r="F1647" t="str">
            <v>Box Culvert 300x300x100 cm</v>
          </cell>
          <cell r="G1647" t="str">
            <v xml:space="preserve">buah </v>
          </cell>
          <cell r="H1647">
            <v>4110000</v>
          </cell>
        </row>
        <row r="1648">
          <cell r="F1648" t="str">
            <v>Tempat  sabun gantung</v>
          </cell>
          <cell r="G1648" t="str">
            <v>buah</v>
          </cell>
          <cell r="H1648">
            <v>70100</v>
          </cell>
        </row>
        <row r="1649">
          <cell r="F1649" t="str">
            <v>Tempat  sabun tanam</v>
          </cell>
          <cell r="G1649" t="str">
            <v>buah</v>
          </cell>
          <cell r="H1649">
            <v>53300</v>
          </cell>
        </row>
        <row r="1650">
          <cell r="F1650" t="str">
            <v>Tissue holder</v>
          </cell>
          <cell r="G1650" t="str">
            <v>buah</v>
          </cell>
          <cell r="H1650">
            <v>150000</v>
          </cell>
        </row>
        <row r="1651">
          <cell r="F1651" t="str">
            <v>Towel bar</v>
          </cell>
          <cell r="G1651" t="str">
            <v>buah</v>
          </cell>
          <cell r="H1651">
            <v>150000</v>
          </cell>
        </row>
        <row r="1652">
          <cell r="F1652" t="str">
            <v>Urinoir</v>
          </cell>
          <cell r="G1652" t="str">
            <v>buah</v>
          </cell>
          <cell r="H1652">
            <v>456800</v>
          </cell>
        </row>
        <row r="1653">
          <cell r="F1653" t="str">
            <v>Wastafel</v>
          </cell>
          <cell r="G1653" t="str">
            <v>buah</v>
          </cell>
          <cell r="H1653">
            <v>325100</v>
          </cell>
        </row>
        <row r="1654">
          <cell r="F1654" t="str">
            <v>Water drain</v>
          </cell>
          <cell r="G1654" t="str">
            <v>set</v>
          </cell>
          <cell r="H1654">
            <v>321900</v>
          </cell>
        </row>
        <row r="1655">
          <cell r="F1655" t="str">
            <v>MATERIAL MINYAK</v>
          </cell>
        </row>
        <row r="1656">
          <cell r="F1656" t="str">
            <v>Bensin</v>
          </cell>
          <cell r="G1656" t="str">
            <v>liter</v>
          </cell>
          <cell r="H1656">
            <v>7800</v>
          </cell>
        </row>
        <row r="1657">
          <cell r="F1657" t="str">
            <v>Bensin (industri)</v>
          </cell>
          <cell r="G1657" t="str">
            <v>liter</v>
          </cell>
          <cell r="H1657">
            <v>8100</v>
          </cell>
        </row>
        <row r="1658">
          <cell r="F1658" t="str">
            <v>Bentonite</v>
          </cell>
          <cell r="G1658" t="str">
            <v>m3</v>
          </cell>
          <cell r="H1658">
            <v>20000000</v>
          </cell>
        </row>
        <row r="1659">
          <cell r="F1659" t="str">
            <v>Cairan perontok karat</v>
          </cell>
          <cell r="G1659" t="str">
            <v>kg</v>
          </cell>
          <cell r="H1659">
            <v>20000</v>
          </cell>
        </row>
        <row r="1660">
          <cell r="F1660" t="str">
            <v>Cuka bibit</v>
          </cell>
          <cell r="G1660" t="str">
            <v>liter</v>
          </cell>
          <cell r="H1660">
            <v>50000</v>
          </cell>
        </row>
        <row r="1661">
          <cell r="F1661" t="str">
            <v>Minyak bekisting</v>
          </cell>
          <cell r="G1661" t="str">
            <v>liter</v>
          </cell>
          <cell r="H1661">
            <v>16800</v>
          </cell>
        </row>
        <row r="1662">
          <cell r="F1662" t="str">
            <v>Minyak cat</v>
          </cell>
          <cell r="G1662" t="str">
            <v>kg</v>
          </cell>
          <cell r="H1662">
            <v>24000</v>
          </cell>
        </row>
        <row r="1663">
          <cell r="F1663" t="str">
            <v>Minyak pelumas</v>
          </cell>
          <cell r="G1663" t="str">
            <v>liter</v>
          </cell>
          <cell r="H1663">
            <v>28000</v>
          </cell>
        </row>
        <row r="1664">
          <cell r="F1664" t="str">
            <v>Minyak tanah</v>
          </cell>
          <cell r="G1664" t="str">
            <v>liter</v>
          </cell>
          <cell r="H1664">
            <v>15300</v>
          </cell>
        </row>
        <row r="1665">
          <cell r="F1665" t="str">
            <v>Oli hidrolis</v>
          </cell>
          <cell r="G1665" t="str">
            <v>liter</v>
          </cell>
          <cell r="H1665">
            <v>31300</v>
          </cell>
        </row>
        <row r="1666">
          <cell r="F1666" t="str">
            <v>Oli mesin</v>
          </cell>
          <cell r="G1666" t="str">
            <v>liter</v>
          </cell>
          <cell r="H1666">
            <v>30300</v>
          </cell>
        </row>
        <row r="1667">
          <cell r="F1667" t="str">
            <v>Premium (industri)</v>
          </cell>
          <cell r="G1667" t="str">
            <v>liter</v>
          </cell>
          <cell r="H1667">
            <v>9400</v>
          </cell>
        </row>
        <row r="1668">
          <cell r="F1668" t="str">
            <v>Residu</v>
          </cell>
          <cell r="G1668" t="str">
            <v>liter</v>
          </cell>
          <cell r="H1668">
            <v>21000</v>
          </cell>
        </row>
        <row r="1669">
          <cell r="F1669" t="str">
            <v>Solar</v>
          </cell>
          <cell r="G1669" t="str">
            <v>liter</v>
          </cell>
          <cell r="H1669">
            <v>6500</v>
          </cell>
        </row>
        <row r="1670">
          <cell r="F1670" t="str">
            <v>Solar (industri)</v>
          </cell>
          <cell r="G1670" t="str">
            <v>liter</v>
          </cell>
          <cell r="H1670">
            <v>8800</v>
          </cell>
        </row>
        <row r="1671">
          <cell r="F1671" t="str">
            <v>Steamvet</v>
          </cell>
          <cell r="G1671" t="str">
            <v>liter</v>
          </cell>
          <cell r="H1671">
            <v>51000</v>
          </cell>
        </row>
        <row r="1672">
          <cell r="F1672" t="str">
            <v>Teak oil</v>
          </cell>
          <cell r="G1672" t="str">
            <v>liter</v>
          </cell>
          <cell r="H1672">
            <v>29200</v>
          </cell>
        </row>
        <row r="1673">
          <cell r="F1673" t="str">
            <v>Thinner</v>
          </cell>
          <cell r="G1673" t="str">
            <v>liter</v>
          </cell>
          <cell r="H1673">
            <v>21800</v>
          </cell>
        </row>
        <row r="1674">
          <cell r="F1674" t="str">
            <v>Thinner A</v>
          </cell>
          <cell r="G1674" t="str">
            <v>liter</v>
          </cell>
          <cell r="H1674">
            <v>18800</v>
          </cell>
        </row>
        <row r="1675">
          <cell r="F1675" t="str">
            <v>MATERIAL ALUMINIUM DAN BESI</v>
          </cell>
        </row>
        <row r="1676">
          <cell r="F1676" t="str">
            <v>Aluminium composite panel</v>
          </cell>
          <cell r="G1676" t="str">
            <v>m2</v>
          </cell>
          <cell r="H1676">
            <v>225800</v>
          </cell>
        </row>
        <row r="1677">
          <cell r="F1677" t="str">
            <v>Aluminium spandrel 10x600 cm</v>
          </cell>
          <cell r="G1677" t="str">
            <v>lembar</v>
          </cell>
          <cell r="H1677">
            <v>200000</v>
          </cell>
        </row>
        <row r="1678">
          <cell r="F1678" t="str">
            <v>Aluminium strip</v>
          </cell>
          <cell r="G1678" t="str">
            <v>m'</v>
          </cell>
          <cell r="H1678">
            <v>50000</v>
          </cell>
        </row>
        <row r="1679">
          <cell r="F1679" t="str">
            <v>Besi as  drat</v>
          </cell>
          <cell r="G1679" t="str">
            <v>kg</v>
          </cell>
          <cell r="H1679">
            <v>40200</v>
          </cell>
        </row>
        <row r="1680">
          <cell r="F1680" t="str">
            <v>Besi profil</v>
          </cell>
          <cell r="G1680" t="str">
            <v>kg</v>
          </cell>
          <cell r="H1680">
            <v>34500</v>
          </cell>
        </row>
        <row r="1681">
          <cell r="F1681" t="str">
            <v>Blok besi cor type skep</v>
          </cell>
          <cell r="G1681" t="str">
            <v>bh</v>
          </cell>
          <cell r="H1681">
            <v>1055700</v>
          </cell>
        </row>
        <row r="1682">
          <cell r="F1682" t="str">
            <v>Blok besi type ronsel</v>
          </cell>
          <cell r="G1682" t="str">
            <v>bh</v>
          </cell>
          <cell r="H1682">
            <v>1508800</v>
          </cell>
        </row>
        <row r="1683">
          <cell r="F1683" t="str">
            <v>Buis  brons</v>
          </cell>
          <cell r="G1683" t="str">
            <v>bh</v>
          </cell>
          <cell r="H1683">
            <v>422000</v>
          </cell>
        </row>
        <row r="1684">
          <cell r="F1684" t="str">
            <v>C  channel galvanis  lebar 40 mm</v>
          </cell>
          <cell r="G1684" t="str">
            <v>m'</v>
          </cell>
          <cell r="H1684">
            <v>10700</v>
          </cell>
        </row>
        <row r="1685">
          <cell r="F1685" t="str">
            <v>C  channel galvanis  lebar 75 mm</v>
          </cell>
          <cell r="G1685" t="str">
            <v>m'</v>
          </cell>
          <cell r="H1685">
            <v>13600</v>
          </cell>
        </row>
        <row r="1686">
          <cell r="F1686" t="str">
            <v>Cat  meni</v>
          </cell>
          <cell r="G1686" t="str">
            <v>kg</v>
          </cell>
          <cell r="H1686">
            <v>50600</v>
          </cell>
        </row>
        <row r="1687">
          <cell r="F1687" t="str">
            <v>Daun Pintu HDF 36x720x2100</v>
          </cell>
          <cell r="G1687" t="str">
            <v>unit</v>
          </cell>
          <cell r="H1687">
            <v>475000</v>
          </cell>
        </row>
        <row r="1688">
          <cell r="F1688" t="str">
            <v xml:space="preserve">Pintu uPVC lebar 80 cm </v>
          </cell>
          <cell r="G1688" t="str">
            <v xml:space="preserve">buah </v>
          </cell>
          <cell r="H1688">
            <v>1043100</v>
          </cell>
        </row>
        <row r="1689">
          <cell r="F1689" t="str">
            <v xml:space="preserve">Pintu uPVC lebar 70 cm </v>
          </cell>
          <cell r="G1689" t="str">
            <v xml:space="preserve">buah </v>
          </cell>
          <cell r="H1689">
            <v>730000</v>
          </cell>
        </row>
        <row r="1690">
          <cell r="F1690" t="str">
            <v>Frame aluminium</v>
          </cell>
          <cell r="G1690" t="str">
            <v>m'</v>
          </cell>
          <cell r="H1690">
            <v>38333</v>
          </cell>
        </row>
        <row r="1691">
          <cell r="F1691" t="str">
            <v>Rangka Aluminium</v>
          </cell>
          <cell r="G1691" t="str">
            <v>m'</v>
          </cell>
          <cell r="H1691">
            <v>39000</v>
          </cell>
        </row>
        <row r="1692">
          <cell r="F1692" t="str">
            <v>Gembok</v>
          </cell>
          <cell r="G1692" t="str">
            <v>bh</v>
          </cell>
          <cell r="H1692">
            <v>102300</v>
          </cell>
        </row>
        <row r="1693">
          <cell r="F1693" t="str">
            <v>Grease</v>
          </cell>
          <cell r="G1693" t="str">
            <v>kg</v>
          </cell>
          <cell r="H1693">
            <v>67800</v>
          </cell>
        </row>
        <row r="1694">
          <cell r="F1694" t="str">
            <v>Hollow  galvanis  20x40x0,4 mm</v>
          </cell>
          <cell r="G1694" t="str">
            <v>m'</v>
          </cell>
          <cell r="H1694">
            <v>7500</v>
          </cell>
        </row>
        <row r="1695">
          <cell r="F1695" t="str">
            <v>Metal Hollow 20x40 mm</v>
          </cell>
          <cell r="G1695" t="str">
            <v>m'</v>
          </cell>
          <cell r="H1695">
            <v>7500</v>
          </cell>
        </row>
        <row r="1696">
          <cell r="F1696" t="str">
            <v>Hollow galvanis 40x40x0,4 mm</v>
          </cell>
          <cell r="G1696" t="str">
            <v>m'</v>
          </cell>
          <cell r="H1696">
            <v>10700</v>
          </cell>
        </row>
        <row r="1697">
          <cell r="F1697" t="str">
            <v>Jalusi aluminium</v>
          </cell>
          <cell r="G1697" t="str">
            <v>m2</v>
          </cell>
          <cell r="H1697">
            <v>600000</v>
          </cell>
        </row>
        <row r="1698">
          <cell r="F1698" t="str">
            <v>Jalusi uPVC</v>
          </cell>
          <cell r="G1698" t="str">
            <v xml:space="preserve">buah </v>
          </cell>
          <cell r="H1698">
            <v>49500</v>
          </cell>
        </row>
        <row r="1699">
          <cell r="F1699" t="str">
            <v>Kontra mur type ronsel</v>
          </cell>
          <cell r="G1699" t="str">
            <v>bh</v>
          </cell>
          <cell r="H1699">
            <v>343800</v>
          </cell>
        </row>
        <row r="1700">
          <cell r="F1700" t="str">
            <v>Kontra mur type skep</v>
          </cell>
          <cell r="G1700" t="str">
            <v>bh</v>
          </cell>
          <cell r="H1700">
            <v>301300</v>
          </cell>
        </row>
        <row r="1701">
          <cell r="F1701" t="str">
            <v>kopel/universal join</v>
          </cell>
          <cell r="G1701" t="str">
            <v>bh</v>
          </cell>
          <cell r="H1701">
            <v>542800</v>
          </cell>
        </row>
        <row r="1702">
          <cell r="F1702" t="str">
            <v>Kusen aluminium 4"  putih</v>
          </cell>
          <cell r="G1702" t="str">
            <v>m'</v>
          </cell>
          <cell r="H1702">
            <v>107000</v>
          </cell>
        </row>
        <row r="1703">
          <cell r="F1703" t="str">
            <v>Kusen Bovenlight Upvc</v>
          </cell>
          <cell r="G1703" t="str">
            <v xml:space="preserve">bauh </v>
          </cell>
          <cell r="H1703">
            <v>270000</v>
          </cell>
        </row>
        <row r="1704">
          <cell r="F1704" t="str">
            <v>Lager type ronsel</v>
          </cell>
          <cell r="G1704" t="str">
            <v>bh</v>
          </cell>
          <cell r="H1704">
            <v>905000</v>
          </cell>
        </row>
        <row r="1705">
          <cell r="F1705" t="str">
            <v>Lager type skep</v>
          </cell>
          <cell r="G1705" t="str">
            <v>bh</v>
          </cell>
          <cell r="H1705">
            <v>693400</v>
          </cell>
        </row>
        <row r="1706">
          <cell r="F1706" t="str">
            <v>Mur baut  1/2"  x  4"</v>
          </cell>
          <cell r="G1706" t="str">
            <v>bh</v>
          </cell>
          <cell r="H1706">
            <v>16100</v>
          </cell>
        </row>
        <row r="1707">
          <cell r="F1707" t="str">
            <v>Mur baut  5/8"  x  4"</v>
          </cell>
          <cell r="G1707" t="str">
            <v>bh</v>
          </cell>
          <cell r="H1707">
            <v>19500</v>
          </cell>
        </row>
        <row r="1708">
          <cell r="F1708" t="str">
            <v>Mur baut  M8 steinless</v>
          </cell>
          <cell r="G1708" t="str">
            <v>bh</v>
          </cell>
          <cell r="H1708">
            <v>19500</v>
          </cell>
        </row>
        <row r="1709">
          <cell r="F1709" t="str">
            <v xml:space="preserve">Baut dan Mur f12 L=4" </v>
          </cell>
          <cell r="G1709" t="str">
            <v xml:space="preserve">buah </v>
          </cell>
          <cell r="H1709">
            <v>20000</v>
          </cell>
        </row>
        <row r="1710">
          <cell r="F1710" t="str">
            <v>Baut dan Mur f12, L=6"</v>
          </cell>
          <cell r="G1710" t="str">
            <v xml:space="preserve">buah </v>
          </cell>
          <cell r="H1710">
            <v>22000</v>
          </cell>
        </row>
        <row r="1711">
          <cell r="F1711" t="str">
            <v>Baut dan Mur f12, L=7"</v>
          </cell>
          <cell r="G1711" t="str">
            <v xml:space="preserve">buah </v>
          </cell>
          <cell r="H1711">
            <v>23000</v>
          </cell>
        </row>
        <row r="1712">
          <cell r="F1712" t="str">
            <v xml:space="preserve">Ring Plat </v>
          </cell>
          <cell r="G1712" t="str">
            <v xml:space="preserve">buah </v>
          </cell>
          <cell r="H1712">
            <v>2500</v>
          </cell>
        </row>
        <row r="1713">
          <cell r="F1713" t="str">
            <v>Mur brons  ronsel</v>
          </cell>
          <cell r="G1713" t="str">
            <v>kg</v>
          </cell>
          <cell r="H1713">
            <v>210400</v>
          </cell>
        </row>
        <row r="1714">
          <cell r="F1714" t="str">
            <v>Mur brons  type skep</v>
          </cell>
          <cell r="G1714" t="str">
            <v>kg</v>
          </cell>
          <cell r="H1714">
            <v>210400</v>
          </cell>
        </row>
        <row r="1715">
          <cell r="F1715" t="str">
            <v>Pen spindie type ronsel</v>
          </cell>
          <cell r="G1715" t="str">
            <v>bh</v>
          </cell>
          <cell r="H1715">
            <v>102300</v>
          </cell>
        </row>
        <row r="1716">
          <cell r="F1716" t="str">
            <v>Penyangga roda gigi</v>
          </cell>
          <cell r="G1716" t="str">
            <v>bh</v>
          </cell>
          <cell r="H1716">
            <v>542800</v>
          </cell>
        </row>
        <row r="1717">
          <cell r="F1717" t="str">
            <v>Pintu alluminium</v>
          </cell>
          <cell r="G1717" t="str">
            <v>m'</v>
          </cell>
          <cell r="H1717">
            <v>73600</v>
          </cell>
        </row>
        <row r="1718">
          <cell r="F1718" t="str">
            <v>Pintu KM  aluminium</v>
          </cell>
          <cell r="G1718" t="str">
            <v>unit</v>
          </cell>
          <cell r="H1718">
            <v>1500000</v>
          </cell>
        </row>
        <row r="1719">
          <cell r="F1719" t="str">
            <v>Pintu lipat  besi</v>
          </cell>
          <cell r="G1719" t="str">
            <v>m2</v>
          </cell>
          <cell r="H1719">
            <v>494200</v>
          </cell>
        </row>
        <row r="1720">
          <cell r="F1720" t="str">
            <v>Pintu lipat PVC</v>
          </cell>
          <cell r="G1720" t="str">
            <v>m2</v>
          </cell>
          <cell r="H1720">
            <v>750000</v>
          </cell>
        </row>
        <row r="1721">
          <cell r="F1721" t="str">
            <v>Plat  peluncur</v>
          </cell>
          <cell r="G1721" t="str">
            <v>kg</v>
          </cell>
          <cell r="H1721">
            <v>210400</v>
          </cell>
        </row>
        <row r="1722">
          <cell r="F1722" t="str">
            <v>Plat besi 3 mm</v>
          </cell>
          <cell r="G1722" t="str">
            <v>kg</v>
          </cell>
          <cell r="H1722">
            <v>34500</v>
          </cell>
        </row>
        <row r="1723">
          <cell r="F1723" t="str">
            <v>Profil aluminium</v>
          </cell>
          <cell r="G1723" t="str">
            <v>m'</v>
          </cell>
          <cell r="H1723">
            <v>130000</v>
          </cell>
        </row>
        <row r="1724">
          <cell r="F1724" t="str">
            <v>Profil Aluminium ”T”</v>
          </cell>
          <cell r="G1724" t="str">
            <v>m'</v>
          </cell>
          <cell r="H1724">
            <v>15000</v>
          </cell>
        </row>
        <row r="1725">
          <cell r="F1725" t="str">
            <v>Profil slimar aluminium</v>
          </cell>
          <cell r="G1725" t="str">
            <v>m'</v>
          </cell>
          <cell r="H1725">
            <v>60000</v>
          </cell>
        </row>
        <row r="1726">
          <cell r="F1726" t="str">
            <v>Rangka metal hollow 40.40.1,2 mm</v>
          </cell>
          <cell r="G1726" t="str">
            <v>m'</v>
          </cell>
          <cell r="H1726">
            <v>16200</v>
          </cell>
        </row>
        <row r="1727">
          <cell r="F1727" t="str">
            <v>Rangka metal hollow 40.40.2 mm</v>
          </cell>
          <cell r="G1727" t="str">
            <v>m'</v>
          </cell>
          <cell r="H1727">
            <v>19000</v>
          </cell>
        </row>
        <row r="1728">
          <cell r="F1728" t="str">
            <v>roda gigi nanas</v>
          </cell>
          <cell r="G1728" t="str">
            <v>bh</v>
          </cell>
          <cell r="H1728">
            <v>1025800</v>
          </cell>
        </row>
        <row r="1729">
          <cell r="F1729" t="str">
            <v>Roda gigi pinggiran</v>
          </cell>
          <cell r="G1729" t="str">
            <v>bh</v>
          </cell>
          <cell r="H1729">
            <v>1750300</v>
          </cell>
        </row>
        <row r="1730">
          <cell r="F1730" t="str">
            <v>Rolling door aluminium</v>
          </cell>
          <cell r="G1730" t="str">
            <v>m2</v>
          </cell>
          <cell r="H1730">
            <v>600600</v>
          </cell>
        </row>
        <row r="1731">
          <cell r="F1731" t="str">
            <v>Rolling door besi</v>
          </cell>
          <cell r="G1731" t="str">
            <v>m2</v>
          </cell>
          <cell r="H1731">
            <v>509100</v>
          </cell>
        </row>
        <row r="1732">
          <cell r="F1732" t="str">
            <v>Rubber seal</v>
          </cell>
          <cell r="G1732" t="str">
            <v>m'</v>
          </cell>
          <cell r="H1732">
            <v>1811200</v>
          </cell>
        </row>
        <row r="1733">
          <cell r="F1733" t="str">
            <v>Sliding pintu J4</v>
          </cell>
          <cell r="G1733" t="str">
            <v>buah</v>
          </cell>
          <cell r="H1733">
            <v>456000</v>
          </cell>
        </row>
        <row r="1734">
          <cell r="F1734" t="str">
            <v>Stang draft  diameter 1,5"  +  mur baut</v>
          </cell>
          <cell r="G1734" t="str">
            <v>m'</v>
          </cell>
          <cell r="H1734">
            <v>2750000</v>
          </cell>
        </row>
        <row r="1735">
          <cell r="F1735" t="str">
            <v>Stang draft  diameter 1,75"  +  mur baut</v>
          </cell>
          <cell r="G1735" t="str">
            <v>m'</v>
          </cell>
          <cell r="H1735">
            <v>3150000</v>
          </cell>
        </row>
        <row r="1736">
          <cell r="F1736" t="str">
            <v>Stang draft  diameter 2"  +  mur baut</v>
          </cell>
          <cell r="G1736" t="str">
            <v>m'</v>
          </cell>
          <cell r="H1736">
            <v>3500000</v>
          </cell>
        </row>
        <row r="1737">
          <cell r="F1737" t="str">
            <v>Stang draft  diameter 2,25"  +  mur baut</v>
          </cell>
          <cell r="G1737" t="str">
            <v>m'</v>
          </cell>
          <cell r="H1737">
            <v>3800000</v>
          </cell>
        </row>
        <row r="1738">
          <cell r="F1738" t="str">
            <v>Stang gembok</v>
          </cell>
          <cell r="G1738" t="str">
            <v>bh</v>
          </cell>
          <cell r="H1738">
            <v>78200</v>
          </cell>
        </row>
        <row r="1739">
          <cell r="F1739" t="str">
            <v>Stang pemutar type ronsel</v>
          </cell>
          <cell r="G1739" t="str">
            <v>bh</v>
          </cell>
          <cell r="H1739">
            <v>1146500</v>
          </cell>
        </row>
        <row r="1740">
          <cell r="F1740" t="str">
            <v>Stang pemutar type skep</v>
          </cell>
          <cell r="G1740" t="str">
            <v>bh</v>
          </cell>
          <cell r="H1740">
            <v>633600</v>
          </cell>
        </row>
        <row r="1741">
          <cell r="F1741" t="str">
            <v>Sunscreen aluminium</v>
          </cell>
          <cell r="G1741" t="str">
            <v>m2</v>
          </cell>
          <cell r="H1741">
            <v>381900</v>
          </cell>
        </row>
        <row r="1742">
          <cell r="F1742" t="str">
            <v>Talang galvalum lebar 50 cm tebal 0,4 mm</v>
          </cell>
          <cell r="G1742" t="str">
            <v>m'</v>
          </cell>
          <cell r="H1742">
            <v>53300</v>
          </cell>
        </row>
        <row r="1743">
          <cell r="F1743" t="str">
            <v>Talang datar/jurai seng lebar 90cm</v>
          </cell>
          <cell r="G1743" t="str">
            <v>m</v>
          </cell>
          <cell r="H1743">
            <v>75000</v>
          </cell>
        </row>
        <row r="1744">
          <cell r="F1744" t="str">
            <v xml:space="preserve">Talang Seng 1/2 lingkaran diameter 15cm </v>
          </cell>
          <cell r="G1744" t="str">
            <v>m</v>
          </cell>
          <cell r="H1744">
            <v>133000</v>
          </cell>
        </row>
        <row r="1745">
          <cell r="F1745" t="str">
            <v>Thinner</v>
          </cell>
          <cell r="G1745" t="str">
            <v>ltr</v>
          </cell>
          <cell r="H1745">
            <v>35600</v>
          </cell>
        </row>
        <row r="1746">
          <cell r="F1746" t="str">
            <v>MATERIAL LISTRIK</v>
          </cell>
        </row>
        <row r="1747">
          <cell r="F1747" t="str">
            <v>Hanger tray panjang 2,5 m</v>
          </cell>
          <cell r="G1747" t="str">
            <v>buah</v>
          </cell>
          <cell r="H1747">
            <v>300000</v>
          </cell>
        </row>
        <row r="1748">
          <cell r="F1748" t="str">
            <v>Kabel BCC 10 mm² (0,10 kg/m)</v>
          </cell>
          <cell r="G1748" t="str">
            <v>m'</v>
          </cell>
          <cell r="H1748">
            <v>29000</v>
          </cell>
        </row>
        <row r="1749">
          <cell r="F1749" t="str">
            <v>Kabel BCC 16 mm² (0,16 kg/m)</v>
          </cell>
          <cell r="G1749" t="str">
            <v>m'</v>
          </cell>
          <cell r="H1749">
            <v>33000</v>
          </cell>
        </row>
        <row r="1750">
          <cell r="F1750" t="str">
            <v>Kabel BCC 25 mm² (0,25 kg/m)</v>
          </cell>
          <cell r="G1750" t="str">
            <v>m'</v>
          </cell>
          <cell r="H1750">
            <v>53000</v>
          </cell>
        </row>
        <row r="1751">
          <cell r="F1751" t="str">
            <v>Kabel BCC 35 mm² (0,35 kg/m)</v>
          </cell>
          <cell r="G1751" t="str">
            <v>m'</v>
          </cell>
          <cell r="H1751">
            <v>72000</v>
          </cell>
        </row>
        <row r="1752">
          <cell r="F1752" t="str">
            <v>Kabel BCC 4 mm² (0,04 kg/m)</v>
          </cell>
          <cell r="G1752" t="str">
            <v>m'</v>
          </cell>
          <cell r="H1752">
            <v>12000</v>
          </cell>
        </row>
        <row r="1753">
          <cell r="F1753" t="str">
            <v>Kabel BCC 50 mm² (0,50 kg/m)</v>
          </cell>
          <cell r="G1753" t="str">
            <v>m'</v>
          </cell>
          <cell r="H1753">
            <v>95500</v>
          </cell>
        </row>
        <row r="1754">
          <cell r="F1754" t="str">
            <v>Kabel BCC 6 mm² (0,06 kg/m)</v>
          </cell>
          <cell r="G1754" t="str">
            <v>m'</v>
          </cell>
          <cell r="H1754">
            <v>13200</v>
          </cell>
        </row>
        <row r="1755">
          <cell r="F1755" t="str">
            <v>BCC 6 mm2 (0,06 kg/m) dan aksesoris</v>
          </cell>
          <cell r="G1755" t="str">
            <v>m'</v>
          </cell>
          <cell r="H1755">
            <v>38300</v>
          </cell>
        </row>
        <row r="1756">
          <cell r="F1756" t="str">
            <v>Kabel BCC 70 mm² (0,70 kg/m)</v>
          </cell>
          <cell r="G1756" t="str">
            <v>m'</v>
          </cell>
          <cell r="H1756">
            <v>136000</v>
          </cell>
        </row>
        <row r="1757">
          <cell r="F1757" t="str">
            <v>Kabel BCC 95 mm² (0,95 kg/m)</v>
          </cell>
          <cell r="G1757" t="str">
            <v>m'</v>
          </cell>
          <cell r="H1757">
            <v>185000</v>
          </cell>
        </row>
        <row r="1758">
          <cell r="F1758" t="str">
            <v>Kabel FRC 1 x 150 mm²</v>
          </cell>
          <cell r="G1758" t="str">
            <v>m'</v>
          </cell>
          <cell r="H1758">
            <v>275000</v>
          </cell>
        </row>
        <row r="1759">
          <cell r="F1759" t="str">
            <v>Kabel FRC 2 x 1,5 mm²</v>
          </cell>
          <cell r="G1759" t="str">
            <v>m'</v>
          </cell>
          <cell r="H1759">
            <v>23000</v>
          </cell>
        </row>
        <row r="1760">
          <cell r="F1760" t="str">
            <v>Kabel FRC 2 x 1,5 mm2 + PVC Conduit HI 20 mm dan aksesoris</v>
          </cell>
          <cell r="G1760" t="str">
            <v>m'</v>
          </cell>
          <cell r="H1760">
            <v>27100</v>
          </cell>
        </row>
        <row r="1761">
          <cell r="F1761" t="str">
            <v>Kabel FRC 2 x 2,5 mm²</v>
          </cell>
          <cell r="G1761" t="str">
            <v>m'</v>
          </cell>
          <cell r="H1761">
            <v>33500</v>
          </cell>
        </row>
        <row r="1762">
          <cell r="F1762" t="str">
            <v>Kabel FRC 2 x 2,5 mm2 + PVC Conduit HI 20 mm dan aksesoris</v>
          </cell>
          <cell r="G1762" t="str">
            <v>m'</v>
          </cell>
          <cell r="H1762">
            <v>37600</v>
          </cell>
        </row>
        <row r="1763">
          <cell r="F1763" t="str">
            <v>Kabel FRC 3 x 2,5 mm²</v>
          </cell>
          <cell r="G1763" t="str">
            <v>m'</v>
          </cell>
          <cell r="H1763">
            <v>40000</v>
          </cell>
        </row>
        <row r="1764">
          <cell r="F1764" t="str">
            <v>Kabel FRC 4 x 150 mm²</v>
          </cell>
          <cell r="G1764" t="str">
            <v>m'</v>
          </cell>
          <cell r="H1764">
            <v>1607400</v>
          </cell>
        </row>
        <row r="1765">
          <cell r="F1765" t="str">
            <v>Kabel FRC 4 x 4 mm²</v>
          </cell>
          <cell r="G1765" t="str">
            <v>m'</v>
          </cell>
          <cell r="H1765">
            <v>90000</v>
          </cell>
        </row>
        <row r="1766">
          <cell r="F1766" t="str">
            <v>Kabel FRC 4 x 6 mm²</v>
          </cell>
          <cell r="G1766" t="str">
            <v>m'</v>
          </cell>
          <cell r="H1766">
            <v>110000</v>
          </cell>
        </row>
        <row r="1767">
          <cell r="F1767" t="str">
            <v>Kabel NYA 1 x 1,5 mm²</v>
          </cell>
          <cell r="G1767" t="str">
            <v>m'</v>
          </cell>
          <cell r="H1767">
            <v>3200</v>
          </cell>
        </row>
        <row r="1768">
          <cell r="F1768" t="str">
            <v>Kabel NYA 1 x 10 mm²</v>
          </cell>
          <cell r="G1768" t="str">
            <v>m'</v>
          </cell>
          <cell r="H1768">
            <v>20000</v>
          </cell>
        </row>
        <row r="1769">
          <cell r="F1769" t="str">
            <v>Kabel NYA 1 x 16 mm²</v>
          </cell>
          <cell r="G1769" t="str">
            <v>m'</v>
          </cell>
          <cell r="H1769">
            <v>33000</v>
          </cell>
        </row>
        <row r="1770">
          <cell r="F1770" t="str">
            <v>Kabel NYA 1 x 2,5 mm²</v>
          </cell>
          <cell r="G1770" t="str">
            <v>m'</v>
          </cell>
          <cell r="H1770">
            <v>5300</v>
          </cell>
        </row>
        <row r="1771">
          <cell r="F1771" t="str">
            <v>Kabel NYA 1 x 4 mm²</v>
          </cell>
          <cell r="G1771" t="str">
            <v>m'</v>
          </cell>
          <cell r="H1771">
            <v>8300</v>
          </cell>
        </row>
        <row r="1772">
          <cell r="F1772" t="str">
            <v>Kabel NYA 1 x 6 mm²</v>
          </cell>
          <cell r="G1772" t="str">
            <v>m'</v>
          </cell>
          <cell r="H1772">
            <v>12200</v>
          </cell>
        </row>
        <row r="1773">
          <cell r="F1773" t="str">
            <v>Kabel NYA 2 x 1,5 mm²</v>
          </cell>
          <cell r="G1773" t="str">
            <v>m'</v>
          </cell>
          <cell r="H1773">
            <v>9200</v>
          </cell>
        </row>
        <row r="1774">
          <cell r="F1774" t="str">
            <v>Kabel NYA 3 x 1,5 mm²</v>
          </cell>
          <cell r="G1774" t="str">
            <v>m'</v>
          </cell>
          <cell r="H1774">
            <v>14000</v>
          </cell>
        </row>
        <row r="1775">
          <cell r="F1775" t="str">
            <v>Kabel NYA 3 x 2,5 mm²</v>
          </cell>
          <cell r="G1775" t="str">
            <v>m'</v>
          </cell>
          <cell r="H1775">
            <v>19448</v>
          </cell>
        </row>
        <row r="1776">
          <cell r="F1776" t="str">
            <v>Kabel NYA 5 x 2,5 mm²</v>
          </cell>
          <cell r="G1776" t="str">
            <v>m'</v>
          </cell>
          <cell r="H1776">
            <v>51500</v>
          </cell>
        </row>
        <row r="1777">
          <cell r="F1777" t="str">
            <v>Kabel NYA 1 x 35 mm²</v>
          </cell>
          <cell r="G1777" t="str">
            <v>m'</v>
          </cell>
          <cell r="H1777">
            <v>71250</v>
          </cell>
        </row>
        <row r="1778">
          <cell r="F1778" t="str">
            <v>Kabel NYA 1 x 95 mm²</v>
          </cell>
          <cell r="G1778" t="str">
            <v>m'</v>
          </cell>
          <cell r="H1778">
            <v>181000</v>
          </cell>
        </row>
        <row r="1779">
          <cell r="F1779" t="str">
            <v>Kabel NYFGBY 2 x 1,5 mm²</v>
          </cell>
          <cell r="G1779" t="str">
            <v>m'</v>
          </cell>
          <cell r="H1779">
            <v>22750</v>
          </cell>
        </row>
        <row r="1780">
          <cell r="F1780" t="str">
            <v>Kabel NYFGBY 2 x 10 mm²</v>
          </cell>
          <cell r="G1780" t="str">
            <v>m'</v>
          </cell>
          <cell r="H1780">
            <v>60750</v>
          </cell>
        </row>
        <row r="1781">
          <cell r="F1781" t="str">
            <v>Kabel NYFGBY 2 x 16 mm²</v>
          </cell>
          <cell r="G1781" t="str">
            <v>m'</v>
          </cell>
          <cell r="H1781">
            <v>82000</v>
          </cell>
        </row>
        <row r="1782">
          <cell r="F1782" t="str">
            <v>Kabel NYFGBY 2 x 2,5 mm²</v>
          </cell>
          <cell r="G1782" t="str">
            <v>m'</v>
          </cell>
          <cell r="H1782">
            <v>30500</v>
          </cell>
        </row>
        <row r="1783">
          <cell r="F1783" t="str">
            <v>Kabel NYFGBY 2 x 4 mm²</v>
          </cell>
          <cell r="G1783" t="str">
            <v>m'</v>
          </cell>
          <cell r="H1783">
            <v>35200</v>
          </cell>
        </row>
        <row r="1784">
          <cell r="F1784" t="str">
            <v>Kabel NYFGBY 2 x 6 mm²</v>
          </cell>
          <cell r="G1784" t="str">
            <v>m'</v>
          </cell>
          <cell r="H1784">
            <v>43350</v>
          </cell>
        </row>
        <row r="1785">
          <cell r="F1785" t="str">
            <v>Kabel NYFGBY 3 x 1,5 mm²</v>
          </cell>
          <cell r="G1785" t="str">
            <v>m'</v>
          </cell>
          <cell r="H1785">
            <v>28500</v>
          </cell>
        </row>
        <row r="1786">
          <cell r="F1786" t="str">
            <v>Kabel NYFGBY 3 x 10 mm²</v>
          </cell>
          <cell r="G1786" t="str">
            <v>m'</v>
          </cell>
          <cell r="H1786">
            <v>79600</v>
          </cell>
        </row>
        <row r="1787">
          <cell r="F1787" t="str">
            <v>Kabel NYFGBY 3 x 16 mm²</v>
          </cell>
          <cell r="G1787" t="str">
            <v>m'</v>
          </cell>
          <cell r="H1787">
            <v>128900</v>
          </cell>
        </row>
        <row r="1788">
          <cell r="F1788" t="str">
            <v>Kabel NYFGBY 3 x 2,5 mm²</v>
          </cell>
          <cell r="G1788" t="str">
            <v>m'</v>
          </cell>
          <cell r="H1788">
            <v>32900</v>
          </cell>
        </row>
        <row r="1789">
          <cell r="F1789" t="str">
            <v>Kabel NYFGBY 3 x 4 mm²</v>
          </cell>
          <cell r="G1789" t="str">
            <v>m'</v>
          </cell>
          <cell r="H1789">
            <v>49000</v>
          </cell>
        </row>
        <row r="1790">
          <cell r="F1790" t="str">
            <v>Kabel NYFGBY 3 x 6 mm²</v>
          </cell>
          <cell r="G1790" t="str">
            <v>m'</v>
          </cell>
          <cell r="H1790">
            <v>63500</v>
          </cell>
        </row>
        <row r="1791">
          <cell r="F1791" t="str">
            <v>Kabel NYFGBY 4 x 1,5 mm²</v>
          </cell>
          <cell r="G1791" t="str">
            <v>m'</v>
          </cell>
          <cell r="H1791">
            <v>29400</v>
          </cell>
        </row>
        <row r="1792">
          <cell r="F1792" t="str">
            <v>Kabel NYFGBY 4 x 10 mm²</v>
          </cell>
          <cell r="G1792" t="str">
            <v>m'</v>
          </cell>
          <cell r="H1792">
            <v>100600</v>
          </cell>
        </row>
        <row r="1793">
          <cell r="F1793" t="str">
            <v>Kabel NYFGBY 4 x 120 mm²</v>
          </cell>
          <cell r="G1793" t="str">
            <v>m'</v>
          </cell>
          <cell r="H1793">
            <v>969500</v>
          </cell>
        </row>
        <row r="1794">
          <cell r="F1794" t="str">
            <v>Kabel NYFGBY 4 x 150 mm²</v>
          </cell>
          <cell r="G1794" t="str">
            <v>m'</v>
          </cell>
          <cell r="H1794">
            <v>1187650</v>
          </cell>
        </row>
        <row r="1795">
          <cell r="F1795" t="str">
            <v>Kabel NYFGBY 4 x 16 mm²</v>
          </cell>
          <cell r="G1795" t="str">
            <v>m'</v>
          </cell>
          <cell r="H1795">
            <v>159300</v>
          </cell>
        </row>
        <row r="1796">
          <cell r="F1796" t="str">
            <v>Kabel NYFGBY 4 x 185 mm²</v>
          </cell>
          <cell r="G1796" t="str">
            <v>m'</v>
          </cell>
          <cell r="H1796">
            <v>1470650</v>
          </cell>
        </row>
        <row r="1797">
          <cell r="F1797" t="str">
            <v>Kabel NYFGBY 4 x 2,5 mm²</v>
          </cell>
          <cell r="G1797" t="str">
            <v>m'</v>
          </cell>
          <cell r="H1797">
            <v>38600</v>
          </cell>
        </row>
        <row r="1798">
          <cell r="F1798" t="str">
            <v>Kabel NYFGBY 4 x 240 mm²</v>
          </cell>
          <cell r="G1798" t="str">
            <v>m'</v>
          </cell>
          <cell r="H1798">
            <v>1921500</v>
          </cell>
        </row>
        <row r="1799">
          <cell r="F1799" t="str">
            <v>Kabel NYFGBY 4 x 25 mm²</v>
          </cell>
          <cell r="G1799" t="str">
            <v>m'</v>
          </cell>
          <cell r="H1799">
            <v>247200</v>
          </cell>
        </row>
        <row r="1800">
          <cell r="F1800" t="str">
            <v>Kabel NYFGBY 4 x 300 mm²</v>
          </cell>
          <cell r="G1800" t="str">
            <v>m'</v>
          </cell>
          <cell r="H1800">
            <v>2392250</v>
          </cell>
        </row>
        <row r="1801">
          <cell r="F1801" t="str">
            <v>Kabel NYFGBY 4 x 35 mm²</v>
          </cell>
          <cell r="G1801" t="str">
            <v>m'</v>
          </cell>
          <cell r="H1801">
            <v>314750</v>
          </cell>
        </row>
        <row r="1802">
          <cell r="F1802" t="str">
            <v>Kabel NYFGBY 4 x 4 mm²</v>
          </cell>
          <cell r="G1802" t="str">
            <v>m'</v>
          </cell>
          <cell r="H1802">
            <v>66000</v>
          </cell>
        </row>
        <row r="1803">
          <cell r="F1803" t="str">
            <v>Kabel NYFGBY 4 x 50 mm²</v>
          </cell>
          <cell r="G1803" t="str">
            <v>m'</v>
          </cell>
          <cell r="H1803">
            <v>411600</v>
          </cell>
        </row>
        <row r="1804">
          <cell r="F1804" t="str">
            <v>Kabel NYFGBY 4 x 6 mm²</v>
          </cell>
          <cell r="G1804" t="str">
            <v>m'</v>
          </cell>
          <cell r="H1804">
            <v>70200</v>
          </cell>
        </row>
        <row r="1805">
          <cell r="F1805" t="str">
            <v>Kabel NYFGBY 4 x 70 mm²</v>
          </cell>
          <cell r="G1805" t="str">
            <v>m'</v>
          </cell>
          <cell r="H1805">
            <v>575250</v>
          </cell>
        </row>
        <row r="1806">
          <cell r="F1806" t="str">
            <v>Kabel NYFGBY 4 x 95 mm²</v>
          </cell>
          <cell r="G1806" t="str">
            <v>m'</v>
          </cell>
          <cell r="H1806">
            <v>743750</v>
          </cell>
        </row>
        <row r="1807">
          <cell r="F1807" t="str">
            <v>Kabel NYM 2 x 1,5 mm²</v>
          </cell>
          <cell r="G1807" t="str">
            <v>m'</v>
          </cell>
          <cell r="H1807">
            <v>8880</v>
          </cell>
        </row>
        <row r="1808">
          <cell r="F1808" t="str">
            <v>Kabel NYM 2 x 10 mm²</v>
          </cell>
          <cell r="G1808" t="str">
            <v>m'</v>
          </cell>
          <cell r="H1808">
            <v>49000</v>
          </cell>
        </row>
        <row r="1809">
          <cell r="F1809" t="str">
            <v>Kabel NYM 2 x 2,5 mm²</v>
          </cell>
          <cell r="G1809" t="str">
            <v>m'</v>
          </cell>
          <cell r="H1809">
            <v>13250</v>
          </cell>
        </row>
        <row r="1810">
          <cell r="F1810" t="str">
            <v>Kabel NYM 2 x 4 mm²</v>
          </cell>
          <cell r="G1810" t="str">
            <v>m'</v>
          </cell>
          <cell r="H1810">
            <v>19950</v>
          </cell>
        </row>
        <row r="1811">
          <cell r="F1811" t="str">
            <v>Kabel NYM 2 x 6 mm²</v>
          </cell>
          <cell r="G1811" t="str">
            <v>m'</v>
          </cell>
          <cell r="H1811">
            <v>29000</v>
          </cell>
        </row>
        <row r="1812">
          <cell r="F1812" t="str">
            <v>Kabel NYM 3 x 1,5 mm²</v>
          </cell>
          <cell r="G1812" t="str">
            <v>m'</v>
          </cell>
          <cell r="H1812">
            <v>11400</v>
          </cell>
        </row>
        <row r="1813">
          <cell r="F1813" t="str">
            <v>Kabel NYM 3 x 10 mm²</v>
          </cell>
          <cell r="G1813" t="str">
            <v>m'</v>
          </cell>
          <cell r="H1813">
            <v>69200</v>
          </cell>
        </row>
        <row r="1814">
          <cell r="F1814" t="str">
            <v>Kabel NYM 3 x 2,5 mm²</v>
          </cell>
          <cell r="G1814" t="str">
            <v>m'</v>
          </cell>
          <cell r="H1814">
            <v>21300</v>
          </cell>
        </row>
        <row r="1815">
          <cell r="F1815" t="str">
            <v>Kabel NYM 3 x 4 mm²</v>
          </cell>
          <cell r="G1815" t="str">
            <v>m'</v>
          </cell>
          <cell r="H1815">
            <v>27000</v>
          </cell>
        </row>
        <row r="1816">
          <cell r="F1816" t="str">
            <v>Kabel NYM 3 x 2,5
mm2 (LSOH)</v>
          </cell>
          <cell r="G1816" t="str">
            <v>M'</v>
          </cell>
          <cell r="H1816">
            <v>21300</v>
          </cell>
        </row>
        <row r="1817">
          <cell r="F1817" t="str">
            <v>Kabel NYM 3 x 6 mm²</v>
          </cell>
          <cell r="G1817" t="str">
            <v>m'</v>
          </cell>
          <cell r="H1817">
            <v>43100</v>
          </cell>
        </row>
        <row r="1818">
          <cell r="F1818" t="str">
            <v>Kabel NYM 4 x 1,5 mm²</v>
          </cell>
          <cell r="G1818" t="str">
            <v>m'</v>
          </cell>
          <cell r="H1818">
            <v>14400</v>
          </cell>
        </row>
        <row r="1819">
          <cell r="F1819" t="str">
            <v>Kabel NYM 4 x 10 mm²</v>
          </cell>
          <cell r="G1819" t="str">
            <v>m'</v>
          </cell>
          <cell r="H1819">
            <v>92900</v>
          </cell>
        </row>
        <row r="1820">
          <cell r="F1820" t="str">
            <v>Kabel NYM 4 x 16 mm²</v>
          </cell>
          <cell r="G1820" t="str">
            <v>m'</v>
          </cell>
          <cell r="H1820">
            <v>150000</v>
          </cell>
        </row>
        <row r="1821">
          <cell r="F1821" t="str">
            <v>Kabel NYM 4 x 2,5 mm²</v>
          </cell>
          <cell r="G1821" t="str">
            <v>m'</v>
          </cell>
          <cell r="H1821">
            <v>22700</v>
          </cell>
        </row>
        <row r="1822">
          <cell r="F1822" t="str">
            <v>Kabel NYM 4 x 4 mm²</v>
          </cell>
          <cell r="G1822" t="str">
            <v>m'</v>
          </cell>
          <cell r="H1822">
            <v>37000</v>
          </cell>
        </row>
        <row r="1823">
          <cell r="F1823" t="str">
            <v>Kabel NYM 4 x 6 mm²</v>
          </cell>
          <cell r="G1823" t="str">
            <v>m'</v>
          </cell>
          <cell r="H1823">
            <v>54400</v>
          </cell>
        </row>
        <row r="1824">
          <cell r="F1824" t="str">
            <v>Kabel NYMHY 2 x 1,5 mm²</v>
          </cell>
          <cell r="G1824" t="str">
            <v>m'</v>
          </cell>
          <cell r="H1824">
            <v>9300</v>
          </cell>
        </row>
        <row r="1825">
          <cell r="F1825" t="str">
            <v>Kabel NYMHY 2 x 2,5 mm²</v>
          </cell>
          <cell r="G1825" t="str">
            <v>m'</v>
          </cell>
          <cell r="H1825">
            <v>13900</v>
          </cell>
        </row>
        <row r="1826">
          <cell r="F1826" t="str">
            <v>Kabel NYMHY 3 x 1,5 mm²</v>
          </cell>
          <cell r="G1826" t="str">
            <v>m'</v>
          </cell>
          <cell r="H1826">
            <v>13400</v>
          </cell>
        </row>
        <row r="1827">
          <cell r="F1827" t="str">
            <v>Kabel NYMHY 2(3 x
1,5 mm2) + Conduit
PVC HI 20 mm dan
aksesoris</v>
          </cell>
          <cell r="G1827" t="str">
            <v>m'</v>
          </cell>
          <cell r="H1827">
            <v>35000</v>
          </cell>
        </row>
        <row r="1828">
          <cell r="F1828" t="str">
            <v>Kabel NYMHY 3 x 1,5
mm2 + Conduit PVC
HI 20 mm dan
aksesoris</v>
          </cell>
          <cell r="G1828" t="str">
            <v>m'</v>
          </cell>
          <cell r="H1828">
            <v>17500</v>
          </cell>
        </row>
        <row r="1829">
          <cell r="F1829" t="str">
            <v>Kabel NYMHY 3 x 2,5 mm²</v>
          </cell>
          <cell r="G1829" t="str">
            <v>m'</v>
          </cell>
          <cell r="H1829">
            <v>21300</v>
          </cell>
        </row>
        <row r="1830">
          <cell r="F1830" t="str">
            <v>Kabel NYMHY 4 x 2,5 mm²</v>
          </cell>
          <cell r="G1830" t="str">
            <v>m'</v>
          </cell>
          <cell r="H1830">
            <v>28700</v>
          </cell>
        </row>
        <row r="1831">
          <cell r="F1831" t="str">
            <v>Kabel NYY 1 x 10 mm²</v>
          </cell>
          <cell r="G1831" t="str">
            <v>m'</v>
          </cell>
          <cell r="H1831">
            <v>18000</v>
          </cell>
        </row>
        <row r="1832">
          <cell r="F1832" t="str">
            <v>Kabel NYY 1 x 120 mm²</v>
          </cell>
          <cell r="G1832" t="str">
            <v>m'</v>
          </cell>
          <cell r="H1832">
            <v>246500</v>
          </cell>
        </row>
        <row r="1833">
          <cell r="F1833" t="str">
            <v>Kabel NYY 1 x 150 mm²</v>
          </cell>
          <cell r="G1833" t="str">
            <v>m'</v>
          </cell>
          <cell r="H1833">
            <v>303000</v>
          </cell>
        </row>
        <row r="1834">
          <cell r="F1834" t="str">
            <v>Kabel NYY 1 x 16 mm²</v>
          </cell>
          <cell r="G1834" t="str">
            <v>m'</v>
          </cell>
          <cell r="H1834">
            <v>36000</v>
          </cell>
        </row>
        <row r="1835">
          <cell r="F1835" t="str">
            <v>Kabel NYY 1 x 185 mm²</v>
          </cell>
          <cell r="G1835" t="str">
            <v>m'</v>
          </cell>
          <cell r="H1835">
            <v>377000</v>
          </cell>
        </row>
        <row r="1836">
          <cell r="F1836" t="str">
            <v>Kabel NYY 1 x 25 mm²</v>
          </cell>
          <cell r="G1836" t="str">
            <v>m'</v>
          </cell>
          <cell r="H1836">
            <v>56000</v>
          </cell>
        </row>
        <row r="1837">
          <cell r="F1837" t="str">
            <v>Kabel NYY 1 x 250 mm²</v>
          </cell>
          <cell r="G1837" t="str">
            <v>m'</v>
          </cell>
          <cell r="H1837">
            <v>496000</v>
          </cell>
        </row>
        <row r="1838">
          <cell r="F1838" t="str">
            <v>Kabel NYY 1 x 300 mm²</v>
          </cell>
          <cell r="G1838" t="str">
            <v>m'</v>
          </cell>
          <cell r="H1838">
            <v>619000</v>
          </cell>
        </row>
        <row r="1839">
          <cell r="F1839" t="str">
            <v>Kabel NYY 1 x 35 mm²</v>
          </cell>
          <cell r="G1839" t="str">
            <v>m'</v>
          </cell>
          <cell r="H1839">
            <v>75000</v>
          </cell>
        </row>
        <row r="1840">
          <cell r="F1840" t="str">
            <v>Kabel NYY 1 x 4 mm²</v>
          </cell>
          <cell r="G1840" t="str">
            <v>m'</v>
          </cell>
          <cell r="H1840">
            <v>7500</v>
          </cell>
        </row>
        <row r="1841">
          <cell r="F1841" t="str">
            <v>Kabel NYY 1 x 400 mm²</v>
          </cell>
          <cell r="G1841" t="str">
            <v>m'</v>
          </cell>
          <cell r="H1841">
            <v>786000</v>
          </cell>
        </row>
        <row r="1842">
          <cell r="F1842" t="str">
            <v>Kabel NYY 1 x 50 mm²</v>
          </cell>
          <cell r="G1842" t="str">
            <v>m'</v>
          </cell>
          <cell r="H1842">
            <v>99600</v>
          </cell>
        </row>
        <row r="1843">
          <cell r="F1843" t="str">
            <v>Kabel NYY 1 x 500 mm²</v>
          </cell>
          <cell r="G1843" t="str">
            <v>m'</v>
          </cell>
          <cell r="H1843">
            <v>1004400</v>
          </cell>
        </row>
        <row r="1844">
          <cell r="F1844" t="str">
            <v>Kabel NYY 1 x 6 mm²</v>
          </cell>
          <cell r="G1844" t="str">
            <v>m'</v>
          </cell>
          <cell r="H1844">
            <v>12000</v>
          </cell>
        </row>
        <row r="1845">
          <cell r="F1845" t="str">
            <v>Kabel NYY 1 x 630 mm²</v>
          </cell>
          <cell r="G1845" t="str">
            <v>m'</v>
          </cell>
          <cell r="H1845">
            <v>1245000</v>
          </cell>
        </row>
        <row r="1846">
          <cell r="F1846" t="str">
            <v>Kabel NYY 1 x 70 mm²</v>
          </cell>
          <cell r="G1846" t="str">
            <v>m'</v>
          </cell>
          <cell r="H1846">
            <v>142000</v>
          </cell>
        </row>
        <row r="1847">
          <cell r="F1847" t="str">
            <v>Kabel NYY 1 x 95 mm²</v>
          </cell>
          <cell r="G1847" t="str">
            <v>m'</v>
          </cell>
          <cell r="H1847">
            <v>196500</v>
          </cell>
        </row>
        <row r="1848">
          <cell r="F1848" t="str">
            <v>Kabel NYY 2 x 1,5 mm²</v>
          </cell>
          <cell r="G1848" t="str">
            <v>m'</v>
          </cell>
          <cell r="H1848">
            <v>12000</v>
          </cell>
        </row>
        <row r="1849">
          <cell r="F1849" t="str">
            <v>Kabel NYY 2 x 10 mm²</v>
          </cell>
          <cell r="G1849" t="str">
            <v>m'</v>
          </cell>
          <cell r="H1849">
            <v>57500</v>
          </cell>
        </row>
        <row r="1850">
          <cell r="F1850" t="str">
            <v>Kabel NYY 2 x 16 mm²</v>
          </cell>
          <cell r="G1850" t="str">
            <v>m'</v>
          </cell>
          <cell r="H1850">
            <v>92000</v>
          </cell>
        </row>
        <row r="1851">
          <cell r="F1851" t="str">
            <v>Kabel NYY 2 x 2,5 mm²</v>
          </cell>
          <cell r="G1851" t="str">
            <v>m'</v>
          </cell>
          <cell r="H1851">
            <v>16560</v>
          </cell>
        </row>
        <row r="1852">
          <cell r="F1852" t="str">
            <v>Kabel NYY 2 x 4 mm²</v>
          </cell>
          <cell r="G1852" t="str">
            <v>m'</v>
          </cell>
          <cell r="H1852">
            <v>23000</v>
          </cell>
        </row>
        <row r="1853">
          <cell r="F1853" t="str">
            <v>Kabel NYY 2 x 6 mm²</v>
          </cell>
          <cell r="G1853" t="str">
            <v>m'</v>
          </cell>
          <cell r="H1853">
            <v>35000</v>
          </cell>
        </row>
        <row r="1854">
          <cell r="F1854" t="str">
            <v>Kabel NYY 3 x 1,5 mm²</v>
          </cell>
          <cell r="G1854" t="str">
            <v>m'</v>
          </cell>
          <cell r="H1854">
            <v>15000</v>
          </cell>
        </row>
        <row r="1855">
          <cell r="F1855" t="str">
            <v>Kabel NYY 3 x 10 mm²</v>
          </cell>
          <cell r="G1855" t="str">
            <v>m'</v>
          </cell>
          <cell r="H1855">
            <v>74600</v>
          </cell>
        </row>
        <row r="1856">
          <cell r="F1856" t="str">
            <v>Kabel NYY 3 x 16 mm²</v>
          </cell>
          <cell r="G1856" t="str">
            <v>m'</v>
          </cell>
          <cell r="H1856">
            <v>114000</v>
          </cell>
        </row>
        <row r="1857">
          <cell r="F1857" t="str">
            <v>Kabel NYY 3 x 2,5 mm²</v>
          </cell>
          <cell r="G1857" t="str">
            <v>m'</v>
          </cell>
          <cell r="H1857">
            <v>21500</v>
          </cell>
        </row>
        <row r="1858">
          <cell r="F1858" t="str">
            <v>Kabel NYY 3 x 25 mm²</v>
          </cell>
          <cell r="G1858" t="str">
            <v>m'</v>
          </cell>
          <cell r="H1858">
            <v>174900</v>
          </cell>
        </row>
        <row r="1859">
          <cell r="F1859" t="str">
            <v>Kabel NYY 3 x 35 mm²</v>
          </cell>
          <cell r="G1859" t="str">
            <v>m'</v>
          </cell>
          <cell r="H1859">
            <v>235500</v>
          </cell>
        </row>
        <row r="1860">
          <cell r="F1860" t="str">
            <v>Kabel NYY 3 x 4 mm²</v>
          </cell>
          <cell r="G1860" t="str">
            <v>m'</v>
          </cell>
          <cell r="H1860">
            <v>33000</v>
          </cell>
        </row>
        <row r="1861">
          <cell r="F1861" t="str">
            <v>Kabel NYY 3 x 50 mm²</v>
          </cell>
          <cell r="G1861" t="str">
            <v>m'</v>
          </cell>
          <cell r="H1861">
            <v>305700</v>
          </cell>
        </row>
        <row r="1862">
          <cell r="F1862" t="str">
            <v>Kabel NYY 3 x 6 mm²</v>
          </cell>
          <cell r="G1862" t="str">
            <v>m'</v>
          </cell>
          <cell r="H1862">
            <v>46000</v>
          </cell>
        </row>
        <row r="1863">
          <cell r="F1863" t="str">
            <v>Kabel NYY 4 x 1,5 mm²</v>
          </cell>
          <cell r="G1863" t="str">
            <v>m'</v>
          </cell>
          <cell r="H1863">
            <v>18600</v>
          </cell>
        </row>
        <row r="1864">
          <cell r="F1864" t="str">
            <v>Kabel NYY 4 x 10 mm²</v>
          </cell>
          <cell r="G1864" t="str">
            <v>m'</v>
          </cell>
          <cell r="H1864">
            <v>96000</v>
          </cell>
        </row>
        <row r="1865">
          <cell r="F1865" t="str">
            <v>Kabel NYY 4 x 120 mm²</v>
          </cell>
          <cell r="G1865" t="str">
            <v>m'</v>
          </cell>
          <cell r="H1865">
            <v>1011900</v>
          </cell>
        </row>
        <row r="1866">
          <cell r="F1866" t="str">
            <v>Kabel NYY 4 x 150 mm²</v>
          </cell>
          <cell r="G1866" t="str">
            <v>m'</v>
          </cell>
          <cell r="H1866">
            <v>1245000</v>
          </cell>
        </row>
        <row r="1867">
          <cell r="F1867" t="str">
            <v>Kabel NYY 4 x 16 mm²</v>
          </cell>
          <cell r="G1867" t="str">
            <v>m'</v>
          </cell>
          <cell r="H1867">
            <v>148500</v>
          </cell>
        </row>
        <row r="1868">
          <cell r="F1868" t="str">
            <v>Kabel NYY 4 x 185 mm²</v>
          </cell>
          <cell r="G1868" t="str">
            <v>m'</v>
          </cell>
          <cell r="H1868">
            <v>1552800</v>
          </cell>
        </row>
        <row r="1869">
          <cell r="F1869" t="str">
            <v>Kabel NYY 4 x 2,5 mm²</v>
          </cell>
          <cell r="G1869" t="str">
            <v>m'</v>
          </cell>
          <cell r="H1869">
            <v>28620</v>
          </cell>
        </row>
        <row r="1870">
          <cell r="F1870" t="str">
            <v>Kabel NYY 4 x 240 mm²</v>
          </cell>
          <cell r="G1870" t="str">
            <v>m'</v>
          </cell>
          <cell r="H1870">
            <v>2044800</v>
          </cell>
        </row>
        <row r="1871">
          <cell r="F1871" t="str">
            <v>Kabel NYY 4 x 25 mm²</v>
          </cell>
          <cell r="G1871" t="str">
            <v>m'</v>
          </cell>
          <cell r="H1871">
            <v>228000</v>
          </cell>
        </row>
        <row r="1872">
          <cell r="F1872" t="str">
            <v>Kabel NYY 4 x 300 mm²</v>
          </cell>
          <cell r="G1872" t="str">
            <v>m'</v>
          </cell>
          <cell r="H1872">
            <v>2550900</v>
          </cell>
        </row>
        <row r="1873">
          <cell r="F1873" t="str">
            <v>Kabel NYY 4 x 35 mm²</v>
          </cell>
          <cell r="G1873" t="str">
            <v>m'</v>
          </cell>
          <cell r="H1873">
            <v>310500</v>
          </cell>
        </row>
        <row r="1874">
          <cell r="F1874" t="str">
            <v>Kabel NYY 4 x 4 mm²</v>
          </cell>
          <cell r="G1874" t="str">
            <v>m'</v>
          </cell>
          <cell r="H1874">
            <v>43000</v>
          </cell>
        </row>
        <row r="1875">
          <cell r="F1875" t="str">
            <v>Kabel NYY 4 x 50 mm²</v>
          </cell>
          <cell r="G1875" t="str">
            <v>m'</v>
          </cell>
          <cell r="H1875">
            <v>412200</v>
          </cell>
        </row>
        <row r="1876">
          <cell r="F1876" t="str">
            <v>Kabel NYY 4 x 6 mm²</v>
          </cell>
          <cell r="G1876" t="str">
            <v>m'</v>
          </cell>
          <cell r="H1876">
            <v>61000</v>
          </cell>
        </row>
        <row r="1877">
          <cell r="F1877" t="str">
            <v>Kabel NYY 4 x 70 mm²</v>
          </cell>
          <cell r="G1877" t="str">
            <v>m'</v>
          </cell>
          <cell r="H1877">
            <v>584700</v>
          </cell>
        </row>
        <row r="1878">
          <cell r="F1878" t="str">
            <v>Kabel NYY 4 x 95 mm²</v>
          </cell>
          <cell r="G1878" t="str">
            <v>m'</v>
          </cell>
          <cell r="H1878">
            <v>805200</v>
          </cell>
        </row>
        <row r="1879">
          <cell r="F1879" t="str">
            <v xml:space="preserve">Kabel STP AWG 18 </v>
          </cell>
          <cell r="G1879" t="str">
            <v>m'</v>
          </cell>
          <cell r="H1879">
            <v>4500</v>
          </cell>
        </row>
        <row r="1880">
          <cell r="F1880" t="str">
            <v>Kabel STP AWG 18 + PVC Conduit HI 20 mm (dari MCFA ke TB) dan aksesoris</v>
          </cell>
          <cell r="H1880">
            <v>10700</v>
          </cell>
        </row>
        <row r="1881">
          <cell r="F1881" t="str">
            <v>Kabel ITC 2x2x0,6 mm2</v>
          </cell>
          <cell r="G1881" t="str">
            <v>m'</v>
          </cell>
          <cell r="H1881">
            <v>3924</v>
          </cell>
        </row>
        <row r="1882">
          <cell r="F1882" t="str">
            <v>Kabel ITC 2 x 2 x 0,6 mm2 + PVC Conduit HI 20 mm dan aksesoris</v>
          </cell>
          <cell r="G1882" t="str">
            <v>m'</v>
          </cell>
          <cell r="H1882">
            <v>13100</v>
          </cell>
        </row>
        <row r="1883">
          <cell r="F1883" t="str">
            <v>Kabel UTP CAT 6</v>
          </cell>
          <cell r="G1883" t="str">
            <v>m'</v>
          </cell>
          <cell r="H1883">
            <v>1500</v>
          </cell>
        </row>
        <row r="1884">
          <cell r="F1884" t="str">
            <v xml:space="preserve">Kabel Coaxial 7C-2V </v>
          </cell>
          <cell r="G1884" t="str">
            <v>m'</v>
          </cell>
          <cell r="H1884">
            <v>22800</v>
          </cell>
        </row>
        <row r="1885">
          <cell r="F1885" t="str">
            <v xml:space="preserve">Kabel Ladder 500 x100 mm </v>
          </cell>
          <cell r="G1885" t="str">
            <v xml:space="preserve">unit </v>
          </cell>
          <cell r="H1885">
            <v>494000</v>
          </cell>
        </row>
        <row r="1886">
          <cell r="F1886" t="str">
            <v xml:space="preserve">Kabel Ladder 600 x100 mm </v>
          </cell>
          <cell r="G1886" t="str">
            <v xml:space="preserve">Unit </v>
          </cell>
          <cell r="H1886">
            <v>535000</v>
          </cell>
        </row>
        <row r="1887">
          <cell r="F1887" t="str">
            <v xml:space="preserve">Kabel Ladder 800 x100 mm </v>
          </cell>
          <cell r="G1887" t="str">
            <v xml:space="preserve">Unit </v>
          </cell>
          <cell r="H1887">
            <v>569000</v>
          </cell>
        </row>
        <row r="1888">
          <cell r="F1888" t="str">
            <v xml:space="preserve">Kabel Tray 600 x 100 mm Hotdip Galvanized </v>
          </cell>
          <cell r="G1888" t="str">
            <v xml:space="preserve">Unit </v>
          </cell>
          <cell r="H1888">
            <v>1639000</v>
          </cell>
        </row>
        <row r="1889">
          <cell r="F1889" t="str">
            <v xml:space="preserve">Kabel Tray 600 x100 mm Elektro Galvanized </v>
          </cell>
          <cell r="G1889" t="str">
            <v>Unit</v>
          </cell>
          <cell r="H1889">
            <v>1255500</v>
          </cell>
        </row>
        <row r="1890">
          <cell r="F1890" t="str">
            <v xml:space="preserve">Kabel Tray 600 x 100 mm Powder Coating </v>
          </cell>
          <cell r="G1890" t="str">
            <v xml:space="preserve">Unit </v>
          </cell>
          <cell r="H1890">
            <v>890000</v>
          </cell>
        </row>
        <row r="1891">
          <cell r="F1891" t="str">
            <v>Kabel Tray (Horizontal) 1000 x 100 mm TRU Powder Coating dan aksesoris</v>
          </cell>
          <cell r="G1891" t="str">
            <v>Unit</v>
          </cell>
          <cell r="H1891">
            <v>650000</v>
          </cell>
        </row>
        <row r="1892">
          <cell r="F1892" t="str">
            <v>Kabel Tray (Horizontal) 1000 x 100 mm TRU Hot Dip Galvanized dan aksesoris</v>
          </cell>
          <cell r="G1892" t="str">
            <v>unit</v>
          </cell>
          <cell r="H1892">
            <v>670000</v>
          </cell>
        </row>
        <row r="1893">
          <cell r="F1893" t="str">
            <v>Kabel Tray (Horizontal) 1000 x 100 mm TRU OCP dan aksesoris</v>
          </cell>
          <cell r="G1893" t="str">
            <v>Unit</v>
          </cell>
          <cell r="H1893">
            <v>710000</v>
          </cell>
        </row>
        <row r="1894">
          <cell r="F1894" t="str">
            <v>Kabel Tray (Horizontal) 1000 x 100 mm TRC Powder Coating dan aksesoris</v>
          </cell>
          <cell r="G1894" t="str">
            <v xml:space="preserve">Unit </v>
          </cell>
          <cell r="H1894">
            <v>750000</v>
          </cell>
        </row>
        <row r="1895">
          <cell r="F1895" t="str">
            <v>Kabel Tray (Horizontal) 1000 x 100 mm TRC Hot Dip Galvanized dan aksesoris</v>
          </cell>
          <cell r="G1895" t="str">
            <v xml:space="preserve">Unit </v>
          </cell>
          <cell r="H1895">
            <v>670000</v>
          </cell>
        </row>
        <row r="1896">
          <cell r="F1896" t="str">
            <v>Kabel Tray (Horizontal) 1000 x 100 mm TRC OCP dan aksesoris</v>
          </cell>
          <cell r="G1896" t="str">
            <v xml:space="preserve">Unit </v>
          </cell>
          <cell r="H1896">
            <v>710000</v>
          </cell>
        </row>
        <row r="1897">
          <cell r="F1897" t="str">
            <v>Kabel Tray (Horizontal) 900 x 100 mm TRU Powder Coating dan aksesoris</v>
          </cell>
          <cell r="G1897" t="str">
            <v xml:space="preserve">Unit </v>
          </cell>
          <cell r="H1897">
            <v>550000</v>
          </cell>
        </row>
        <row r="1898">
          <cell r="F1898" t="str">
            <v>Kabel Tray
(Horizontal) 900 x
100 mm TRU Hot Dip
Galvanized dan
aksesoris</v>
          </cell>
          <cell r="G1898" t="str">
            <v>Unit</v>
          </cell>
          <cell r="H1898">
            <v>570000</v>
          </cell>
        </row>
        <row r="1899">
          <cell r="F1899" t="str">
            <v>Kabel Tray
(Horizontal) 900 x
100 mm TRU OCP
dan aksesoris</v>
          </cell>
          <cell r="G1899" t="str">
            <v>Unit</v>
          </cell>
          <cell r="H1899">
            <v>590000</v>
          </cell>
        </row>
        <row r="1900">
          <cell r="F1900" t="str">
            <v>Kabel Tray (Horizontal) 900 x 100 mm TRC Powder Coating dan aksesoris</v>
          </cell>
          <cell r="G1900" t="str">
            <v xml:space="preserve">unit </v>
          </cell>
          <cell r="H1900">
            <v>600000</v>
          </cell>
        </row>
        <row r="1901">
          <cell r="F1901" t="str">
            <v>Kabel Tray (Horizontal) 900 x 100 mm TRC Hot Dip Galvanized dan aksesoris</v>
          </cell>
          <cell r="G1901" t="str">
            <v>Unit</v>
          </cell>
          <cell r="H1901">
            <v>630000</v>
          </cell>
        </row>
        <row r="1902">
          <cell r="F1902" t="str">
            <v>Kabel Tray
(Horizontal) 900 x
100 mm TRC OCP
dan aksesoris</v>
          </cell>
          <cell r="G1902" t="str">
            <v>Unit</v>
          </cell>
          <cell r="H1902">
            <v>650000</v>
          </cell>
        </row>
        <row r="1903">
          <cell r="F1903" t="str">
            <v>Kabel Tray
(Horizontal) 800 x
100 mm TRU Powder
Coating dan aksesoris</v>
          </cell>
          <cell r="G1903" t="str">
            <v>Unit</v>
          </cell>
          <cell r="H1903">
            <v>400000</v>
          </cell>
        </row>
        <row r="1904">
          <cell r="F1904" t="str">
            <v>Kabel Tray
(Horizontal) 800 x
100 mm TRU Hot Dip
Galvanized dan
aksesoris</v>
          </cell>
          <cell r="G1904" t="str">
            <v xml:space="preserve">unit </v>
          </cell>
          <cell r="H1904">
            <v>430000</v>
          </cell>
        </row>
        <row r="1905">
          <cell r="F1905" t="str">
            <v>Kabel Tray
(Horizontal) 800 x
100 mm TRU OCP
dan aksesoris</v>
          </cell>
          <cell r="G1905" t="str">
            <v>Unit</v>
          </cell>
          <cell r="H1905">
            <v>450000</v>
          </cell>
        </row>
        <row r="1906">
          <cell r="F1906" t="str">
            <v>Kabel Tray
(Horizontal) 800 x
100 mm TRC Powder
Coating dan aksesoris</v>
          </cell>
          <cell r="G1906" t="str">
            <v>Unit</v>
          </cell>
          <cell r="H1906">
            <v>470000</v>
          </cell>
        </row>
        <row r="1907">
          <cell r="F1907" t="str">
            <v>Kabel Tray
(Horizontal) 800 x
100 mm TRC Hot Dip
Galvanized dan
aksesoris</v>
          </cell>
          <cell r="G1907" t="str">
            <v>Unit</v>
          </cell>
          <cell r="H1907">
            <v>490000</v>
          </cell>
        </row>
        <row r="1908">
          <cell r="F1908" t="str">
            <v>Kabel Tray (Horizontal) 800 x 100 mm TRC OCP dan aksesoris</v>
          </cell>
          <cell r="G1908" t="str">
            <v xml:space="preserve">unit </v>
          </cell>
          <cell r="H1908">
            <v>510000</v>
          </cell>
        </row>
        <row r="1909">
          <cell r="F1909" t="str">
            <v>Kabel Tray (Horizontal) 700 x 100 mm TRU Powder Coating dan aksesoris</v>
          </cell>
          <cell r="G1909" t="str">
            <v>Unit</v>
          </cell>
          <cell r="H1909">
            <v>350000</v>
          </cell>
        </row>
        <row r="1910">
          <cell r="F1910" t="str">
            <v>Kabel Tray (Horizontal) 700 x 100 mm TRU Hot Dip Galvanized dan aksesoris</v>
          </cell>
          <cell r="G1910" t="str">
            <v>Unit</v>
          </cell>
          <cell r="H1910">
            <v>370000</v>
          </cell>
        </row>
        <row r="1911">
          <cell r="F1911" t="str">
            <v>Kabel Tray (Horizontal) 700 x 100 mm TRU OCP dan aksesoris</v>
          </cell>
          <cell r="G1911" t="str">
            <v>Unit</v>
          </cell>
          <cell r="H1911">
            <v>390000</v>
          </cell>
        </row>
        <row r="1912">
          <cell r="F1912" t="str">
            <v>Kabel Tray (Horizontal) 700 x 100 mm TRC Powder Coating dan aksesoris</v>
          </cell>
          <cell r="G1912" t="str">
            <v xml:space="preserve">unit </v>
          </cell>
          <cell r="H1912">
            <v>410000</v>
          </cell>
        </row>
        <row r="1913">
          <cell r="F1913" t="str">
            <v>Kabel Tray (Horizontal) 700 x 100 mm TRC Hot Dip Galvanized dan aksesoris</v>
          </cell>
          <cell r="G1913" t="str">
            <v>Unit</v>
          </cell>
          <cell r="H1913">
            <v>430000</v>
          </cell>
        </row>
        <row r="1914">
          <cell r="F1914" t="str">
            <v>Kabel Tray (Horizontal) 700 x 100 mm TRC</v>
          </cell>
          <cell r="G1914" t="str">
            <v>Unit</v>
          </cell>
          <cell r="H1914">
            <v>450000</v>
          </cell>
        </row>
        <row r="1915">
          <cell r="F1915" t="str">
            <v>Kabel Tray (Horizontal) 600 x 100 mm TRU Hot Dip Galvanized dan aksesoris</v>
          </cell>
          <cell r="G1915" t="str">
            <v>Unit</v>
          </cell>
          <cell r="H1915">
            <v>470000</v>
          </cell>
        </row>
        <row r="1916">
          <cell r="F1916" t="str">
            <v>(Horizontal) 600 x 100 mm TRC Hot Dip Galvanized dan aksesoris</v>
          </cell>
          <cell r="G1916" t="str">
            <v xml:space="preserve">Unit </v>
          </cell>
          <cell r="H1916">
            <v>350000</v>
          </cell>
        </row>
        <row r="1917">
          <cell r="F1917" t="str">
            <v>Pemasangan 1 Unit Kabel Tray (Horizontal) 600 x 100 mm TRC OCP</v>
          </cell>
          <cell r="G1917" t="str">
            <v>Unit</v>
          </cell>
          <cell r="H1917">
            <v>370000</v>
          </cell>
        </row>
        <row r="1918">
          <cell r="F1918" t="str">
            <v>Kabel Tray (Horizontal) 500 x 100 mm TRU Hot Dip Galvanized dan aksesoris</v>
          </cell>
          <cell r="G1918" t="str">
            <v xml:space="preserve">Unit </v>
          </cell>
          <cell r="H1918">
            <v>385000</v>
          </cell>
        </row>
        <row r="1919">
          <cell r="F1919" t="str">
            <v>Kabel Tray (Horizontal) 500 x 100 mm TRU OCP dan aksesoris</v>
          </cell>
          <cell r="G1919" t="str">
            <v>Unit</v>
          </cell>
          <cell r="H1919">
            <v>395000</v>
          </cell>
        </row>
        <row r="1920">
          <cell r="F1920" t="str">
            <v>Kabel Tray (Horizontal) 500 x 100 mm TRC Powder Coating dan aksesoris</v>
          </cell>
          <cell r="G1920" t="str">
            <v xml:space="preserve">Unit </v>
          </cell>
          <cell r="H1920">
            <v>415000</v>
          </cell>
        </row>
        <row r="1921">
          <cell r="F1921" t="str">
            <v>Kabel Tray (Horizontal) 500 x 100 mm TRC Hot Dip Galvanized dan aksesoris</v>
          </cell>
          <cell r="G1921" t="str">
            <v>Unit</v>
          </cell>
          <cell r="H1921">
            <v>430000</v>
          </cell>
        </row>
        <row r="1922">
          <cell r="F1922" t="str">
            <v>Kabel Tray (Horizontal) 500 x 100 mm TRC OCP dan aksesoris</v>
          </cell>
          <cell r="G1922" t="str">
            <v xml:space="preserve">Unit </v>
          </cell>
          <cell r="H1922">
            <v>445000</v>
          </cell>
        </row>
        <row r="1923">
          <cell r="F1923" t="str">
            <v>Kabel Tray (Horizontal) 400 x 100 mm TRU Hot Dip Galvanized dan aksesoris</v>
          </cell>
          <cell r="G1923" t="str">
            <v>Unit</v>
          </cell>
          <cell r="H1923">
            <v>350000</v>
          </cell>
        </row>
        <row r="1924">
          <cell r="F1924" t="str">
            <v>Kabel Tray (Horizontal) 400 x 100 mm TRU OCP dan aksesoris</v>
          </cell>
          <cell r="G1924" t="str">
            <v xml:space="preserve">Unit </v>
          </cell>
          <cell r="H1924">
            <v>365000</v>
          </cell>
        </row>
        <row r="1925">
          <cell r="F1925" t="str">
            <v>Kabel Tray (Horizontal) 400 x 100 mm TRC Powder Coating dan aksesoris</v>
          </cell>
          <cell r="G1925" t="str">
            <v>Unit</v>
          </cell>
          <cell r="H1925">
            <v>380000</v>
          </cell>
        </row>
        <row r="1926">
          <cell r="F1926" t="str">
            <v>Kabel Tray (Horizontal) 400 x 100 mm TRC Hot Dip Galvanized dan aksesoris</v>
          </cell>
          <cell r="G1926" t="str">
            <v xml:space="preserve">Unit </v>
          </cell>
          <cell r="H1926">
            <v>395000</v>
          </cell>
        </row>
        <row r="1927">
          <cell r="F1927" t="str">
            <v>Kabel Tray (Horizontal) 400 x 100 mm TRC OCP dan aksesoris</v>
          </cell>
          <cell r="G1927" t="str">
            <v>Unit</v>
          </cell>
          <cell r="H1927">
            <v>410000</v>
          </cell>
        </row>
        <row r="1928">
          <cell r="F1928" t="str">
            <v>Kabel Tray (Horizontal) 300 x 100 mm TRU Hot Dip Galvanized dan aksesoris</v>
          </cell>
          <cell r="G1928" t="str">
            <v xml:space="preserve">Unit </v>
          </cell>
          <cell r="H1928">
            <v>300000</v>
          </cell>
        </row>
        <row r="1929">
          <cell r="F1929" t="str">
            <v>Kabel Tray (Horizontal) 300 x 100 mm TRU OCP dan aksesoris</v>
          </cell>
          <cell r="G1929" t="str">
            <v>Unit</v>
          </cell>
          <cell r="H1929">
            <v>320000</v>
          </cell>
        </row>
        <row r="1930">
          <cell r="F1930" t="str">
            <v>Kabel Tray (Horizontal) 300 x 100 mm TRC Powder Coating dan aksesoris</v>
          </cell>
          <cell r="G1930" t="str">
            <v xml:space="preserve">Unit </v>
          </cell>
          <cell r="H1930">
            <v>340000</v>
          </cell>
        </row>
        <row r="1931">
          <cell r="F1931" t="str">
            <v>Kabel Tray (Horizontal) 300 x 100 mm TRC Hot Dip Galvanized dan aksesoris</v>
          </cell>
          <cell r="G1931" t="str">
            <v>Unit</v>
          </cell>
          <cell r="H1931">
            <v>360000</v>
          </cell>
        </row>
        <row r="1932">
          <cell r="F1932" t="str">
            <v>Kabel Tray (Horizontal) 300 x 100 mm TRC OCP dan aksesoris</v>
          </cell>
          <cell r="G1932" t="str">
            <v xml:space="preserve">Unit </v>
          </cell>
          <cell r="H1932">
            <v>380000</v>
          </cell>
        </row>
        <row r="1933">
          <cell r="F1933" t="str">
            <v>Kabel Tray (Horizontal) 200 x 100 mm TRU Hot Dip Galvanized dan aksesoris</v>
          </cell>
          <cell r="G1933" t="str">
            <v>Unit</v>
          </cell>
          <cell r="H1933">
            <v>400000</v>
          </cell>
        </row>
        <row r="1934">
          <cell r="F1934" t="str">
            <v>Kabel Tray (Horizontal) 200 x 100 mm TRU OCP dan aksesoris</v>
          </cell>
          <cell r="G1934" t="str">
            <v xml:space="preserve">Unit </v>
          </cell>
          <cell r="H1934">
            <v>250000</v>
          </cell>
        </row>
        <row r="1935">
          <cell r="F1935" t="str">
            <v>Kabel Tray (Horizontal) 200 x 100 mm TRC Powder Coating dan aksesoris</v>
          </cell>
          <cell r="G1935" t="str">
            <v>Unit</v>
          </cell>
          <cell r="H1935">
            <v>270000</v>
          </cell>
        </row>
        <row r="1936">
          <cell r="F1936" t="str">
            <v>Kabel Tray (Horizontal) 200 x 100 mm TRC Hot Dip Galvanized dan aksesoris</v>
          </cell>
          <cell r="G1936" t="str">
            <v xml:space="preserve">Unit </v>
          </cell>
          <cell r="H1936">
            <v>280000</v>
          </cell>
        </row>
        <row r="1937">
          <cell r="F1937" t="str">
            <v>Kabel Tray (Horizontal) 200 x 100 mm TRC OCP dan aksesoris</v>
          </cell>
          <cell r="G1937" t="str">
            <v>Unit</v>
          </cell>
          <cell r="H1937">
            <v>300000</v>
          </cell>
        </row>
        <row r="1938">
          <cell r="F1938" t="str">
            <v>Kabel Tray (Horizontal) 150 x 100 mm TRU Powder Coating dan aksesoris</v>
          </cell>
          <cell r="G1938" t="str">
            <v xml:space="preserve">Unit </v>
          </cell>
          <cell r="H1938">
            <v>250000</v>
          </cell>
        </row>
        <row r="1939">
          <cell r="F1939" t="str">
            <v>Kabel Tray (Horizontal) 150 x 100 mm TRU Hot Dip Galvanized dan aksesoris</v>
          </cell>
          <cell r="G1939" t="str">
            <v>Unit</v>
          </cell>
          <cell r="H1939">
            <v>260000</v>
          </cell>
        </row>
        <row r="1940">
          <cell r="F1940" t="str">
            <v>Kabel Tray (Horizontal) 150 x 100 mm TRU OCP dan aksesoris</v>
          </cell>
          <cell r="G1940" t="str">
            <v xml:space="preserve">Unit </v>
          </cell>
          <cell r="H1940">
            <v>280000</v>
          </cell>
        </row>
        <row r="1941">
          <cell r="F1941" t="str">
            <v>Kabel Tray (Horizontal) 150 x 100 mm TRC Powder Coating dan aksesoris</v>
          </cell>
          <cell r="G1941" t="str">
            <v>Unit</v>
          </cell>
          <cell r="H1941">
            <v>300000</v>
          </cell>
        </row>
        <row r="1942">
          <cell r="F1942" t="str">
            <v>Kabel Tray (Horizontal) 150 x 100 mm TRC Hot Dip Galvanized dan aksesoris</v>
          </cell>
          <cell r="G1942" t="str">
            <v xml:space="preserve">Unit </v>
          </cell>
          <cell r="H1942">
            <v>320000</v>
          </cell>
        </row>
        <row r="1943">
          <cell r="F1943" t="str">
            <v>Kabel Tray (Horizontal) 150 x 100 mm TRC OCP dan aksesoris</v>
          </cell>
          <cell r="G1943" t="str">
            <v>Unit</v>
          </cell>
          <cell r="H1943">
            <v>350000</v>
          </cell>
        </row>
        <row r="1944">
          <cell r="F1944" t="str">
            <v>Kabel Tray (Vertikal) 1000 x 100 mm TRU Powder Coating dan aksesoris</v>
          </cell>
          <cell r="G1944" t="str">
            <v xml:space="preserve">Unit </v>
          </cell>
          <cell r="H1944">
            <v>350000</v>
          </cell>
        </row>
        <row r="1945">
          <cell r="F1945" t="str">
            <v>Kabel Tray (Vertikal) 1000 x 100 mm TRU Hot Dip Galvanized dan aksesoris</v>
          </cell>
          <cell r="G1945" t="str">
            <v>Unit</v>
          </cell>
          <cell r="H1945">
            <v>370000</v>
          </cell>
        </row>
        <row r="1946">
          <cell r="F1946" t="str">
            <v>Kabel Tray (Vertikal) 1000 x 100 mm TRU OCP dan aksesoris</v>
          </cell>
          <cell r="G1946" t="str">
            <v xml:space="preserve">Unit </v>
          </cell>
          <cell r="H1946">
            <v>390000</v>
          </cell>
        </row>
        <row r="1947">
          <cell r="F1947" t="str">
            <v>Kabel Tray (Vertikal) 1000 x 100 mm TRC Powder Coating dan aksesoris</v>
          </cell>
          <cell r="G1947" t="str">
            <v>Unit</v>
          </cell>
          <cell r="H1947">
            <v>400000</v>
          </cell>
        </row>
        <row r="1948">
          <cell r="F1948" t="str">
            <v>Kabel Tray (Vertikal) 1000 x 100 mm TRC Hot Dip Galvanized dan aksesoris</v>
          </cell>
          <cell r="G1948" t="str">
            <v xml:space="preserve">Unit </v>
          </cell>
          <cell r="H1948">
            <v>410000</v>
          </cell>
        </row>
        <row r="1949">
          <cell r="F1949" t="str">
            <v>Kabel Tray (Vertikal) 1000 x 100 mm TRC OCP dan aksesoris</v>
          </cell>
          <cell r="G1949" t="str">
            <v>Unit</v>
          </cell>
          <cell r="H1949">
            <v>420000</v>
          </cell>
        </row>
        <row r="1950">
          <cell r="F1950" t="str">
            <v>Kabel Tray (Vertikal) 900 x 100 mm TRU Powder Coating dan aksesoris</v>
          </cell>
          <cell r="G1950" t="str">
            <v>Unit</v>
          </cell>
          <cell r="H1950">
            <v>340000</v>
          </cell>
        </row>
        <row r="1951">
          <cell r="F1951" t="str">
            <v>Kabel Tray (Vertikal) 900 x 100 mm TRU Hot Dip Galvanized dan aksesoris</v>
          </cell>
          <cell r="G1951" t="str">
            <v xml:space="preserve">Unit </v>
          </cell>
          <cell r="H1951">
            <v>350000</v>
          </cell>
        </row>
        <row r="1952">
          <cell r="F1952" t="str">
            <v>Kabel Tray (Vertikal) 900 x 100 mm TRU OCP dan aksesoris</v>
          </cell>
          <cell r="G1952" t="str">
            <v>Unit</v>
          </cell>
          <cell r="H1952">
            <v>360000</v>
          </cell>
        </row>
        <row r="1953">
          <cell r="F1953" t="str">
            <v>Kabel Tray (Vertikal) 900 x 100 mm TRC Powder Coating dan aksesoris</v>
          </cell>
          <cell r="G1953" t="str">
            <v>Unit</v>
          </cell>
          <cell r="H1953">
            <v>370000</v>
          </cell>
        </row>
        <row r="1954">
          <cell r="F1954" t="str">
            <v>Kabel Tray (Vertikal) 900 x 100 mm TRC Hot Dip Galvanized dan aksesoris</v>
          </cell>
          <cell r="G1954" t="str">
            <v xml:space="preserve">Unit </v>
          </cell>
          <cell r="H1954">
            <v>380000</v>
          </cell>
        </row>
        <row r="1955">
          <cell r="F1955" t="str">
            <v>Kabel Tray (Vertikal) 900 x 100 mm TRC OCP dan aksesoris</v>
          </cell>
          <cell r="G1955" t="str">
            <v>Unit</v>
          </cell>
          <cell r="H1955">
            <v>390000</v>
          </cell>
        </row>
        <row r="1956">
          <cell r="F1956" t="str">
            <v>Kabel Tray (Vertikal) 800 x 100 mm TRU Powder Coating dan aksesoris</v>
          </cell>
          <cell r="G1956" t="str">
            <v>Unit</v>
          </cell>
          <cell r="H1956">
            <v>350000</v>
          </cell>
        </row>
        <row r="1957">
          <cell r="F1957" t="str">
            <v>Kabel Tray (Vertikal) 800 x 100 mm TRU Hot Dip Galvanized dan aksesoris</v>
          </cell>
          <cell r="G1957" t="str">
            <v xml:space="preserve">Unit </v>
          </cell>
          <cell r="H1957">
            <v>360000</v>
          </cell>
        </row>
        <row r="1958">
          <cell r="F1958" t="str">
            <v>Kabel Tray (Vertikal) 800 x 100 mm TRU OCP dan aksesoris</v>
          </cell>
          <cell r="G1958" t="str">
            <v>Unit</v>
          </cell>
          <cell r="H1958">
            <v>370000</v>
          </cell>
        </row>
        <row r="1959">
          <cell r="F1959" t="str">
            <v>Kabel Tray (Vertikal) 800 x 100 mm TRC Powder Coating dan aksesoris</v>
          </cell>
          <cell r="G1959" t="str">
            <v>Unit</v>
          </cell>
          <cell r="H1959">
            <v>380000</v>
          </cell>
        </row>
        <row r="1960">
          <cell r="F1960" t="str">
            <v>Kabel Tray (Vertikal) 800 x 100 mm TRC Hot Dip Galvanized dan aksesoris</v>
          </cell>
          <cell r="G1960" t="str">
            <v xml:space="preserve">Unit </v>
          </cell>
          <cell r="H1960">
            <v>390000</v>
          </cell>
        </row>
        <row r="1961">
          <cell r="F1961" t="str">
            <v>Kabel Tray (Vertikal) 800 x 100 mm TRC OCP dan aksesoris</v>
          </cell>
          <cell r="G1961" t="str">
            <v>Unit</v>
          </cell>
          <cell r="H1961">
            <v>400000</v>
          </cell>
        </row>
        <row r="1962">
          <cell r="F1962" t="str">
            <v>Kabel Tray (Vertikal) 700 x 100 mm TRU Powder Coating dan aksesoris</v>
          </cell>
          <cell r="G1962" t="str">
            <v>Unit</v>
          </cell>
          <cell r="H1962">
            <v>340000</v>
          </cell>
        </row>
        <row r="1963">
          <cell r="F1963" t="str">
            <v>Kabel Tray (Vertikal) 700 x 100 mm TRU Hot Dip Galvanized dan aksesoris</v>
          </cell>
          <cell r="G1963" t="str">
            <v xml:space="preserve">Unit </v>
          </cell>
          <cell r="H1963">
            <v>350000</v>
          </cell>
        </row>
        <row r="1964">
          <cell r="F1964" t="str">
            <v>Kabel Tray (Vertikal) 700 x 100 mm TRU OCP dan aksesoris</v>
          </cell>
          <cell r="G1964" t="str">
            <v>Unit</v>
          </cell>
          <cell r="H1964">
            <v>360000</v>
          </cell>
        </row>
        <row r="1965">
          <cell r="F1965" t="str">
            <v>Kabel Tray (Vertikal) 700 x 100 mm TRC Powder Coating dan aksesoris</v>
          </cell>
          <cell r="G1965" t="str">
            <v>Unit</v>
          </cell>
          <cell r="H1965">
            <v>370000</v>
          </cell>
        </row>
        <row r="1966">
          <cell r="F1966" t="str">
            <v>Kabel Tray (Vertikal) 700 x 100 mm TRC Hot Dip Galvanized dan aksesoris</v>
          </cell>
          <cell r="G1966" t="str">
            <v xml:space="preserve">Unit </v>
          </cell>
          <cell r="H1966">
            <v>380000</v>
          </cell>
        </row>
        <row r="1967">
          <cell r="F1967" t="str">
            <v>Kabel Tray (Vertikal) 700 x 100 mm TRC OCP dan aksesoris</v>
          </cell>
          <cell r="G1967" t="str">
            <v>Unit</v>
          </cell>
          <cell r="H1967">
            <v>390000</v>
          </cell>
        </row>
        <row r="1968">
          <cell r="F1968" t="str">
            <v>Kabel Tray (Vertikal) 600 x 100 mm TRU Hot Dip Galvanized dan aksesoris</v>
          </cell>
          <cell r="G1968" t="str">
            <v>Unit</v>
          </cell>
          <cell r="H1968">
            <v>340000</v>
          </cell>
        </row>
        <row r="1969">
          <cell r="F1969" t="str">
            <v>Kabel Tray (Vertikal) 600 x 100 mm TRU OCP dan aksesoris</v>
          </cell>
          <cell r="G1969" t="str">
            <v xml:space="preserve">Unit </v>
          </cell>
          <cell r="H1969">
            <v>350000</v>
          </cell>
        </row>
        <row r="1970">
          <cell r="F1970" t="str">
            <v>Kabel Tray (Vertikal)
600 x 100 mm TRC
Powder Coating dan
aksesoris</v>
          </cell>
          <cell r="G1970" t="str">
            <v xml:space="preserve">Unit </v>
          </cell>
          <cell r="H1970">
            <v>360000</v>
          </cell>
        </row>
        <row r="1971">
          <cell r="F1971" t="str">
            <v>Kabel Tray (Vertikal)
600 x 100 mm TRC
Hot Dip Galvanized
dan aksesoris</v>
          </cell>
          <cell r="G1971" t="str">
            <v>Unit</v>
          </cell>
          <cell r="H1971">
            <v>370000</v>
          </cell>
        </row>
        <row r="1972">
          <cell r="F1972" t="str">
            <v>Kabel Tray (Vertikal)
600 x 100 mm TRC
OCP dan aksesoris</v>
          </cell>
          <cell r="G1972" t="str">
            <v xml:space="preserve">Unit </v>
          </cell>
          <cell r="H1972">
            <v>390000</v>
          </cell>
        </row>
        <row r="1973">
          <cell r="F1973" t="str">
            <v>Kabel Tray (Vertikal)
500 x 100 mm TRU
Hot Dip Galvanized
dan aksesoris</v>
          </cell>
          <cell r="G1973" t="str">
            <v>Unit</v>
          </cell>
          <cell r="H1973">
            <v>340000</v>
          </cell>
        </row>
        <row r="1974">
          <cell r="F1974" t="str">
            <v>Kabel Tray (Vertikal)
500 x 100 mm TRU
OCP dan aksesoris</v>
          </cell>
          <cell r="G1974" t="str">
            <v xml:space="preserve">Unit </v>
          </cell>
          <cell r="H1974">
            <v>350000</v>
          </cell>
        </row>
        <row r="1975">
          <cell r="F1975" t="str">
            <v>Kabel Tray (Vertikal)
500 x 100 mm TRC
Powder Coating dan
aksesoris</v>
          </cell>
          <cell r="G1975" t="str">
            <v>Unit</v>
          </cell>
          <cell r="H1975">
            <v>360000</v>
          </cell>
        </row>
        <row r="1976">
          <cell r="F1976" t="str">
            <v>Kabel Tray (Vertikal)
500 x 100 mm TRC
Hot Dip Galvanized
dan aksesoris</v>
          </cell>
          <cell r="G1976" t="str">
            <v xml:space="preserve">Unit </v>
          </cell>
          <cell r="H1976">
            <v>370000</v>
          </cell>
        </row>
        <row r="1977">
          <cell r="F1977" t="str">
            <v>Kabel Tray (Vertikal)
500 x 100 mm TRC
OCP dan aksesoris</v>
          </cell>
          <cell r="G1977" t="str">
            <v>Unit</v>
          </cell>
          <cell r="H1977">
            <v>380000</v>
          </cell>
        </row>
        <row r="1978">
          <cell r="F1978" t="str">
            <v>Kabel Tray (Vertikal)
400 x 100 mm TRU
Hot Dip Galvanized
dan aksesoris</v>
          </cell>
          <cell r="G1978" t="str">
            <v xml:space="preserve">Unit </v>
          </cell>
          <cell r="H1978">
            <v>340000</v>
          </cell>
        </row>
        <row r="1979">
          <cell r="F1979" t="str">
            <v>Kabel Tray (Vertikal)
400 x 100 mm TRU
OCP dan aksesoris</v>
          </cell>
          <cell r="G1979" t="str">
            <v>Unit</v>
          </cell>
          <cell r="H1979">
            <v>350000</v>
          </cell>
        </row>
        <row r="1980">
          <cell r="F1980" t="str">
            <v>Kabel Tray (Vertikal)
400 x 100 mm TRC
Powder Coating dan
aksesoris</v>
          </cell>
          <cell r="G1980" t="str">
            <v xml:space="preserve">Unit </v>
          </cell>
          <cell r="H1980">
            <v>360000</v>
          </cell>
        </row>
        <row r="1981">
          <cell r="F1981" t="str">
            <v>Kabel Tray (Vertikal)
400 x 100 mm TRC
Hot Dip Galvanized
dan aksesoris</v>
          </cell>
          <cell r="G1981" t="str">
            <v>Unit</v>
          </cell>
          <cell r="H1981">
            <v>370000</v>
          </cell>
        </row>
        <row r="1982">
          <cell r="F1982" t="str">
            <v>Kabel Tray (Vertikal)
400 x 100 mm TRC
OCP dan aksesoris</v>
          </cell>
          <cell r="G1982" t="str">
            <v xml:space="preserve">Unit </v>
          </cell>
          <cell r="H1982">
            <v>380000</v>
          </cell>
        </row>
        <row r="1983">
          <cell r="F1983" t="str">
            <v>Kabel Tray (Vertikal)
300 x 100 mm TRU
Hot Dip Galvanized
dan aksesoris</v>
          </cell>
          <cell r="G1983" t="str">
            <v>Unit</v>
          </cell>
          <cell r="H1983">
            <v>340000</v>
          </cell>
        </row>
        <row r="1984">
          <cell r="F1984" t="str">
            <v>Kabel Tray (Vertikal)
300 x 100 mm TRU
OCP dan aksesoris</v>
          </cell>
          <cell r="G1984" t="str">
            <v xml:space="preserve">Unit </v>
          </cell>
          <cell r="H1984">
            <v>350000</v>
          </cell>
        </row>
        <row r="1985">
          <cell r="F1985" t="str">
            <v>Kabel Tray (Vertikal)
300 x 100 mm TRC
Powder Coating dan
aksesoris</v>
          </cell>
          <cell r="G1985" t="str">
            <v>Unit</v>
          </cell>
          <cell r="H1985">
            <v>360000</v>
          </cell>
        </row>
        <row r="1986">
          <cell r="F1986" t="str">
            <v>Kabel Tray (Vertikal)
300 x 100 mm TRC
Hot Dip Galvanized
dan aksesoris</v>
          </cell>
          <cell r="G1986" t="str">
            <v xml:space="preserve">Unit </v>
          </cell>
          <cell r="H1986">
            <v>370000</v>
          </cell>
        </row>
        <row r="1987">
          <cell r="F1987" t="str">
            <v>Kabel Tray (Vertikal)
300 x 100 mm TRC
OCP dan aksesoris</v>
          </cell>
          <cell r="G1987" t="str">
            <v>Unit</v>
          </cell>
          <cell r="H1987">
            <v>380000</v>
          </cell>
        </row>
        <row r="1988">
          <cell r="F1988" t="str">
            <v>Kabel Tray (Vertikal)
200 x 100 mm TRU
Hot Dip Galvanized
dan aksesoris</v>
          </cell>
          <cell r="G1988" t="str">
            <v xml:space="preserve">Unit </v>
          </cell>
          <cell r="H1988">
            <v>330000</v>
          </cell>
        </row>
        <row r="1989">
          <cell r="F1989" t="str">
            <v>Kabel Tray (Vertikal)
200 x 100 mm TRU
OCP dan aksesoris</v>
          </cell>
          <cell r="G1989" t="str">
            <v>Unit</v>
          </cell>
          <cell r="H1989">
            <v>340000</v>
          </cell>
        </row>
        <row r="1990">
          <cell r="F1990" t="str">
            <v>Kabel Tray (Vertikal)
200 x 100 mm TRC
Powder Coating dan
aksesoris</v>
          </cell>
          <cell r="G1990" t="str">
            <v xml:space="preserve">Unit </v>
          </cell>
          <cell r="H1990">
            <v>350000</v>
          </cell>
        </row>
        <row r="1991">
          <cell r="F1991" t="str">
            <v>Kabel Tray (Vertikal)
200 x 100 mm TRC
Hot Dip Galvanized
dan aksesoris</v>
          </cell>
          <cell r="G1991" t="str">
            <v>Unit</v>
          </cell>
          <cell r="H1991">
            <v>360000</v>
          </cell>
        </row>
        <row r="1992">
          <cell r="F1992" t="str">
            <v>Kabel Tray (Vertikal)
200 x 100 mm TRC
OCP dan aksesoris</v>
          </cell>
          <cell r="G1992" t="str">
            <v xml:space="preserve">Unit </v>
          </cell>
          <cell r="H1992">
            <v>370000</v>
          </cell>
        </row>
        <row r="1993">
          <cell r="F1993" t="str">
            <v>Kabel Tray (Vertikal)
150 x 100 mm TRU
Powder Coating dan
aksesoris</v>
          </cell>
          <cell r="G1993" t="str">
            <v>Unit</v>
          </cell>
          <cell r="H1993">
            <v>330000</v>
          </cell>
        </row>
        <row r="1994">
          <cell r="F1994" t="str">
            <v>Kabel Tray (Vertikal)
150 x 100 mm TRU
Hot Dip Galvanized
dan aksesoris</v>
          </cell>
          <cell r="G1994" t="str">
            <v xml:space="preserve">Unit </v>
          </cell>
          <cell r="H1994">
            <v>340000</v>
          </cell>
        </row>
        <row r="1995">
          <cell r="F1995" t="str">
            <v>Kabel Tray (Vertikal)
150 x 100 mm TRU
OCP dan aksesoris</v>
          </cell>
          <cell r="G1995" t="str">
            <v>Unit</v>
          </cell>
          <cell r="H1995">
            <v>350000</v>
          </cell>
        </row>
        <row r="1996">
          <cell r="F1996" t="str">
            <v>Kabel Tray (Vertikal)
150 x 100 mm TRC
Powder Coating dan
aksesoris</v>
          </cell>
          <cell r="G1996" t="str">
            <v xml:space="preserve">Unit </v>
          </cell>
          <cell r="H1996">
            <v>360000</v>
          </cell>
        </row>
        <row r="1997">
          <cell r="F1997" t="str">
            <v>Kabel Tray (Vertikal)
150 x 100 mm TRC
Hot Dip Galvanized
dan aksesoris</v>
          </cell>
          <cell r="G1997" t="str">
            <v>Unit</v>
          </cell>
          <cell r="H1997">
            <v>370000</v>
          </cell>
        </row>
        <row r="1998">
          <cell r="F1998" t="str">
            <v>Kabel Tray (Vertikal)
150 x 100 mm TRC
OCP dan aksesoris</v>
          </cell>
          <cell r="G1998" t="str">
            <v xml:space="preserve">Unit </v>
          </cell>
          <cell r="H1998">
            <v>380000</v>
          </cell>
        </row>
        <row r="1999">
          <cell r="F1999" t="str">
            <v>Kabel tray 200 x 100 mm</v>
          </cell>
          <cell r="G1999" t="str">
            <v>m'</v>
          </cell>
          <cell r="H1999">
            <v>175000</v>
          </cell>
        </row>
        <row r="2000">
          <cell r="F2000" t="str">
            <v>Kabel tray 300 x 100 mm</v>
          </cell>
          <cell r="G2000" t="str">
            <v>m'</v>
          </cell>
          <cell r="H2000">
            <v>219000</v>
          </cell>
        </row>
        <row r="2001">
          <cell r="F2001" t="str">
            <v>Kabel tray 400 x 100 mm</v>
          </cell>
          <cell r="G2001" t="str">
            <v>m'</v>
          </cell>
          <cell r="H2001">
            <v>265000</v>
          </cell>
        </row>
        <row r="2002">
          <cell r="F2002" t="str">
            <v>Kabel tray 500 x 100 mm</v>
          </cell>
          <cell r="G2002" t="str">
            <v>m'</v>
          </cell>
          <cell r="H2002">
            <v>309000</v>
          </cell>
        </row>
        <row r="2003">
          <cell r="F2003" t="str">
            <v>Kabel tray 600 x 100 mm</v>
          </cell>
          <cell r="G2003" t="str">
            <v>m'</v>
          </cell>
          <cell r="H2003">
            <v>352000</v>
          </cell>
        </row>
        <row r="2004">
          <cell r="F2004" t="str">
            <v>Klem kabel tray</v>
          </cell>
          <cell r="G2004" t="str">
            <v>buah</v>
          </cell>
          <cell r="H2004">
            <v>6000</v>
          </cell>
        </row>
        <row r="2005">
          <cell r="F2005" t="str">
            <v>Klem 20 mm</v>
          </cell>
          <cell r="G2005" t="str">
            <v xml:space="preserve">buah </v>
          </cell>
          <cell r="H2005">
            <v>900</v>
          </cell>
        </row>
        <row r="2006">
          <cell r="F2006" t="str">
            <v>Mur baut kabel tray</v>
          </cell>
          <cell r="G2006" t="str">
            <v>buah</v>
          </cell>
          <cell r="H2006">
            <v>1000</v>
          </cell>
        </row>
        <row r="2007">
          <cell r="F2007" t="str">
            <v>PVC conduit HI 20 mm²</v>
          </cell>
          <cell r="G2007" t="str">
            <v>m'</v>
          </cell>
          <cell r="H2007">
            <v>4100</v>
          </cell>
        </row>
        <row r="2008">
          <cell r="F2008" t="str">
            <v>Flexible Conduit 20 mm</v>
          </cell>
          <cell r="G2008" t="str">
            <v>m</v>
          </cell>
          <cell r="H2008">
            <v>5400</v>
          </cell>
        </row>
        <row r="2009">
          <cell r="F2009" t="str">
            <v>PVC conduit HI 32 mm²</v>
          </cell>
          <cell r="G2009" t="str">
            <v>m1</v>
          </cell>
          <cell r="H2009">
            <v>20000</v>
          </cell>
        </row>
        <row r="2010">
          <cell r="F2010" t="str">
            <v xml:space="preserve">Conduit HI 20 mm </v>
          </cell>
          <cell r="G2010" t="str">
            <v>m</v>
          </cell>
          <cell r="H2010">
            <v>4000</v>
          </cell>
        </row>
        <row r="2011">
          <cell r="F2011" t="str">
            <v xml:space="preserve">Saklar Tunggal </v>
          </cell>
          <cell r="G2011" t="str">
            <v xml:space="preserve">buah </v>
          </cell>
          <cell r="H2011">
            <v>24000</v>
          </cell>
        </row>
        <row r="2012">
          <cell r="F2012" t="str">
            <v xml:space="preserve">Saklar Ganda </v>
          </cell>
          <cell r="G2012" t="str">
            <v xml:space="preserve">Buah </v>
          </cell>
          <cell r="H2012">
            <v>33000</v>
          </cell>
        </row>
        <row r="2013">
          <cell r="F2013" t="str">
            <v xml:space="preserve">Saklar Triple </v>
          </cell>
          <cell r="G2013" t="str">
            <v xml:space="preserve">Buag </v>
          </cell>
          <cell r="H2013">
            <v>76000</v>
          </cell>
        </row>
        <row r="2014">
          <cell r="F2014" t="str">
            <v xml:space="preserve">Grid Switch </v>
          </cell>
          <cell r="G2014" t="str">
            <v xml:space="preserve">Buah </v>
          </cell>
          <cell r="H2014">
            <v>108000</v>
          </cell>
        </row>
        <row r="2015">
          <cell r="F2015" t="str">
            <v xml:space="preserve">Grid Switch 4 x 2 Gang </v>
          </cell>
          <cell r="G2015" t="str">
            <v xml:space="preserve">buah </v>
          </cell>
          <cell r="H2015">
            <v>180000</v>
          </cell>
        </row>
        <row r="2016">
          <cell r="F2016" t="str">
            <v xml:space="preserve">Stop Kontak </v>
          </cell>
          <cell r="G2016" t="str">
            <v xml:space="preserve">Buah </v>
          </cell>
          <cell r="H2016">
            <v>70000</v>
          </cell>
        </row>
        <row r="2017">
          <cell r="F2017" t="str">
            <v>Stop Kontak AC</v>
          </cell>
          <cell r="G2017" t="str">
            <v xml:space="preserve">buah </v>
          </cell>
          <cell r="H2017">
            <v>67900</v>
          </cell>
        </row>
        <row r="2018">
          <cell r="F2018" t="str">
            <v xml:space="preserve">T Dus </v>
          </cell>
          <cell r="G2018" t="str">
            <v xml:space="preserve">buah </v>
          </cell>
          <cell r="H2018">
            <v>4000</v>
          </cell>
        </row>
        <row r="2019">
          <cell r="F2019" t="str">
            <v>Socket Conduit 20 mm</v>
          </cell>
          <cell r="G2019" t="str">
            <v xml:space="preserve">buah </v>
          </cell>
          <cell r="H2019">
            <v>700</v>
          </cell>
        </row>
        <row r="2020">
          <cell r="F2020" t="str">
            <v xml:space="preserve">Klem 20 mm </v>
          </cell>
          <cell r="G2020" t="str">
            <v xml:space="preserve">buah </v>
          </cell>
          <cell r="H2020">
            <v>298</v>
          </cell>
        </row>
        <row r="2021">
          <cell r="F2021" t="str">
            <v xml:space="preserve">Isolasi </v>
          </cell>
          <cell r="G2021" t="str">
            <v>m</v>
          </cell>
          <cell r="H2021">
            <v>416</v>
          </cell>
        </row>
        <row r="2022">
          <cell r="F2022" t="str">
            <v xml:space="preserve">lasdop </v>
          </cell>
          <cell r="G2022" t="str">
            <v xml:space="preserve">buah </v>
          </cell>
          <cell r="H2022">
            <v>580</v>
          </cell>
        </row>
        <row r="2023">
          <cell r="F2023" t="str">
            <v xml:space="preserve">Elbow </v>
          </cell>
          <cell r="G2023" t="str">
            <v xml:space="preserve">buah </v>
          </cell>
          <cell r="H2023">
            <v>550</v>
          </cell>
        </row>
        <row r="2024">
          <cell r="F2024" t="str">
            <v xml:space="preserve">Fischer S6 + Sekrup </v>
          </cell>
          <cell r="G2024" t="str">
            <v xml:space="preserve">buah </v>
          </cell>
          <cell r="H2024">
            <v>21.5</v>
          </cell>
        </row>
        <row r="2025">
          <cell r="F2025" t="str">
            <v xml:space="preserve">kWh meter Token 1 Phase </v>
          </cell>
          <cell r="G2025" t="str">
            <v xml:space="preserve">unit </v>
          </cell>
          <cell r="H2025">
            <v>534000</v>
          </cell>
        </row>
        <row r="2026">
          <cell r="F2026" t="str">
            <v xml:space="preserve">kWh meter Token 3 Phase </v>
          </cell>
          <cell r="G2026" t="str">
            <v xml:space="preserve">unit </v>
          </cell>
          <cell r="H2026">
            <v>3150000</v>
          </cell>
        </row>
        <row r="2027">
          <cell r="F2027" t="str">
            <v xml:space="preserve">Software sistem kwh meter swakelola prabayar </v>
          </cell>
          <cell r="G2027" t="str">
            <v xml:space="preserve">buah </v>
          </cell>
          <cell r="H2027">
            <v>2000000</v>
          </cell>
        </row>
        <row r="2028">
          <cell r="F2028" t="str">
            <v xml:space="preserve">PC Server </v>
          </cell>
          <cell r="G2028" t="str">
            <v xml:space="preserve">buah </v>
          </cell>
          <cell r="H2028">
            <v>33900000</v>
          </cell>
        </row>
        <row r="2029">
          <cell r="F2029" t="str">
            <v>Panel Utama Tegangan Menengah</v>
          </cell>
          <cell r="G2029" t="str">
            <v xml:space="preserve">unit </v>
          </cell>
          <cell r="H2029">
            <v>3100000</v>
          </cell>
        </row>
        <row r="2030">
          <cell r="F2030" t="str">
            <v>Panel Utama Tegangan Rendah</v>
          </cell>
          <cell r="G2030" t="str">
            <v xml:space="preserve">unit </v>
          </cell>
          <cell r="H2030">
            <v>1500000</v>
          </cell>
        </row>
        <row r="2031">
          <cell r="F2031" t="str">
            <v>MDP Floor Standing</v>
          </cell>
          <cell r="G2031" t="str">
            <v xml:space="preserve">unit </v>
          </cell>
          <cell r="H2031">
            <v>4500000</v>
          </cell>
        </row>
        <row r="2032">
          <cell r="F2032" t="str">
            <v xml:space="preserve">MDP Wall Mounted </v>
          </cell>
          <cell r="G2032" t="str">
            <v xml:space="preserve">Unit </v>
          </cell>
          <cell r="H2032">
            <v>4900000</v>
          </cell>
        </row>
        <row r="2033">
          <cell r="F2033" t="str">
            <v xml:space="preserve">SDP Floor Standing </v>
          </cell>
          <cell r="G2033" t="str">
            <v>unit</v>
          </cell>
          <cell r="H2033">
            <v>3500000</v>
          </cell>
        </row>
        <row r="2034">
          <cell r="F2034" t="str">
            <v xml:space="preserve">SDP Wall  Mounted </v>
          </cell>
          <cell r="G2034" t="str">
            <v>unit</v>
          </cell>
          <cell r="H2034">
            <v>3300000</v>
          </cell>
        </row>
        <row r="2035">
          <cell r="F2035" t="str">
            <v>Panel Lantai Wall Mounted 800x600x200</v>
          </cell>
          <cell r="G2035" t="str">
            <v xml:space="preserve">Unit </v>
          </cell>
          <cell r="H2035">
            <v>3200000</v>
          </cell>
        </row>
        <row r="2036">
          <cell r="F2036" t="str">
            <v>Panel Lantai Wall Mounted 600x 400 x200</v>
          </cell>
          <cell r="G2036" t="str">
            <v>unit</v>
          </cell>
          <cell r="H2036">
            <v>3000000</v>
          </cell>
        </row>
        <row r="2037">
          <cell r="F2037" t="str">
            <v xml:space="preserve">Panel kWh Meter </v>
          </cell>
          <cell r="G2037" t="str">
            <v>unit</v>
          </cell>
          <cell r="H2037">
            <v>2500000</v>
          </cell>
        </row>
        <row r="2038">
          <cell r="F2038" t="str">
            <v xml:space="preserve">Panel Penerang Luar Outdoor termasuk material batu </v>
          </cell>
          <cell r="G2038" t="str">
            <v>Unit</v>
          </cell>
          <cell r="H2038">
            <v>3500000</v>
          </cell>
        </row>
        <row r="2039">
          <cell r="F2039" t="str">
            <v>Panel Kontrol Pompa</v>
          </cell>
          <cell r="G2039" t="str">
            <v>unit</v>
          </cell>
          <cell r="H2039">
            <v>5500000</v>
          </cell>
        </row>
        <row r="2040">
          <cell r="F2040" t="str">
            <v>Panel Power Gondola termasuk material bantu</v>
          </cell>
          <cell r="G2040" t="str">
            <v xml:space="preserve">unit </v>
          </cell>
          <cell r="H2040">
            <v>5700000</v>
          </cell>
        </row>
        <row r="2041">
          <cell r="F2041" t="str">
            <v>Panel Power Elektronik termasuk material bantu</v>
          </cell>
          <cell r="G2041" t="str">
            <v>unit</v>
          </cell>
          <cell r="H2041">
            <v>3500000</v>
          </cell>
        </row>
        <row r="2042">
          <cell r="F2042" t="str">
            <v xml:space="preserve">Panel Power AHU termasuk material bantu </v>
          </cell>
          <cell r="G2042" t="str">
            <v xml:space="preserve">unit </v>
          </cell>
          <cell r="H2042">
            <v>4900000</v>
          </cell>
        </row>
        <row r="2043">
          <cell r="F2043" t="str">
            <v xml:space="preserve">Panel Power AC termasuk material bantu </v>
          </cell>
          <cell r="G2043" t="str">
            <v xml:space="preserve">unit </v>
          </cell>
          <cell r="H2043">
            <v>1700000</v>
          </cell>
        </row>
        <row r="2044">
          <cell r="F2044" t="str">
            <v xml:space="preserve">Panel Power Chiller termasuk material bantu </v>
          </cell>
          <cell r="G2044" t="str">
            <v xml:space="preserve">unit </v>
          </cell>
          <cell r="H2044">
            <v>2300000</v>
          </cell>
        </row>
        <row r="2045">
          <cell r="F2045" t="str">
            <v>Panel Kontrol Power Chiller termasuk material bantu</v>
          </cell>
          <cell r="G2045" t="str">
            <v xml:space="preserve">unit </v>
          </cell>
          <cell r="H2045">
            <v>2500000</v>
          </cell>
        </row>
        <row r="2046">
          <cell r="F2046" t="str">
            <v xml:space="preserve">Panel Kontrol Power Cooling Tower termasuk material bantu </v>
          </cell>
          <cell r="G2046" t="str">
            <v xml:space="preserve">unit </v>
          </cell>
          <cell r="H2046">
            <v>1900000</v>
          </cell>
        </row>
        <row r="2047">
          <cell r="F2047" t="str">
            <v>Panel Kontrol Fan Presurisasi termasuk material bantu</v>
          </cell>
          <cell r="G2047" t="str">
            <v xml:space="preserve">unit </v>
          </cell>
          <cell r="H2047">
            <v>2100000</v>
          </cell>
        </row>
        <row r="2048">
          <cell r="F2048" t="str">
            <v xml:space="preserve">MCB Box </v>
          </cell>
          <cell r="G2048" t="str">
            <v xml:space="preserve">unit </v>
          </cell>
          <cell r="H2048">
            <v>450000</v>
          </cell>
        </row>
        <row r="2049">
          <cell r="F2049" t="str">
            <v xml:space="preserve">Genset Kap : 75kVA Silent Type dan aksesoris </v>
          </cell>
          <cell r="G2049" t="str">
            <v>unit</v>
          </cell>
          <cell r="H2049">
            <v>75000000</v>
          </cell>
        </row>
        <row r="2050">
          <cell r="F2050" t="str">
            <v xml:space="preserve">Genset Kap : 100 kVA Silent Type dan aksesoris </v>
          </cell>
          <cell r="G2050" t="str">
            <v xml:space="preserve">unit </v>
          </cell>
          <cell r="H2050">
            <v>79000000</v>
          </cell>
        </row>
        <row r="2051">
          <cell r="F2051" t="str">
            <v xml:space="preserve">Genset Kap : 400 kVA Silent Type dan aksesoris </v>
          </cell>
          <cell r="G2051" t="str">
            <v xml:space="preserve">unit </v>
          </cell>
          <cell r="H2051">
            <v>85000000</v>
          </cell>
        </row>
        <row r="2052">
          <cell r="F2052" t="str">
            <v xml:space="preserve">UPS 5 KVA </v>
          </cell>
          <cell r="G2052" t="str">
            <v xml:space="preserve">unit </v>
          </cell>
          <cell r="H2052">
            <v>18000000</v>
          </cell>
        </row>
        <row r="2053">
          <cell r="F2053" t="str">
            <v xml:space="preserve">Tangki Solar Harian 500 liter </v>
          </cell>
          <cell r="G2053" t="str">
            <v xml:space="preserve">unit </v>
          </cell>
          <cell r="H2053">
            <v>4000000</v>
          </cell>
        </row>
        <row r="2054">
          <cell r="F2054" t="str">
            <v>Hand Pump Solar
dan aksesoris</v>
          </cell>
          <cell r="G2054" t="str">
            <v xml:space="preserve">Buah </v>
          </cell>
          <cell r="H2054">
            <v>4000000</v>
          </cell>
        </row>
        <row r="2055">
          <cell r="F2055" t="str">
            <v>Trafo Kap : 630 Kva : Synthetic Oil Ester</v>
          </cell>
          <cell r="G2055" t="str">
            <v>unit</v>
          </cell>
          <cell r="H2055">
            <v>17000000</v>
          </cell>
        </row>
        <row r="2056">
          <cell r="F2056" t="str">
            <v>Downlight 5 Inch 14, 5 Watt LED + Aksesoris</v>
          </cell>
          <cell r="G2056" t="str">
            <v xml:space="preserve">buah </v>
          </cell>
          <cell r="H2056">
            <v>82000</v>
          </cell>
        </row>
        <row r="2057">
          <cell r="F2057" t="str">
            <v xml:space="preserve">Lampu LED E27 10 watt + Aksesoris </v>
          </cell>
          <cell r="G2057" t="str">
            <v xml:space="preserve">buah </v>
          </cell>
          <cell r="H2057">
            <v>22000</v>
          </cell>
        </row>
        <row r="2058">
          <cell r="F2058" t="str">
            <v xml:space="preserve">Fitting E27 + Aksesoris </v>
          </cell>
          <cell r="G2058" t="str">
            <v xml:space="preserve">buah </v>
          </cell>
          <cell r="H2058">
            <v>5200</v>
          </cell>
        </row>
        <row r="2059">
          <cell r="F2059" t="str">
            <v xml:space="preserve">Nicad Battery </v>
          </cell>
          <cell r="G2059" t="str">
            <v>buah</v>
          </cell>
          <cell r="H2059">
            <v>110000</v>
          </cell>
        </row>
        <row r="2060">
          <cell r="F2060" t="str">
            <v>Lampu LED E27 19 watt</v>
          </cell>
          <cell r="G2060" t="str">
            <v xml:space="preserve">buah </v>
          </cell>
          <cell r="H2060">
            <v>70500</v>
          </cell>
        </row>
        <row r="2061">
          <cell r="F2061" t="str">
            <v>RM TKI 2 x 16 Watt LED</v>
          </cell>
          <cell r="G2061" t="str">
            <v>unit</v>
          </cell>
          <cell r="H2061">
            <v>265000</v>
          </cell>
        </row>
        <row r="2062">
          <cell r="F2062" t="str">
            <v>Lampu Sorot LED 100 Watt</v>
          </cell>
          <cell r="G2062" t="str">
            <v xml:space="preserve">unit </v>
          </cell>
          <cell r="H2062">
            <v>125000</v>
          </cell>
        </row>
        <row r="2063">
          <cell r="F2063" t="str">
            <v xml:space="preserve">Lampu Sorot RGB 30 Watt untuk Outdoor </v>
          </cell>
          <cell r="G2063" t="str">
            <v xml:space="preserve">unit </v>
          </cell>
          <cell r="H2063">
            <v>34000</v>
          </cell>
        </row>
        <row r="2064">
          <cell r="F2064" t="str">
            <v xml:space="preserve">Pelindung Lampu </v>
          </cell>
          <cell r="G2064" t="str">
            <v xml:space="preserve">unit </v>
          </cell>
          <cell r="H2064">
            <v>18000</v>
          </cell>
        </row>
        <row r="2065">
          <cell r="F2065" t="str">
            <v xml:space="preserve">Lampu High Bay 100 Watt </v>
          </cell>
          <cell r="G2065" t="str">
            <v xml:space="preserve">unit </v>
          </cell>
          <cell r="H2065">
            <v>1620000</v>
          </cell>
        </row>
        <row r="2066">
          <cell r="F2066" t="str">
            <v xml:space="preserve">Lampu Eksit LED 3 Watt c/w Battery </v>
          </cell>
          <cell r="G2066" t="str">
            <v xml:space="preserve">buah </v>
          </cell>
          <cell r="H2066">
            <v>148000</v>
          </cell>
        </row>
        <row r="2067">
          <cell r="F2067" t="str">
            <v xml:space="preserve">Lampu TLED 1  x 14 Watt 2.100 Lumen </v>
          </cell>
          <cell r="G2067" t="str">
            <v>buah</v>
          </cell>
          <cell r="H2067">
            <v>65000</v>
          </cell>
        </row>
        <row r="2068">
          <cell r="F2068" t="str">
            <v>Lampu TLED 1 x 24 Watt 2.100 Lumen</v>
          </cell>
          <cell r="G2068" t="str">
            <v xml:space="preserve">buah </v>
          </cell>
          <cell r="H2068">
            <v>72000</v>
          </cell>
        </row>
        <row r="2069">
          <cell r="F2069" t="str">
            <v>Lampu TLED 2 x 24 Watt 2.100 Lumen</v>
          </cell>
          <cell r="G2069" t="str">
            <v xml:space="preserve">buah </v>
          </cell>
          <cell r="H2069">
            <v>144000</v>
          </cell>
        </row>
        <row r="2070">
          <cell r="F2070" t="str">
            <v xml:space="preserve">Lampu PJU LED 50 Watt </v>
          </cell>
          <cell r="G2070" t="str">
            <v xml:space="preserve">buah </v>
          </cell>
          <cell r="H2070">
            <v>495000</v>
          </cell>
        </row>
        <row r="2071">
          <cell r="F2071" t="str">
            <v>Tiang PJU Kawasan 6-7 m</v>
          </cell>
          <cell r="G2071" t="str">
            <v xml:space="preserve">buah </v>
          </cell>
          <cell r="H2071">
            <v>2000000</v>
          </cell>
        </row>
        <row r="2072">
          <cell r="F2072" t="str">
            <v>Lampu PJU LED 50 Watt + Solar Cell</v>
          </cell>
          <cell r="G2072" t="str">
            <v xml:space="preserve">buah </v>
          </cell>
          <cell r="H2072">
            <v>700000</v>
          </cell>
        </row>
        <row r="2073">
          <cell r="F2073" t="str">
            <v>Lampu Taman 25 Watt +Tiang 1 m</v>
          </cell>
          <cell r="G2073" t="str">
            <v xml:space="preserve">buah </v>
          </cell>
          <cell r="H2073">
            <v>155000</v>
          </cell>
        </row>
        <row r="2074">
          <cell r="F2074" t="str">
            <v>Fitting</v>
          </cell>
          <cell r="G2074" t="str">
            <v xml:space="preserve">buah </v>
          </cell>
          <cell r="H2074">
            <v>16000</v>
          </cell>
        </row>
        <row r="2075">
          <cell r="F2075" t="str">
            <v xml:space="preserve">Lampu LED 7 Watt </v>
          </cell>
          <cell r="G2075" t="str">
            <v xml:space="preserve">buah </v>
          </cell>
          <cell r="H2075">
            <v>27000</v>
          </cell>
        </row>
        <row r="2076">
          <cell r="F2076" t="str">
            <v xml:space="preserve">Lampu LED 9 Watt </v>
          </cell>
          <cell r="G2076" t="str">
            <v xml:space="preserve">buah </v>
          </cell>
          <cell r="H2076">
            <v>34000</v>
          </cell>
        </row>
        <row r="2077">
          <cell r="F2077" t="str">
            <v>Lampu Baret 20 Watt</v>
          </cell>
          <cell r="G2077" t="str">
            <v xml:space="preserve">buah </v>
          </cell>
          <cell r="H2077">
            <v>77000</v>
          </cell>
        </row>
        <row r="2078">
          <cell r="F2078" t="str">
            <v>Lampu Baret 32 Watt</v>
          </cell>
          <cell r="H2078">
            <v>97000</v>
          </cell>
        </row>
        <row r="2079">
          <cell r="F2079" t="str">
            <v xml:space="preserve">Lampu Pijar 40 Watt </v>
          </cell>
          <cell r="H2079">
            <v>28000</v>
          </cell>
        </row>
        <row r="2080">
          <cell r="F2080" t="str">
            <v xml:space="preserve">Lampu TL 18 Watt </v>
          </cell>
          <cell r="H2080">
            <v>20000</v>
          </cell>
        </row>
        <row r="2081">
          <cell r="F2081" t="str">
            <v xml:space="preserve">Lampu TLED 18 Watt </v>
          </cell>
          <cell r="H2081">
            <v>30000</v>
          </cell>
        </row>
        <row r="2082">
          <cell r="F2082" t="str">
            <v>Lampu TL  36 Watt</v>
          </cell>
          <cell r="H2082">
            <v>25000</v>
          </cell>
        </row>
        <row r="2083">
          <cell r="F2083" t="str">
            <v>Lampu TLED  36 Watt</v>
          </cell>
          <cell r="H2083">
            <v>75000</v>
          </cell>
        </row>
        <row r="2084">
          <cell r="F2084" t="str">
            <v xml:space="preserve">Lampu Sport Floodlight Led </v>
          </cell>
          <cell r="G2084" t="str">
            <v xml:space="preserve">buah </v>
          </cell>
          <cell r="H2084">
            <v>375000</v>
          </cell>
        </row>
        <row r="2085">
          <cell r="F2085" t="str">
            <v xml:space="preserve">Brackket </v>
          </cell>
          <cell r="G2085" t="str">
            <v xml:space="preserve">buah </v>
          </cell>
          <cell r="H2085">
            <v>11500</v>
          </cell>
        </row>
        <row r="2086">
          <cell r="F2086" t="str">
            <v xml:space="preserve">Junction Box IP Rated </v>
          </cell>
          <cell r="G2086" t="str">
            <v xml:space="preserve">buah </v>
          </cell>
          <cell r="H2086">
            <v>142000</v>
          </cell>
        </row>
        <row r="2087">
          <cell r="F2087" t="str">
            <v xml:space="preserve">Kabel Fiber Optic Dual Core Single Mode </v>
          </cell>
          <cell r="G2087" t="str">
            <v>m'</v>
          </cell>
          <cell r="H2087">
            <v>11300</v>
          </cell>
        </row>
        <row r="2088">
          <cell r="F2088" t="str">
            <v>Pipa HDPE Conduit 20 mm</v>
          </cell>
          <cell r="G2088" t="str">
            <v>m'</v>
          </cell>
          <cell r="H2088">
            <v>3800</v>
          </cell>
        </row>
        <row r="2089">
          <cell r="F2089" t="str">
            <v>DMX LED Controller 1 Universe</v>
          </cell>
          <cell r="G2089" t="str">
            <v xml:space="preserve">buah </v>
          </cell>
          <cell r="H2089">
            <v>1400000</v>
          </cell>
        </row>
        <row r="2090">
          <cell r="F2090" t="str">
            <v xml:space="preserve">Sensor Cahaya </v>
          </cell>
          <cell r="G2090" t="str">
            <v xml:space="preserve">buah </v>
          </cell>
          <cell r="H2090">
            <v>58000</v>
          </cell>
        </row>
        <row r="2091">
          <cell r="F2091" t="str">
            <v xml:space="preserve">Sensor Gerak </v>
          </cell>
          <cell r="G2091" t="str">
            <v xml:space="preserve">buah </v>
          </cell>
          <cell r="H2091">
            <v>65900</v>
          </cell>
        </row>
        <row r="2092">
          <cell r="F2092" t="str">
            <v>MCP-FA (Semi Addressable 1 Loop)</v>
          </cell>
          <cell r="G2092" t="str">
            <v>unit</v>
          </cell>
          <cell r="H2092">
            <v>26250000</v>
          </cell>
        </row>
        <row r="2093">
          <cell r="F2093" t="str">
            <v>Programming, Testing &amp; commisioning</v>
          </cell>
          <cell r="G2093" t="str">
            <v xml:space="preserve">lot </v>
          </cell>
          <cell r="H2093">
            <v>3500000</v>
          </cell>
        </row>
        <row r="2094">
          <cell r="F2094" t="str">
            <v xml:space="preserve">PC Komputer </v>
          </cell>
          <cell r="G2094" t="str">
            <v xml:space="preserve">Unit </v>
          </cell>
          <cell r="H2094">
            <v>3500000</v>
          </cell>
        </row>
        <row r="2095">
          <cell r="F2095" t="str">
            <v xml:space="preserve">Alarm Printer </v>
          </cell>
          <cell r="G2095" t="str">
            <v>unit</v>
          </cell>
          <cell r="H2095">
            <v>2500000</v>
          </cell>
        </row>
        <row r="2096">
          <cell r="F2096" t="str">
            <v>Report Printer</v>
          </cell>
          <cell r="G2096" t="str">
            <v>unit</v>
          </cell>
          <cell r="H2096">
            <v>1900000</v>
          </cell>
        </row>
        <row r="2097">
          <cell r="F2097" t="str">
            <v>Announciator</v>
          </cell>
          <cell r="G2097" t="str">
            <v>unit</v>
          </cell>
          <cell r="H2097">
            <v>2100000</v>
          </cell>
        </row>
        <row r="2098">
          <cell r="F2098" t="str">
            <v xml:space="preserve">Terminal Box Fire Alarm </v>
          </cell>
          <cell r="G2098" t="str">
            <v xml:space="preserve">unit </v>
          </cell>
          <cell r="H2098">
            <v>265000</v>
          </cell>
        </row>
        <row r="2099">
          <cell r="F2099" t="str">
            <v xml:space="preserve">Smoke Detector Addressable </v>
          </cell>
          <cell r="G2099" t="str">
            <v>Unit</v>
          </cell>
          <cell r="H2099">
            <v>780000</v>
          </cell>
        </row>
        <row r="2100">
          <cell r="F2100" t="str">
            <v xml:space="preserve">Rate of Rise Detector Addressable </v>
          </cell>
          <cell r="G2100" t="str">
            <v xml:space="preserve">unit </v>
          </cell>
          <cell r="H2100">
            <v>343000</v>
          </cell>
        </row>
        <row r="2101">
          <cell r="F2101" t="str">
            <v xml:space="preserve">Fix Heat Detector Addressable </v>
          </cell>
          <cell r="G2101" t="str">
            <v xml:space="preserve">unit </v>
          </cell>
          <cell r="H2101">
            <v>318000</v>
          </cell>
        </row>
        <row r="2102">
          <cell r="F2102" t="str">
            <v xml:space="preserve">Smoke Detector Konvensional </v>
          </cell>
          <cell r="G2102" t="str">
            <v xml:space="preserve">unit </v>
          </cell>
          <cell r="H2102">
            <v>245000</v>
          </cell>
        </row>
        <row r="2103">
          <cell r="F2103" t="str">
            <v>Rate of Rise Detector Konvensional</v>
          </cell>
          <cell r="G2103" t="str">
            <v xml:space="preserve">unit </v>
          </cell>
          <cell r="H2103">
            <v>240000</v>
          </cell>
        </row>
        <row r="2104">
          <cell r="F2104" t="str">
            <v>Fix Heat Detector Konvensioanl</v>
          </cell>
          <cell r="G2104" t="str">
            <v xml:space="preserve">unit </v>
          </cell>
          <cell r="H2104">
            <v>290000</v>
          </cell>
        </row>
        <row r="2105">
          <cell r="F2105" t="str">
            <v xml:space="preserve">Lamp Indicator </v>
          </cell>
          <cell r="G2105" t="str">
            <v xml:space="preserve">unit </v>
          </cell>
          <cell r="H2105">
            <v>57000</v>
          </cell>
        </row>
        <row r="2106">
          <cell r="F2106" t="str">
            <v>Manual Break Glass</v>
          </cell>
          <cell r="G2106" t="str">
            <v xml:space="preserve">unit </v>
          </cell>
          <cell r="H2106">
            <v>60000</v>
          </cell>
        </row>
        <row r="2107">
          <cell r="F2107" t="str">
            <v>Horn Strobe</v>
          </cell>
          <cell r="G2107" t="str">
            <v xml:space="preserve">unit </v>
          </cell>
          <cell r="H2107">
            <v>175000</v>
          </cell>
        </row>
        <row r="2108">
          <cell r="F2108" t="str">
            <v xml:space="preserve">Fire Fighting Telepon </v>
          </cell>
          <cell r="G2108" t="str">
            <v xml:space="preserve">unit </v>
          </cell>
          <cell r="H2108">
            <v>135000</v>
          </cell>
        </row>
        <row r="2109">
          <cell r="F2109" t="str">
            <v>Alarm Bell</v>
          </cell>
          <cell r="G2109" t="str">
            <v xml:space="preserve">unit </v>
          </cell>
          <cell r="H2109">
            <v>85000</v>
          </cell>
        </row>
        <row r="2110">
          <cell r="F2110" t="str">
            <v xml:space="preserve">Sirine Module </v>
          </cell>
          <cell r="G2110" t="str">
            <v>buah</v>
          </cell>
          <cell r="H2110">
            <v>650000</v>
          </cell>
        </row>
        <row r="2111">
          <cell r="F2111" t="str">
            <v>Control Module</v>
          </cell>
          <cell r="G2111" t="str">
            <v>Buah</v>
          </cell>
          <cell r="H2111">
            <v>350000</v>
          </cell>
        </row>
        <row r="2112">
          <cell r="F2112" t="str">
            <v>Relay Module</v>
          </cell>
          <cell r="G2112" t="str">
            <v xml:space="preserve">buah </v>
          </cell>
          <cell r="H2112">
            <v>103500</v>
          </cell>
        </row>
        <row r="2113">
          <cell r="F2113" t="str">
            <v xml:space="preserve">Isolator Module </v>
          </cell>
          <cell r="G2113" t="str">
            <v xml:space="preserve">buah </v>
          </cell>
          <cell r="H2113">
            <v>220000</v>
          </cell>
        </row>
        <row r="2114">
          <cell r="F2114" t="str">
            <v>Monitor Module</v>
          </cell>
          <cell r="G2114" t="str">
            <v>buah</v>
          </cell>
          <cell r="H2114">
            <v>200000</v>
          </cell>
        </row>
        <row r="2115">
          <cell r="F2115" t="str">
            <v>Rectifier</v>
          </cell>
          <cell r="G2115" t="str">
            <v>unit</v>
          </cell>
          <cell r="H2115">
            <v>3500000</v>
          </cell>
        </row>
        <row r="2116">
          <cell r="F2116" t="str">
            <v>Power Surge Arrester</v>
          </cell>
          <cell r="G2116" t="str">
            <v>unit</v>
          </cell>
          <cell r="H2116">
            <v>1279000</v>
          </cell>
        </row>
        <row r="2117">
          <cell r="F2117" t="str">
            <v xml:space="preserve">UPS 2 KVA 15 Menit </v>
          </cell>
          <cell r="G2117" t="str">
            <v>unit</v>
          </cell>
          <cell r="H2117">
            <v>3800000</v>
          </cell>
        </row>
        <row r="2118">
          <cell r="F2118" t="str">
            <v>UPS 2 KVA 30 Menit</v>
          </cell>
          <cell r="G2118" t="str">
            <v>unit</v>
          </cell>
          <cell r="H2118">
            <v>4100000</v>
          </cell>
        </row>
        <row r="2119">
          <cell r="F2119" t="str">
            <v>UPS 2 KVA 1 Jam</v>
          </cell>
          <cell r="G2119" t="str">
            <v>unit</v>
          </cell>
          <cell r="H2119">
            <v>4900000</v>
          </cell>
        </row>
        <row r="2120">
          <cell r="F2120" t="str">
            <v>UPS 2 KVA 2 Jam</v>
          </cell>
          <cell r="G2120" t="str">
            <v>unit</v>
          </cell>
          <cell r="H2120">
            <v>5200000</v>
          </cell>
        </row>
        <row r="2121">
          <cell r="F2121" t="str">
            <v>UPS 2 KVA 4 Jam</v>
          </cell>
          <cell r="G2121" t="str">
            <v>unit</v>
          </cell>
          <cell r="H2121">
            <v>5700000</v>
          </cell>
        </row>
        <row r="2122">
          <cell r="F2122" t="str">
            <v xml:space="preserve">End of Line Resistor </v>
          </cell>
          <cell r="G2122" t="str">
            <v>unit</v>
          </cell>
          <cell r="H2122">
            <v>20000</v>
          </cell>
        </row>
        <row r="2123">
          <cell r="F2123" t="str">
            <v>Patch Panel UTP Cat 6 4 Port</v>
          </cell>
          <cell r="G2123" t="str">
            <v>unit</v>
          </cell>
          <cell r="H2123">
            <v>1540000</v>
          </cell>
        </row>
        <row r="2124">
          <cell r="F2124" t="str">
            <v>Wiring Management</v>
          </cell>
          <cell r="H2124">
            <v>110000</v>
          </cell>
        </row>
        <row r="2125">
          <cell r="F2125" t="str">
            <v>PoE Switch HUB</v>
          </cell>
          <cell r="H2125">
            <v>273000</v>
          </cell>
        </row>
        <row r="2126">
          <cell r="F2126" t="str">
            <v>Network  Video Recorder (NVR) Kapasitas 32 Chanel</v>
          </cell>
          <cell r="H2126">
            <v>5500000</v>
          </cell>
        </row>
        <row r="2127">
          <cell r="F2127" t="str">
            <v xml:space="preserve">8 TB Hardisk </v>
          </cell>
          <cell r="H2127">
            <v>1960000</v>
          </cell>
        </row>
        <row r="2128">
          <cell r="F2128" t="str">
            <v xml:space="preserve">Rak 19" 12 U Lengkap dengan Power Outlet </v>
          </cell>
          <cell r="H2128">
            <v>770000</v>
          </cell>
        </row>
        <row r="2129">
          <cell r="F2129" t="str">
            <v>LCD Monitor 32"</v>
          </cell>
          <cell r="H2129">
            <v>2380000</v>
          </cell>
        </row>
        <row r="2130">
          <cell r="F2130" t="str">
            <v>Bracket Monitor 32"</v>
          </cell>
          <cell r="H2130">
            <v>88500</v>
          </cell>
        </row>
        <row r="2131">
          <cell r="F2131" t="str">
            <v>LCD Monitor 50"</v>
          </cell>
          <cell r="H2131">
            <v>3500000</v>
          </cell>
        </row>
        <row r="2132">
          <cell r="F2132" t="str">
            <v>Bracket Monitor 50"</v>
          </cell>
          <cell r="H2132">
            <v>150000</v>
          </cell>
        </row>
        <row r="2133">
          <cell r="F2133" t="str">
            <v xml:space="preserve">Keyboard + Mouse </v>
          </cell>
          <cell r="H2133">
            <v>350000</v>
          </cell>
        </row>
        <row r="2134">
          <cell r="F2134" t="str">
            <v xml:space="preserve">Indoor Fix Dome IP Camera </v>
          </cell>
          <cell r="H2134">
            <v>465000</v>
          </cell>
        </row>
        <row r="2135">
          <cell r="F2135" t="str">
            <v xml:space="preserve">Outdoor Fix Dome IP Camera </v>
          </cell>
          <cell r="H2135">
            <v>504000</v>
          </cell>
        </row>
        <row r="2136">
          <cell r="F2136" t="str">
            <v>MDF-SS</v>
          </cell>
          <cell r="H2136">
            <v>1450000</v>
          </cell>
        </row>
        <row r="2137">
          <cell r="F2137" t="str">
            <v>Selector Switch c/w Control Panel</v>
          </cell>
          <cell r="H2137">
            <v>850000</v>
          </cell>
        </row>
        <row r="2138">
          <cell r="F2138" t="str">
            <v>Power Amplifier 360 Watt</v>
          </cell>
          <cell r="H2138">
            <v>1500000</v>
          </cell>
        </row>
        <row r="2139">
          <cell r="F2139" t="str">
            <v>Power Amplifier 240 Watt</v>
          </cell>
          <cell r="H2139">
            <v>1200000</v>
          </cell>
        </row>
        <row r="2140">
          <cell r="F2140" t="str">
            <v>Power Amplifier 120 Watt</v>
          </cell>
          <cell r="H2140">
            <v>1000000</v>
          </cell>
        </row>
        <row r="2141">
          <cell r="F2141" t="str">
            <v>System Controller (Mixer Pre Amp + Equalizer)</v>
          </cell>
          <cell r="H2141">
            <v>250000</v>
          </cell>
        </row>
        <row r="2142">
          <cell r="F2142" t="str">
            <v>VCD/DVD/MP3/Mp4</v>
          </cell>
          <cell r="H2142">
            <v>250000</v>
          </cell>
        </row>
        <row r="2143">
          <cell r="F2143" t="str">
            <v>Automatic Alarm System</v>
          </cell>
          <cell r="G2143" t="str">
            <v xml:space="preserve">unit </v>
          </cell>
          <cell r="H2143">
            <v>1000000</v>
          </cell>
        </row>
        <row r="2144">
          <cell r="F2144" t="str">
            <v>Paging Mic Keypad</v>
          </cell>
          <cell r="H2144">
            <v>640000</v>
          </cell>
        </row>
        <row r="2145">
          <cell r="F2145" t="str">
            <v xml:space="preserve">UPS 1 KVA 4 Jam </v>
          </cell>
          <cell r="H2145">
            <v>2475000</v>
          </cell>
        </row>
        <row r="2146">
          <cell r="F2146" t="str">
            <v>Rack Cabinet</v>
          </cell>
          <cell r="H2146">
            <v>670000</v>
          </cell>
        </row>
        <row r="2147">
          <cell r="F2147" t="str">
            <v>Terminal Box Tata Suara (TBTS)</v>
          </cell>
          <cell r="H2147">
            <v>75000</v>
          </cell>
        </row>
        <row r="2148">
          <cell r="F2148" t="str">
            <v>Ceiling Speaker</v>
          </cell>
          <cell r="H2148">
            <v>680000</v>
          </cell>
        </row>
        <row r="2149">
          <cell r="F2149" t="str">
            <v>Wall Speaker</v>
          </cell>
          <cell r="H2149">
            <v>650000</v>
          </cell>
        </row>
        <row r="2150">
          <cell r="F2150" t="str">
            <v>Horn Speaker</v>
          </cell>
          <cell r="H2150">
            <v>250000</v>
          </cell>
        </row>
        <row r="2151">
          <cell r="F2151" t="str">
            <v xml:space="preserve">Tiang </v>
          </cell>
          <cell r="G2151" t="str">
            <v>m'</v>
          </cell>
          <cell r="H2151">
            <v>55500</v>
          </cell>
        </row>
        <row r="2152">
          <cell r="F2152" t="str">
            <v>MDF 2 x 8 Pair</v>
          </cell>
          <cell r="G2152" t="str">
            <v>Unit</v>
          </cell>
          <cell r="H2152">
            <v>125000</v>
          </cell>
        </row>
        <row r="2153">
          <cell r="F2153" t="str">
            <v>MDF 2 x 10 Pair</v>
          </cell>
          <cell r="G2153" t="str">
            <v>Unit</v>
          </cell>
          <cell r="H2153">
            <v>150000</v>
          </cell>
        </row>
        <row r="2154">
          <cell r="F2154" t="str">
            <v xml:space="preserve">Pemasangan 1 Unit PABX Kap: 1 Line 10 Extension </v>
          </cell>
          <cell r="G2154" t="str">
            <v xml:space="preserve">Unit </v>
          </cell>
          <cell r="H2154">
            <v>1000000</v>
          </cell>
        </row>
        <row r="2155">
          <cell r="F2155" t="str">
            <v xml:space="preserve">Pemasangan 1 Unit PABX Kap: 1 Line 8 Extension </v>
          </cell>
          <cell r="G2155" t="str">
            <v xml:space="preserve">Unit </v>
          </cell>
          <cell r="H2155">
            <v>870000</v>
          </cell>
        </row>
        <row r="2156">
          <cell r="F2156" t="str">
            <v>Terminal Box Telepon</v>
          </cell>
          <cell r="H2156">
            <v>250000</v>
          </cell>
        </row>
        <row r="2157">
          <cell r="F2157" t="str">
            <v>Outlet Telepon</v>
          </cell>
          <cell r="G2157" t="str">
            <v xml:space="preserve">unit </v>
          </cell>
          <cell r="H2157">
            <v>102000</v>
          </cell>
        </row>
        <row r="2158">
          <cell r="F2158" t="str">
            <v>Server / Gateway c/w PC, Monitor, Keyboard, Mouse</v>
          </cell>
          <cell r="G2158" t="str">
            <v xml:space="preserve">Unit </v>
          </cell>
          <cell r="H2158">
            <v>6500000</v>
          </cell>
        </row>
        <row r="2159">
          <cell r="F2159" t="str">
            <v>Main Switch HUB 24 Port</v>
          </cell>
          <cell r="G2159" t="str">
            <v>unit</v>
          </cell>
          <cell r="H2159">
            <v>950000</v>
          </cell>
        </row>
        <row r="2160">
          <cell r="F2160" t="str">
            <v>Main Switch HUB 12 Port</v>
          </cell>
          <cell r="G2160" t="str">
            <v>unit</v>
          </cell>
          <cell r="H2160">
            <v>650000</v>
          </cell>
        </row>
        <row r="2161">
          <cell r="F2161" t="str">
            <v>Router Broadband</v>
          </cell>
          <cell r="H2161">
            <v>550000</v>
          </cell>
        </row>
        <row r="2162">
          <cell r="F2162" t="str">
            <v>Fire Wall + Anti Virus</v>
          </cell>
          <cell r="H2162">
            <v>250000</v>
          </cell>
        </row>
        <row r="2163">
          <cell r="F2163" t="str">
            <v>Outlet Data</v>
          </cell>
          <cell r="H2163">
            <v>150000</v>
          </cell>
        </row>
        <row r="2164">
          <cell r="F2164" t="str">
            <v>Patch Cord</v>
          </cell>
          <cell r="H2164">
            <v>30000</v>
          </cell>
        </row>
        <row r="2165">
          <cell r="F2165" t="str">
            <v>Patch Panel 24 Port</v>
          </cell>
          <cell r="H2165">
            <v>500000</v>
          </cell>
        </row>
        <row r="2166">
          <cell r="F2166" t="str">
            <v>Wifi Access Point (Wifi 6 Radius 50 M)</v>
          </cell>
          <cell r="H2166">
            <v>1500000</v>
          </cell>
        </row>
        <row r="2167">
          <cell r="F2167" t="str">
            <v>Switch Hub 8 Port</v>
          </cell>
          <cell r="H2167">
            <v>250000</v>
          </cell>
        </row>
        <row r="2168">
          <cell r="F2168" t="str">
            <v xml:space="preserve">Media Converter </v>
          </cell>
          <cell r="H2168">
            <v>110000</v>
          </cell>
        </row>
        <row r="2169">
          <cell r="F2169" t="str">
            <v xml:space="preserve">OTB </v>
          </cell>
          <cell r="H2169">
            <v>150000</v>
          </cell>
        </row>
        <row r="2170">
          <cell r="F2170" t="str">
            <v>Touch Screen Panel 7"</v>
          </cell>
          <cell r="H2170">
            <v>2300000</v>
          </cell>
        </row>
        <row r="2171">
          <cell r="F2171" t="str">
            <v>Touch Screen Panel 10"</v>
          </cell>
          <cell r="H2171">
            <v>2500000</v>
          </cell>
        </row>
        <row r="2172">
          <cell r="F2172" t="str">
            <v>Touch Screen Panel 12"</v>
          </cell>
          <cell r="H2172">
            <v>2900000</v>
          </cell>
        </row>
        <row r="2173">
          <cell r="F2173" t="str">
            <v>Touch Screen Panel 14"</v>
          </cell>
          <cell r="H2173">
            <v>3200000</v>
          </cell>
        </row>
        <row r="2174">
          <cell r="F2174" t="str">
            <v>Wall Mounted Rack 15U</v>
          </cell>
          <cell r="H2174">
            <v>150000</v>
          </cell>
        </row>
        <row r="2175">
          <cell r="F2175" t="str">
            <v>Workstation, Meja+Kursi</v>
          </cell>
          <cell r="H2175">
            <v>2550000</v>
          </cell>
        </row>
        <row r="2176">
          <cell r="F2176" t="str">
            <v xml:space="preserve">Connector </v>
          </cell>
          <cell r="H2176">
            <v>2550</v>
          </cell>
        </row>
        <row r="2177">
          <cell r="F2177" t="str">
            <v>Splitter TV 6 Port</v>
          </cell>
          <cell r="H2177">
            <v>100000</v>
          </cell>
        </row>
        <row r="2178">
          <cell r="F2178" t="str">
            <v>Splitter TV 7 Port</v>
          </cell>
          <cell r="H2178">
            <v>125000</v>
          </cell>
        </row>
        <row r="2179">
          <cell r="F2179" t="str">
            <v>Terminal Bocx TV</v>
          </cell>
          <cell r="H2179">
            <v>250000</v>
          </cell>
        </row>
        <row r="2180">
          <cell r="F2180" t="str">
            <v>Antena UHF</v>
          </cell>
          <cell r="H2180">
            <v>130000</v>
          </cell>
        </row>
        <row r="2181">
          <cell r="F2181" t="str">
            <v>Antena VHF</v>
          </cell>
          <cell r="H2181">
            <v>150000</v>
          </cell>
        </row>
        <row r="2182">
          <cell r="F2182" t="str">
            <v>AC Wall Mounted Kap : 5.000 BTUH</v>
          </cell>
          <cell r="H2182">
            <v>3200000</v>
          </cell>
        </row>
        <row r="2183">
          <cell r="F2183" t="str">
            <v>AC Wall Mounted Kap : 6.500 BTUH</v>
          </cell>
          <cell r="H2183">
            <v>3800000</v>
          </cell>
        </row>
        <row r="2184">
          <cell r="F2184" t="str">
            <v>AC Wall Mounted Kap : 7.000 BTUH</v>
          </cell>
          <cell r="H2184">
            <v>4200000</v>
          </cell>
        </row>
        <row r="2185">
          <cell r="F2185" t="str">
            <v>AC Wall Mounted Kap : 9.000 BTUH</v>
          </cell>
          <cell r="H2185">
            <v>4500000</v>
          </cell>
        </row>
        <row r="2186">
          <cell r="F2186" t="str">
            <v>AC Wall Mounted Kap : 12.000 BTUH</v>
          </cell>
          <cell r="H2186">
            <v>5300000</v>
          </cell>
        </row>
        <row r="2187">
          <cell r="F2187" t="str">
            <v>AC Wall Mounted Kap : 24.000 BTUH</v>
          </cell>
          <cell r="H2187">
            <v>7600000</v>
          </cell>
        </row>
        <row r="2188">
          <cell r="F2188" t="str">
            <v>AC Wall Mounted Kap : 35.000 BTUH</v>
          </cell>
          <cell r="H2188">
            <v>10000000</v>
          </cell>
        </row>
        <row r="2189">
          <cell r="F2189" t="str">
            <v>Ceiling Fan, 50 CFM</v>
          </cell>
          <cell r="H2189">
            <v>900000</v>
          </cell>
        </row>
        <row r="2190">
          <cell r="F2190" t="str">
            <v>Ceiling Fan, 75 CFM</v>
          </cell>
          <cell r="H2190">
            <v>1200000</v>
          </cell>
        </row>
        <row r="2191">
          <cell r="F2191" t="str">
            <v>Ceiling Fan, 100 CFM</v>
          </cell>
          <cell r="H2191">
            <v>1350000</v>
          </cell>
        </row>
        <row r="2192">
          <cell r="F2192" t="str">
            <v>Ceiling Fan, 200 CFM</v>
          </cell>
          <cell r="H2192">
            <v>1500000</v>
          </cell>
        </row>
        <row r="2193">
          <cell r="F2193" t="str">
            <v>Inline  Fan, 500 CFM</v>
          </cell>
          <cell r="H2193">
            <v>1300000</v>
          </cell>
        </row>
        <row r="2194">
          <cell r="F2194" t="str">
            <v>Inline  Fan, 700 CFM</v>
          </cell>
          <cell r="H2194">
            <v>1700000</v>
          </cell>
        </row>
        <row r="2195">
          <cell r="F2195" t="str">
            <v>Axial Fan ; 2.600 CFM</v>
          </cell>
          <cell r="H2195">
            <v>780000</v>
          </cell>
        </row>
        <row r="2196">
          <cell r="F2196" t="str">
            <v>Axial Fan ; 2.800 CFM</v>
          </cell>
          <cell r="H2196">
            <v>860000</v>
          </cell>
        </row>
        <row r="2197">
          <cell r="F2197" t="str">
            <v>Axial Fan ; 3.200 CFM</v>
          </cell>
          <cell r="H2197">
            <v>995000</v>
          </cell>
        </row>
        <row r="2198">
          <cell r="F2198" t="str">
            <v>Axial Fan ; 3.500 CFM</v>
          </cell>
          <cell r="H2198">
            <v>1020000</v>
          </cell>
        </row>
        <row r="2199">
          <cell r="F2199" t="str">
            <v>Axial Fan ; 4.000 CFM</v>
          </cell>
          <cell r="H2199">
            <v>1350000</v>
          </cell>
        </row>
        <row r="2200">
          <cell r="F2200" t="str">
            <v>Axial Fan ; 5.500 CFM</v>
          </cell>
          <cell r="H2200">
            <v>1700000</v>
          </cell>
        </row>
        <row r="2201">
          <cell r="F2201" t="str">
            <v>Rotary Fan</v>
          </cell>
          <cell r="H2201">
            <v>750000</v>
          </cell>
        </row>
        <row r="2202">
          <cell r="F2202" t="str">
            <v>Ceiling Fan Rotary</v>
          </cell>
          <cell r="H2202">
            <v>1500000</v>
          </cell>
        </row>
        <row r="2203">
          <cell r="F2203" t="str">
            <v>Bifurcated Fan; 1.500 CFM</v>
          </cell>
          <cell r="H2203">
            <v>8300000</v>
          </cell>
        </row>
        <row r="2204">
          <cell r="F2204" t="str">
            <v>Propeller Fan, 75 CFM</v>
          </cell>
          <cell r="H2204">
            <v>1800000</v>
          </cell>
        </row>
        <row r="2205">
          <cell r="F2205" t="str">
            <v>Propeller Fan, 100 CFM</v>
          </cell>
          <cell r="H2205">
            <v>2100000</v>
          </cell>
        </row>
        <row r="2206">
          <cell r="F2206" t="str">
            <v>Propeller Fan, 150 CFM</v>
          </cell>
          <cell r="H2206">
            <v>2300000</v>
          </cell>
        </row>
        <row r="2207">
          <cell r="F2207" t="str">
            <v>Propeller Fan, 370 CFM</v>
          </cell>
          <cell r="H2207">
            <v>250000</v>
          </cell>
        </row>
        <row r="2208">
          <cell r="F2208" t="str">
            <v>Propeller Fan, 375 CFM</v>
          </cell>
          <cell r="H2208">
            <v>2900000</v>
          </cell>
        </row>
        <row r="2209">
          <cell r="F2209" t="str">
            <v>Propeller Fan, 500 CFM</v>
          </cell>
          <cell r="H2209">
            <v>3500000</v>
          </cell>
        </row>
        <row r="2210">
          <cell r="F2210" t="str">
            <v>Propeller Fan, 600 CFM</v>
          </cell>
          <cell r="H2210">
            <v>3900000</v>
          </cell>
        </row>
        <row r="2211">
          <cell r="F2211" t="str">
            <v>Propeller Fan, 1200 CFM</v>
          </cell>
          <cell r="H2211">
            <v>4500000</v>
          </cell>
        </row>
        <row r="2212">
          <cell r="F2212" t="str">
            <v>Intake Grille 600 x 300 mm</v>
          </cell>
          <cell r="H2212">
            <v>95000</v>
          </cell>
        </row>
        <row r="2213">
          <cell r="F2213" t="str">
            <v>Intake Grille 650 x 350 mm</v>
          </cell>
          <cell r="H2213">
            <v>115000</v>
          </cell>
        </row>
        <row r="2214">
          <cell r="F2214" t="str">
            <v>Intake Grille 800 x 350 mm</v>
          </cell>
          <cell r="H2214">
            <v>130000</v>
          </cell>
        </row>
        <row r="2215">
          <cell r="F2215" t="str">
            <v>Intake Grille 800 x 400 mm</v>
          </cell>
          <cell r="H2215">
            <v>145000</v>
          </cell>
        </row>
        <row r="2216">
          <cell r="F2216" t="str">
            <v xml:space="preserve"> Intake Louvre 700 x 400 mm</v>
          </cell>
          <cell r="H2216">
            <v>135000</v>
          </cell>
        </row>
        <row r="2217">
          <cell r="F2217" t="str">
            <v xml:space="preserve"> Fan Louvre 750 x 400 mm</v>
          </cell>
          <cell r="H2217">
            <v>150000</v>
          </cell>
        </row>
        <row r="2218">
          <cell r="F2218" t="str">
            <v xml:space="preserve"> Fan Louvre 900 x 500 mm</v>
          </cell>
          <cell r="H2218">
            <v>220000</v>
          </cell>
        </row>
        <row r="2219">
          <cell r="F2219" t="str">
            <v xml:space="preserve"> Fan Louvre 1.000 x 400 mm</v>
          </cell>
          <cell r="H2219">
            <v>250000</v>
          </cell>
        </row>
        <row r="2220">
          <cell r="F2220" t="str">
            <v xml:space="preserve"> Fan Louvre 1.000 x 450 mm</v>
          </cell>
          <cell r="H2220">
            <v>270000</v>
          </cell>
        </row>
        <row r="2221">
          <cell r="F2221" t="str">
            <v>Exhaust Grille 150 x 150 mm</v>
          </cell>
          <cell r="H2221">
            <v>140000</v>
          </cell>
        </row>
        <row r="2222">
          <cell r="F2222" t="str">
            <v>Exhaust Grille 200 x 200 mm</v>
          </cell>
          <cell r="H2222">
            <v>160000</v>
          </cell>
        </row>
        <row r="2223">
          <cell r="F2223" t="str">
            <v>Exhaust Grille 600 x 300 mm</v>
          </cell>
          <cell r="H2223">
            <v>200000</v>
          </cell>
        </row>
        <row r="2224">
          <cell r="F2224" t="str">
            <v>Exhaust Grille 650 x 350 mm</v>
          </cell>
          <cell r="H2224">
            <v>230000</v>
          </cell>
        </row>
        <row r="2225">
          <cell r="F2225" t="str">
            <v>Exhaust Grille 900 x 400 mm</v>
          </cell>
          <cell r="H2225">
            <v>300000</v>
          </cell>
        </row>
        <row r="2226">
          <cell r="F2226" t="str">
            <v>Exhaust Louvre</v>
          </cell>
          <cell r="H2226">
            <v>450000</v>
          </cell>
        </row>
        <row r="2227">
          <cell r="F2227" t="str">
            <v xml:space="preserve">ZINK BJLS </v>
          </cell>
          <cell r="H2227">
            <v>222000</v>
          </cell>
        </row>
        <row r="2228">
          <cell r="F2228" t="str">
            <v xml:space="preserve">Flinkote </v>
          </cell>
          <cell r="G2228" t="str">
            <v xml:space="preserve">lot </v>
          </cell>
          <cell r="H2228">
            <v>56500</v>
          </cell>
        </row>
        <row r="2229">
          <cell r="F2229" t="str">
            <v xml:space="preserve">finish Cat </v>
          </cell>
          <cell r="G2229" t="str">
            <v xml:space="preserve">lot </v>
          </cell>
          <cell r="H2229">
            <v>92000</v>
          </cell>
        </row>
        <row r="2230">
          <cell r="F2230" t="str">
            <v>Hanger + Support</v>
          </cell>
          <cell r="G2230" t="str">
            <v xml:space="preserve">lolt </v>
          </cell>
          <cell r="H2230">
            <v>55000</v>
          </cell>
        </row>
        <row r="2232">
          <cell r="F2232" t="str">
            <v xml:space="preserve">MATERIAL SISTEM PEMBUMIAN </v>
          </cell>
        </row>
        <row r="2233">
          <cell r="F2233" t="str">
            <v>Bak Kontrol Pemeriksaan dari Batu Bata 45 x 45 x 45 cm + Tutup Beton 45 x 45 x 10 cm</v>
          </cell>
          <cell r="G2233" t="str">
            <v xml:space="preserve">buah </v>
          </cell>
          <cell r="H2233">
            <v>829900</v>
          </cell>
        </row>
        <row r="2234">
          <cell r="F2234" t="str">
            <v>Terminal Busbar 300 x 50 x 5 mm</v>
          </cell>
          <cell r="G2234" t="str">
            <v>buah</v>
          </cell>
          <cell r="H2234">
            <v>135000</v>
          </cell>
        </row>
        <row r="2235">
          <cell r="F2235" t="str">
            <v>Batang Tembaga Pembumian Dia.5/8” (kedalaman min. 12 m)</v>
          </cell>
          <cell r="G2235" t="str">
            <v>batang</v>
          </cell>
          <cell r="H2235">
            <v>1135000</v>
          </cell>
        </row>
        <row r="2236">
          <cell r="F2236" t="str">
            <v>Pantek (kedalaman min. 12 m)</v>
          </cell>
          <cell r="G2236" t="str">
            <v>lot</v>
          </cell>
          <cell r="H2236">
            <v>245000</v>
          </cell>
        </row>
        <row r="2237">
          <cell r="F2237" t="str">
            <v>Kabel BC 95 mm2</v>
          </cell>
          <cell r="G2237" t="str">
            <v>m</v>
          </cell>
          <cell r="H2237">
            <v>145000</v>
          </cell>
        </row>
        <row r="2238">
          <cell r="F2238" t="str">
            <v>Kabel Skun 95 mm2</v>
          </cell>
          <cell r="G2238" t="str">
            <v>m</v>
          </cell>
          <cell r="H2238">
            <v>26400</v>
          </cell>
        </row>
        <row r="2239">
          <cell r="F2239" t="str">
            <v>Rod Coupling</v>
          </cell>
          <cell r="G2239" t="str">
            <v>buah</v>
          </cell>
          <cell r="H2239">
            <v>130000</v>
          </cell>
        </row>
        <row r="2240">
          <cell r="F2240" t="str">
            <v>Material Bantu</v>
          </cell>
          <cell r="G2240" t="str">
            <v>lot</v>
          </cell>
          <cell r="H2240">
            <v>50000</v>
          </cell>
        </row>
        <row r="2241">
          <cell r="F2241" t="str">
            <v>Batang Tembaga Pembumian Dia.3/4” (kedalaman min. 12 m)</v>
          </cell>
          <cell r="G2241" t="str">
            <v>batang</v>
          </cell>
          <cell r="H2241">
            <v>1666000</v>
          </cell>
        </row>
        <row r="2242">
          <cell r="F2242" t="str">
            <v xml:space="preserve">Air Terminal </v>
          </cell>
          <cell r="G2242" t="str">
            <v>unit</v>
          </cell>
          <cell r="H2242">
            <v>1634000</v>
          </cell>
        </row>
        <row r="2243">
          <cell r="F2243" t="str">
            <v xml:space="preserve">Base Air Terminal </v>
          </cell>
          <cell r="G2243" t="str">
            <v xml:space="preserve">unit </v>
          </cell>
          <cell r="H2243">
            <v>587600</v>
          </cell>
        </row>
        <row r="2244">
          <cell r="F2244" t="str">
            <v xml:space="preserve">DC Clip Non Metalic Clamp </v>
          </cell>
          <cell r="G2244" t="str">
            <v>unit</v>
          </cell>
          <cell r="H2244">
            <v>13500</v>
          </cell>
        </row>
        <row r="2245">
          <cell r="F2245" t="str">
            <v>Square Tape Clamp</v>
          </cell>
          <cell r="G2245" t="str">
            <v>unit</v>
          </cell>
          <cell r="H2245">
            <v>55000</v>
          </cell>
        </row>
        <row r="2246">
          <cell r="F2246" t="str">
            <v xml:space="preserve">Bimetallic Connector </v>
          </cell>
          <cell r="G2246" t="str">
            <v xml:space="preserve">unit </v>
          </cell>
          <cell r="H2246">
            <v>35000</v>
          </cell>
        </row>
        <row r="2247">
          <cell r="F2247" t="str">
            <v>Grounding Test Box</v>
          </cell>
          <cell r="G2247" t="str">
            <v>unit</v>
          </cell>
          <cell r="H2247">
            <v>492000</v>
          </cell>
        </row>
        <row r="2248">
          <cell r="F2248" t="str">
            <v xml:space="preserve">5/8" Rod Coupling </v>
          </cell>
          <cell r="G2248" t="str">
            <v xml:space="preserve">unit </v>
          </cell>
          <cell r="H2248">
            <v>45000</v>
          </cell>
        </row>
        <row r="2249">
          <cell r="F2249" t="str">
            <v xml:space="preserve">5/8" Driving Stud </v>
          </cell>
          <cell r="G2249" t="str">
            <v>unit</v>
          </cell>
          <cell r="H2249">
            <v>83000</v>
          </cell>
        </row>
        <row r="2250">
          <cell r="F2250" t="str">
            <v>Rod to Cable Clamp (Type GUV)</v>
          </cell>
          <cell r="G2250" t="str">
            <v xml:space="preserve">unit </v>
          </cell>
          <cell r="H2250">
            <v>252900</v>
          </cell>
        </row>
        <row r="2251">
          <cell r="F2251" t="str">
            <v>Polymer Inspection Pit</v>
          </cell>
          <cell r="G2251" t="str">
            <v>unit</v>
          </cell>
          <cell r="H2251">
            <v>530000</v>
          </cell>
        </row>
        <row r="2252">
          <cell r="F2252" t="str">
            <v>Coupling Bonding Grounded Rod 70 mm2</v>
          </cell>
          <cell r="G2252" t="str">
            <v xml:space="preserve">unit </v>
          </cell>
          <cell r="H2252">
            <v>2040000</v>
          </cell>
        </row>
        <row r="2253">
          <cell r="F2253" t="str">
            <v>Clamp BC L ukuran BC 70 mm2</v>
          </cell>
          <cell r="G2253" t="str">
            <v xml:space="preserve">unit </v>
          </cell>
          <cell r="H2253">
            <v>25500</v>
          </cell>
        </row>
        <row r="2254">
          <cell r="F2254" t="str">
            <v>Clamp PVC 1"</v>
          </cell>
          <cell r="G2254" t="str">
            <v xml:space="preserve">unit </v>
          </cell>
          <cell r="H2254">
            <v>1500</v>
          </cell>
        </row>
        <row r="2255">
          <cell r="F2255" t="str">
            <v xml:space="preserve">Copper Air Terminal Base 15 mm </v>
          </cell>
          <cell r="H2255">
            <v>189000</v>
          </cell>
        </row>
        <row r="2256">
          <cell r="F2256" t="str">
            <v xml:space="preserve">15x500 mm Aluminium Air Rod </v>
          </cell>
          <cell r="H2256">
            <v>160000</v>
          </cell>
        </row>
        <row r="2257">
          <cell r="F2257" t="str">
            <v xml:space="preserve">15x500 mm Copper Air Rod </v>
          </cell>
          <cell r="H2257">
            <v>582000</v>
          </cell>
        </row>
        <row r="2258">
          <cell r="F2258" t="str">
            <v>25x3 mm Bare Aluminium Tape</v>
          </cell>
          <cell r="G2258" t="str">
            <v>m'</v>
          </cell>
          <cell r="H2258">
            <v>58620</v>
          </cell>
        </row>
        <row r="2259">
          <cell r="F2259" t="str">
            <v xml:space="preserve">5/8" x 1800 mm Extensible Copperbond Rod </v>
          </cell>
          <cell r="G2259" t="str">
            <v xml:space="preserve">buah </v>
          </cell>
          <cell r="H2259">
            <v>496000</v>
          </cell>
        </row>
        <row r="2260">
          <cell r="F2260" t="str">
            <v xml:space="preserve">5/8" Copperbond Rod </v>
          </cell>
          <cell r="G2260" t="str">
            <v xml:space="preserve">buah </v>
          </cell>
          <cell r="H2260">
            <v>185000</v>
          </cell>
        </row>
        <row r="2261">
          <cell r="F2261" t="str">
            <v xml:space="preserve">Grounding Rod Gip 1" Panjang 1 m </v>
          </cell>
          <cell r="G2261" t="str">
            <v>buah</v>
          </cell>
          <cell r="H2261">
            <v>142500</v>
          </cell>
        </row>
        <row r="2262">
          <cell r="F2262" t="str">
            <v xml:space="preserve">Grounding Rod Gip 1" Panjang 2 m </v>
          </cell>
          <cell r="G2262" t="str">
            <v>buah</v>
          </cell>
          <cell r="H2262">
            <v>285000</v>
          </cell>
        </row>
        <row r="2263">
          <cell r="F2263" t="str">
            <v>Exothermic Welding</v>
          </cell>
          <cell r="G2263" t="str">
            <v xml:space="preserve">buah </v>
          </cell>
          <cell r="H2263">
            <v>185000</v>
          </cell>
        </row>
        <row r="2264">
          <cell r="F2264" t="str">
            <v>Surge Arrester 1 Phase (15 KA)</v>
          </cell>
          <cell r="G2264" t="str">
            <v xml:space="preserve">unit </v>
          </cell>
          <cell r="H2264">
            <v>690000</v>
          </cell>
        </row>
        <row r="2265">
          <cell r="F2265" t="str">
            <v>Surge Arrester 3 Phase (15 KA)</v>
          </cell>
          <cell r="G2265" t="str">
            <v xml:space="preserve">unit </v>
          </cell>
          <cell r="H2265">
            <v>962000</v>
          </cell>
        </row>
        <row r="2266">
          <cell r="F2266" t="str">
            <v>MATERIAL LAIN-LAIN</v>
          </cell>
        </row>
        <row r="2267">
          <cell r="F2267" t="str">
            <v>Air</v>
          </cell>
          <cell r="G2267" t="str">
            <v>liter</v>
          </cell>
          <cell r="H2267">
            <v>200</v>
          </cell>
        </row>
        <row r="2268">
          <cell r="F2268" t="str">
            <v>Banner plastik 0.6x0.8 m2</v>
          </cell>
          <cell r="G2268" t="str">
            <v>m2</v>
          </cell>
          <cell r="H2268">
            <v>100000</v>
          </cell>
        </row>
        <row r="2269">
          <cell r="F2269" t="str">
            <v>Air (m3)</v>
          </cell>
          <cell r="G2269" t="str">
            <v>m3</v>
          </cell>
          <cell r="H2269">
            <v>50000</v>
          </cell>
        </row>
        <row r="2270">
          <cell r="F2270" t="str">
            <v>Akrilik 4 mm</v>
          </cell>
          <cell r="G2270" t="str">
            <v>m2</v>
          </cell>
          <cell r="H2270">
            <v>179000</v>
          </cell>
        </row>
        <row r="2271">
          <cell r="F2271" t="str">
            <v>Alang-alang</v>
          </cell>
          <cell r="G2271" t="str">
            <v>ikat</v>
          </cell>
          <cell r="H2271">
            <v>30000</v>
          </cell>
        </row>
        <row r="2272">
          <cell r="F2272" t="str">
            <v>Alat  tulis</v>
          </cell>
          <cell r="G2272" t="str">
            <v>buah</v>
          </cell>
          <cell r="H2272">
            <v>68600</v>
          </cell>
        </row>
        <row r="2273">
          <cell r="F2273" t="str">
            <v>Aluminium foil</v>
          </cell>
          <cell r="G2273" t="str">
            <v>m2</v>
          </cell>
          <cell r="H2273">
            <v>10000</v>
          </cell>
        </row>
        <row r="2274">
          <cell r="F2274" t="str">
            <v>Aluminium foil double side</v>
          </cell>
          <cell r="G2274" t="str">
            <v>m2</v>
          </cell>
          <cell r="H2274">
            <v>11000</v>
          </cell>
        </row>
        <row r="2275">
          <cell r="F2275" t="str">
            <v>Amplas</v>
          </cell>
          <cell r="G2275" t="str">
            <v>lembar</v>
          </cell>
          <cell r="H2275">
            <v>3900</v>
          </cell>
        </row>
        <row r="2276">
          <cell r="F2276" t="str">
            <v>Baja ringan C75 x 0,75 mm</v>
          </cell>
          <cell r="G2276" t="str">
            <v>batang</v>
          </cell>
          <cell r="H2276">
            <v>77200</v>
          </cell>
        </row>
        <row r="2277">
          <cell r="F2277" t="str">
            <v>Baja ringan C75 x 0,75 mm (permeter)</v>
          </cell>
          <cell r="G2277" t="str">
            <v>m</v>
          </cell>
          <cell r="H2277">
            <v>12866.666666666666</v>
          </cell>
        </row>
        <row r="2278">
          <cell r="F2278" t="str">
            <v xml:space="preserve">Baja Profil </v>
          </cell>
          <cell r="G2278" t="str">
            <v>kg</v>
          </cell>
          <cell r="H2278">
            <v>16480</v>
          </cell>
        </row>
        <row r="2279">
          <cell r="F2279" t="str">
            <v>Baja ringan C75 x 0,8 mm</v>
          </cell>
          <cell r="G2279" t="str">
            <v>batang</v>
          </cell>
          <cell r="H2279">
            <v>82400</v>
          </cell>
        </row>
        <row r="2280">
          <cell r="F2280" t="str">
            <v>Baja ringan C75 x 1,00 mm</v>
          </cell>
          <cell r="G2280" t="str">
            <v>batang</v>
          </cell>
          <cell r="H2280">
            <v>106000</v>
          </cell>
        </row>
        <row r="2281">
          <cell r="F2281" t="str">
            <v>Baja ringan C75 x 1,00 mm (m)</v>
          </cell>
          <cell r="G2281" t="str">
            <v>m'</v>
          </cell>
          <cell r="H2281">
            <v>17667</v>
          </cell>
        </row>
        <row r="2282">
          <cell r="F2282" t="str">
            <v>Bata Ringan (ukuran 60x20x10 cm)</v>
          </cell>
          <cell r="G2282" t="str">
            <v>m3</v>
          </cell>
          <cell r="H2282">
            <v>755000</v>
          </cell>
        </row>
        <row r="2283">
          <cell r="F2283" t="str">
            <v>Batu Andesit  Bakar 10x10, t=3cm</v>
          </cell>
          <cell r="G2283" t="str">
            <v>Unit</v>
          </cell>
          <cell r="H2283">
            <v>145000</v>
          </cell>
        </row>
        <row r="2284">
          <cell r="F2284" t="str">
            <v>Batu Andesit  Bakar 30x30, t=3cm</v>
          </cell>
          <cell r="G2284" t="str">
            <v>Unit</v>
          </cell>
          <cell r="H2284">
            <v>170000</v>
          </cell>
        </row>
        <row r="2285">
          <cell r="F2285" t="str">
            <v>Batu apung</v>
          </cell>
          <cell r="G2285" t="str">
            <v>kg</v>
          </cell>
          <cell r="H2285">
            <v>6100</v>
          </cell>
        </row>
        <row r="2286">
          <cell r="F2286" t="str">
            <v>Bollard Besi Tempa (BL1)</v>
          </cell>
          <cell r="G2286" t="str">
            <v>unit</v>
          </cell>
          <cell r="H2286">
            <v>1262500</v>
          </cell>
        </row>
        <row r="2287">
          <cell r="F2287" t="str">
            <v>Bollard Besi Tempa (BL2)</v>
          </cell>
          <cell r="G2287" t="str">
            <v>unit</v>
          </cell>
          <cell r="H2287">
            <v>1040000</v>
          </cell>
        </row>
        <row r="2288">
          <cell r="F2288" t="str">
            <v>Bollard cast  iron (tinggi 1,2m ; Ø bawah 5"  ; Ø atas  4")</v>
          </cell>
          <cell r="G2288" t="str">
            <v>buah</v>
          </cell>
          <cell r="H2288">
            <v>2626500</v>
          </cell>
        </row>
        <row r="2289">
          <cell r="F2289" t="str">
            <v>Bollard stainless  steel (tinggi 1m ; Ø 4")</v>
          </cell>
          <cell r="G2289" t="str">
            <v>buah</v>
          </cell>
          <cell r="H2289">
            <v>555600</v>
          </cell>
        </row>
        <row r="2290">
          <cell r="F2290" t="str">
            <v>Bubuk poles</v>
          </cell>
          <cell r="G2290" t="str">
            <v>kg</v>
          </cell>
          <cell r="H2290">
            <v>180000</v>
          </cell>
        </row>
        <row r="2291">
          <cell r="F2291" t="str">
            <v>Aspal</v>
          </cell>
          <cell r="G2291" t="str">
            <v>kg</v>
          </cell>
          <cell r="H2291">
            <v>1200</v>
          </cell>
        </row>
        <row r="2292">
          <cell r="F2292" t="str">
            <v>Coldmix  (Aspal Tambal Dingin) 25 kg</v>
          </cell>
          <cell r="G2292" t="str">
            <v>Zak</v>
          </cell>
          <cell r="H2292">
            <v>225000</v>
          </cell>
        </row>
        <row r="2293">
          <cell r="F2293" t="str">
            <v>Cutting sticker</v>
          </cell>
          <cell r="G2293" t="str">
            <v>m2</v>
          </cell>
          <cell r="H2293">
            <v>100000</v>
          </cell>
        </row>
        <row r="2294">
          <cell r="F2294" t="str">
            <v>Epoxy resin grout</v>
          </cell>
          <cell r="G2294" t="str">
            <v>kg</v>
          </cell>
          <cell r="H2294">
            <v>216700</v>
          </cell>
        </row>
        <row r="2295">
          <cell r="F2295" t="str">
            <v>Formica</v>
          </cell>
          <cell r="G2295" t="str">
            <v>lembar</v>
          </cell>
          <cell r="H2295">
            <v>51400</v>
          </cell>
        </row>
        <row r="2296">
          <cell r="F2296" t="str">
            <v>Formika</v>
          </cell>
          <cell r="G2296" t="str">
            <v>lembar</v>
          </cell>
          <cell r="H2296">
            <v>170000</v>
          </cell>
        </row>
        <row r="2297">
          <cell r="F2297" t="str">
            <v>Gebalan Rumput  Jenis  Lamuran</v>
          </cell>
          <cell r="G2297" t="str">
            <v>m²</v>
          </cell>
          <cell r="H2297">
            <v>10600</v>
          </cell>
        </row>
        <row r="2298">
          <cell r="F2298" t="str">
            <v>Glasswool tebal 8 cm</v>
          </cell>
          <cell r="G2298" t="str">
            <v>m2</v>
          </cell>
          <cell r="H2298">
            <v>29167</v>
          </cell>
        </row>
        <row r="2299">
          <cell r="F2299" t="str">
            <v>Guardrail</v>
          </cell>
          <cell r="G2299" t="str">
            <v>m'</v>
          </cell>
          <cell r="H2299">
            <v>761200</v>
          </cell>
        </row>
        <row r="2300">
          <cell r="F2300" t="str">
            <v>Hebel Block (ukuran 60x20x15 cm)</v>
          </cell>
          <cell r="G2300" t="str">
            <v>buah</v>
          </cell>
          <cell r="H2300">
            <v>20200</v>
          </cell>
        </row>
        <row r="2301">
          <cell r="F2301" t="str">
            <v>Huruf/letter timbul stainless  steel</v>
          </cell>
          <cell r="G2301" t="str">
            <v>buah</v>
          </cell>
          <cell r="H2301">
            <v>9200</v>
          </cell>
        </row>
        <row r="2302">
          <cell r="F2302" t="str">
            <v>Ijuk</v>
          </cell>
          <cell r="G2302" t="str">
            <v>m3</v>
          </cell>
          <cell r="H2302">
            <v>39700</v>
          </cell>
        </row>
        <row r="2303">
          <cell r="F2303" t="str">
            <v>Insulasi foam</v>
          </cell>
          <cell r="G2303" t="str">
            <v>m2</v>
          </cell>
          <cell r="H2303">
            <v>70000</v>
          </cell>
        </row>
        <row r="2304">
          <cell r="F2304" t="str">
            <v>Jaringan udara (LVTC  2x15 mm)</v>
          </cell>
          <cell r="G2304" t="str">
            <v>unit</v>
          </cell>
          <cell r="H2304">
            <v>2156800</v>
          </cell>
        </row>
        <row r="2305">
          <cell r="F2305" t="str">
            <v>Jendela type J1</v>
          </cell>
          <cell r="G2305" t="str">
            <v>unit</v>
          </cell>
          <cell r="H2305">
            <v>2740500</v>
          </cell>
        </row>
        <row r="2306">
          <cell r="F2306" t="str">
            <v>Jendela type J2</v>
          </cell>
          <cell r="G2306" t="str">
            <v>unit</v>
          </cell>
          <cell r="H2306">
            <v>5481000</v>
          </cell>
        </row>
        <row r="2307">
          <cell r="F2307" t="str">
            <v>Joint  Sealent</v>
          </cell>
          <cell r="G2307" t="str">
            <v>kg</v>
          </cell>
          <cell r="H2307">
            <v>37300</v>
          </cell>
        </row>
        <row r="2308">
          <cell r="F2308" t="str">
            <v>Kapur</v>
          </cell>
          <cell r="G2308" t="str">
            <v>m3</v>
          </cell>
          <cell r="H2308">
            <v>263700</v>
          </cell>
        </row>
        <row r="2309">
          <cell r="F2309" t="str">
            <v>Kapur padam</v>
          </cell>
          <cell r="G2309" t="str">
            <v>kg</v>
          </cell>
          <cell r="H2309">
            <v>7000</v>
          </cell>
        </row>
        <row r="2310">
          <cell r="F2310" t="str">
            <v>Karung goni</v>
          </cell>
          <cell r="G2310" t="str">
            <v>m2</v>
          </cell>
          <cell r="H2310">
            <v>14500</v>
          </cell>
        </row>
        <row r="2311">
          <cell r="F2311" t="str">
            <v>Karung plastik</v>
          </cell>
          <cell r="G2311" t="str">
            <v>buah</v>
          </cell>
          <cell r="H2311">
            <v>3900</v>
          </cell>
        </row>
        <row r="2312">
          <cell r="F2312" t="str">
            <v>Kisdam (sewa sheet  pile selama 2 bulan)</v>
          </cell>
          <cell r="G2312" t="str">
            <v>batang</v>
          </cell>
          <cell r="H2312">
            <v>710500</v>
          </cell>
        </row>
        <row r="2313">
          <cell r="F2313" t="str">
            <v>Lem Aibon</v>
          </cell>
          <cell r="G2313" t="str">
            <v>kg</v>
          </cell>
          <cell r="H2313">
            <v>42500</v>
          </cell>
        </row>
        <row r="2314">
          <cell r="F2314" t="str">
            <v>Lem epoxy</v>
          </cell>
          <cell r="G2314" t="str">
            <v>kg</v>
          </cell>
          <cell r="H2314">
            <v>145000</v>
          </cell>
        </row>
        <row r="2315">
          <cell r="F2315" t="str">
            <v>Lem kayu</v>
          </cell>
          <cell r="G2315" t="str">
            <v>kg</v>
          </cell>
          <cell r="H2315">
            <v>16400</v>
          </cell>
        </row>
        <row r="2316">
          <cell r="F2316" t="str">
            <v>Lem vinyl</v>
          </cell>
          <cell r="G2316" t="str">
            <v>kg</v>
          </cell>
          <cell r="H2316">
            <v>36900</v>
          </cell>
        </row>
        <row r="2317">
          <cell r="F2317" t="str">
            <v xml:space="preserve">Lem Karpet </v>
          </cell>
          <cell r="G2317" t="str">
            <v>kg</v>
          </cell>
          <cell r="H2317">
            <v>75000</v>
          </cell>
        </row>
        <row r="2318">
          <cell r="F2318" t="str">
            <v>Lethering akrilik tinggi 100 tebal 20 cm</v>
          </cell>
          <cell r="G2318" t="str">
            <v>buah</v>
          </cell>
          <cell r="H2318">
            <v>1167200</v>
          </cell>
        </row>
        <row r="2319">
          <cell r="F2319" t="str">
            <v>Lethering akrilik tinggi 25 tebal 5 cm</v>
          </cell>
          <cell r="G2319" t="str">
            <v>buah</v>
          </cell>
          <cell r="H2319">
            <v>140000</v>
          </cell>
        </row>
        <row r="2320">
          <cell r="F2320" t="str">
            <v>Lethering akrilik tinggi 45 tebal 20 cm</v>
          </cell>
          <cell r="G2320" t="str">
            <v>buah</v>
          </cell>
          <cell r="H2320">
            <v>525200</v>
          </cell>
        </row>
        <row r="2321">
          <cell r="F2321" t="str">
            <v>Lethering akrilik tinggi 70 tebal 20 cm</v>
          </cell>
          <cell r="G2321" t="str">
            <v>buah</v>
          </cell>
          <cell r="H2321">
            <v>817000</v>
          </cell>
        </row>
        <row r="2322">
          <cell r="F2322" t="str">
            <v>Lis  profil beton (50 cm)</v>
          </cell>
          <cell r="G2322" t="str">
            <v>buah</v>
          </cell>
          <cell r="H2322">
            <v>8000</v>
          </cell>
        </row>
        <row r="2323">
          <cell r="F2323" t="str">
            <v>Mortar Acian Bata Ringan</v>
          </cell>
          <cell r="G2323" t="str">
            <v>zak</v>
          </cell>
          <cell r="H2323">
            <v>99600</v>
          </cell>
        </row>
        <row r="2324">
          <cell r="F2324" t="str">
            <v>Mortar Perekat  Bata Ringan</v>
          </cell>
          <cell r="G2324" t="str">
            <v>zak</v>
          </cell>
          <cell r="H2324">
            <v>85600</v>
          </cell>
        </row>
        <row r="2325">
          <cell r="F2325" t="str">
            <v>Mortar Plesteran Bata Ringan</v>
          </cell>
          <cell r="G2325" t="str">
            <v>zak</v>
          </cell>
          <cell r="H2325">
            <v>82600</v>
          </cell>
        </row>
        <row r="2326">
          <cell r="F2326" t="str">
            <v>Mortar siap pakai</v>
          </cell>
          <cell r="G2326" t="str">
            <v>kg</v>
          </cell>
          <cell r="H2326">
            <v>1850</v>
          </cell>
        </row>
        <row r="2327">
          <cell r="F2327" t="str">
            <v>Mortar Skimcoat</v>
          </cell>
          <cell r="G2327" t="str">
            <v>kg</v>
          </cell>
          <cell r="H2327">
            <v>5070</v>
          </cell>
        </row>
        <row r="2328">
          <cell r="F2328" t="str">
            <v>Nako  per daun</v>
          </cell>
          <cell r="G2328" t="str">
            <v>buah</v>
          </cell>
          <cell r="H2328">
            <v>8700</v>
          </cell>
        </row>
        <row r="2329">
          <cell r="F2329" t="str">
            <v>Pasir Ottawa</v>
          </cell>
          <cell r="G2329" t="str">
            <v>Zak</v>
          </cell>
          <cell r="H2329">
            <v>515000</v>
          </cell>
        </row>
        <row r="2330">
          <cell r="F2330" t="str">
            <v>Pemasangan lantai tempered laminated glass  Jemabatan Kaca</v>
          </cell>
          <cell r="G2330" t="str">
            <v>Unit</v>
          </cell>
          <cell r="H2330">
            <v>107070707</v>
          </cell>
        </row>
        <row r="2331">
          <cell r="F2331" t="str">
            <v>Pen akrilik</v>
          </cell>
          <cell r="G2331" t="str">
            <v>buah</v>
          </cell>
          <cell r="H2331">
            <v>7000</v>
          </cell>
        </row>
        <row r="2332">
          <cell r="F2332" t="str">
            <v>Perekat untuk  wallpaper</v>
          </cell>
          <cell r="G2332" t="str">
            <v>kg</v>
          </cell>
          <cell r="H2332">
            <v>36800</v>
          </cell>
        </row>
        <row r="2333">
          <cell r="F2333" t="str">
            <v>Pintu lipat  (folding door) bahan plastik/PVC</v>
          </cell>
          <cell r="G2333" t="str">
            <v>m2</v>
          </cell>
          <cell r="H2333">
            <v>215000</v>
          </cell>
        </row>
        <row r="2334">
          <cell r="F2334" t="str">
            <v>Pintu type P1</v>
          </cell>
          <cell r="G2334" t="str">
            <v>unit</v>
          </cell>
          <cell r="H2334">
            <v>4689300</v>
          </cell>
        </row>
        <row r="2335">
          <cell r="F2335" t="str">
            <v>Pipa screen pvc  Ø 4"</v>
          </cell>
          <cell r="G2335" t="str">
            <v>m¹</v>
          </cell>
          <cell r="H2335">
            <v>94600</v>
          </cell>
        </row>
        <row r="2336">
          <cell r="F2336" t="str">
            <v>Pipa stainless  steel diameter 0,5 "  panjang 6 m</v>
          </cell>
          <cell r="G2336" t="str">
            <v>batang</v>
          </cell>
          <cell r="H2336">
            <v>1152000</v>
          </cell>
        </row>
        <row r="2337">
          <cell r="F2337" t="str">
            <v>Pipa stainless  steel diameter 0,75 "  panjang 6 m</v>
          </cell>
          <cell r="G2337" t="str">
            <v>batang</v>
          </cell>
          <cell r="H2337">
            <v>1253500</v>
          </cell>
        </row>
        <row r="2338">
          <cell r="F2338" t="str">
            <v>Pipa stainless  steel diameter 1 "  panjang 6 m</v>
          </cell>
          <cell r="G2338" t="str">
            <v>batang</v>
          </cell>
          <cell r="H2338">
            <v>1598600</v>
          </cell>
        </row>
        <row r="2339">
          <cell r="F2339" t="str">
            <v>Pipa stainless  steel diameter 1,5 "  panjang 6 m</v>
          </cell>
          <cell r="G2339" t="str">
            <v>batang</v>
          </cell>
          <cell r="H2339">
            <v>1877700</v>
          </cell>
        </row>
        <row r="2340">
          <cell r="F2340" t="str">
            <v>Pipa stainless  steel diameter 2 "  panjang 6 m</v>
          </cell>
          <cell r="G2340" t="str">
            <v>batang</v>
          </cell>
          <cell r="H2340">
            <v>2461300</v>
          </cell>
        </row>
        <row r="2341">
          <cell r="F2341" t="str">
            <v>Pipa stainless  steel diameter 2,5 "  panjang 6 m</v>
          </cell>
          <cell r="G2341" t="str">
            <v>batang</v>
          </cell>
          <cell r="H2341">
            <v>3045000</v>
          </cell>
        </row>
        <row r="2342">
          <cell r="F2342" t="str">
            <v>Pipa stainless  steel diameter 3 "  panjang 6 m</v>
          </cell>
          <cell r="G2342" t="str">
            <v>batang</v>
          </cell>
          <cell r="H2342">
            <v>4403200</v>
          </cell>
        </row>
        <row r="2343">
          <cell r="F2343" t="str">
            <v>Plastik aerator</v>
          </cell>
          <cell r="G2343" t="str">
            <v>buah</v>
          </cell>
          <cell r="H2343">
            <v>15900</v>
          </cell>
        </row>
        <row r="2344">
          <cell r="F2344" t="str">
            <v>Prasasti marmer 20x20</v>
          </cell>
          <cell r="G2344" t="str">
            <v>Unit</v>
          </cell>
          <cell r="H2344">
            <v>120000</v>
          </cell>
        </row>
        <row r="2345">
          <cell r="F2345" t="str">
            <v>Ramset</v>
          </cell>
          <cell r="G2345" t="str">
            <v>buah</v>
          </cell>
          <cell r="H2345">
            <v>3200</v>
          </cell>
        </row>
        <row r="2346">
          <cell r="F2346" t="str">
            <v>Recorder paper</v>
          </cell>
          <cell r="G2346" t="str">
            <v>set</v>
          </cell>
          <cell r="H2346">
            <v>174100</v>
          </cell>
        </row>
        <row r="2347">
          <cell r="F2347" t="str">
            <v>Rel pintu dorong</v>
          </cell>
          <cell r="G2347" t="str">
            <v>buah</v>
          </cell>
          <cell r="H2347">
            <v>243700</v>
          </cell>
        </row>
        <row r="2348">
          <cell r="F2348" t="str">
            <v>Reng baja ringan</v>
          </cell>
          <cell r="G2348" t="str">
            <v>batang</v>
          </cell>
          <cell r="H2348">
            <v>33900</v>
          </cell>
        </row>
        <row r="2349">
          <cell r="F2349" t="str">
            <v>Reng baja ringan</v>
          </cell>
          <cell r="G2349" t="str">
            <v>m</v>
          </cell>
          <cell r="H2349">
            <v>6000</v>
          </cell>
        </row>
        <row r="2350">
          <cell r="F2350" t="str">
            <v>Roster 10 x  20 cm</v>
          </cell>
          <cell r="G2350" t="str">
            <v>buah</v>
          </cell>
          <cell r="H2350">
            <v>11300</v>
          </cell>
        </row>
        <row r="2351">
          <cell r="F2351" t="str">
            <v>Roster 15 x  25 cm</v>
          </cell>
          <cell r="G2351" t="str">
            <v>buah</v>
          </cell>
          <cell r="H2351">
            <v>19300</v>
          </cell>
        </row>
        <row r="2352">
          <cell r="F2352" t="str">
            <v>Roster 15 x  30 cm</v>
          </cell>
          <cell r="G2352" t="str">
            <v>buah</v>
          </cell>
          <cell r="H2352">
            <v>19800</v>
          </cell>
        </row>
        <row r="2353">
          <cell r="F2353" t="str">
            <v>Roster 20 x 20 cm</v>
          </cell>
          <cell r="G2353" t="str">
            <v>buah</v>
          </cell>
          <cell r="H2353">
            <v>13100</v>
          </cell>
        </row>
        <row r="2354">
          <cell r="F2354" t="str">
            <v>Roster 25 x  25 cm</v>
          </cell>
          <cell r="G2354" t="str">
            <v>buah</v>
          </cell>
          <cell r="H2354">
            <v>16500</v>
          </cell>
        </row>
        <row r="2355">
          <cell r="F2355" t="str">
            <v>Roster 30 x  30 cm</v>
          </cell>
          <cell r="G2355" t="str">
            <v>buah</v>
          </cell>
          <cell r="H2355">
            <v>20500</v>
          </cell>
        </row>
        <row r="2356">
          <cell r="F2356" t="str">
            <v>Roster/terawang</v>
          </cell>
          <cell r="G2356" t="str">
            <v>buah</v>
          </cell>
          <cell r="H2356">
            <v>21500</v>
          </cell>
        </row>
        <row r="2357">
          <cell r="F2357" t="str">
            <v>Rumput  sintetis  uk. 1mx1m tebal 2 cm</v>
          </cell>
          <cell r="G2357" t="str">
            <v>buah</v>
          </cell>
          <cell r="H2357">
            <v>149300</v>
          </cell>
        </row>
        <row r="2358">
          <cell r="F2358" t="str">
            <v>Sabun</v>
          </cell>
          <cell r="G2358" t="str">
            <v>Kg</v>
          </cell>
          <cell r="H2358">
            <v>19400</v>
          </cell>
        </row>
        <row r="2359">
          <cell r="F2359" t="str">
            <v>Screen low  carbon</v>
          </cell>
          <cell r="G2359" t="str">
            <v>m¹</v>
          </cell>
          <cell r="H2359">
            <v>549300</v>
          </cell>
        </row>
        <row r="2360">
          <cell r="F2360" t="str">
            <v>Screen stainless  steel ø  4"</v>
          </cell>
          <cell r="G2360" t="str">
            <v>m¹</v>
          </cell>
          <cell r="H2360">
            <v>1137800</v>
          </cell>
        </row>
        <row r="2361">
          <cell r="F2361" t="str">
            <v>Sealant</v>
          </cell>
          <cell r="G2361" t="str">
            <v>tube</v>
          </cell>
          <cell r="H2361">
            <v>33100</v>
          </cell>
        </row>
        <row r="2362">
          <cell r="F2362" t="str">
            <v>Sealant</v>
          </cell>
          <cell r="G2362" t="str">
            <v>tube</v>
          </cell>
          <cell r="H2362">
            <v>33500</v>
          </cell>
        </row>
        <row r="2363">
          <cell r="F2363" t="str">
            <v>Sealant  kaca</v>
          </cell>
          <cell r="G2363" t="str">
            <v>kg</v>
          </cell>
          <cell r="H2363">
            <v>32100</v>
          </cell>
        </row>
        <row r="2364">
          <cell r="F2364" t="str">
            <v>Sealtape</v>
          </cell>
          <cell r="G2364" t="str">
            <v>buah</v>
          </cell>
          <cell r="H2364">
            <v>5700</v>
          </cell>
        </row>
        <row r="2365">
          <cell r="F2365" t="str">
            <v>Semen Sika</v>
          </cell>
          <cell r="G2365" t="str">
            <v>Zak</v>
          </cell>
          <cell r="H2365">
            <v>163900</v>
          </cell>
        </row>
        <row r="2366">
          <cell r="F2366" t="str">
            <v>Septic  tank pabrikasi 1000 liter</v>
          </cell>
          <cell r="G2366" t="str">
            <v>buah</v>
          </cell>
          <cell r="H2366">
            <v>3605000</v>
          </cell>
        </row>
        <row r="2367">
          <cell r="F2367" t="str">
            <v>Septic  tank pabrikasi 1200 liter</v>
          </cell>
          <cell r="G2367" t="str">
            <v>buah</v>
          </cell>
          <cell r="H2367">
            <v>5150000</v>
          </cell>
        </row>
        <row r="2368">
          <cell r="F2368" t="str">
            <v>Septic  tank pabrikasi 2000 liter</v>
          </cell>
          <cell r="G2368" t="str">
            <v>buah</v>
          </cell>
          <cell r="H2368">
            <v>9785000</v>
          </cell>
        </row>
        <row r="2369">
          <cell r="F2369" t="str">
            <v>Septic  tank pabrikasi 800 liter</v>
          </cell>
          <cell r="G2369" t="str">
            <v>buah</v>
          </cell>
          <cell r="H2369">
            <v>2629500</v>
          </cell>
        </row>
        <row r="2370">
          <cell r="F2370" t="str">
            <v>Sesek bambu</v>
          </cell>
          <cell r="G2370" t="str">
            <v>lembar</v>
          </cell>
          <cell r="H2370">
            <v>19100</v>
          </cell>
        </row>
        <row r="2371">
          <cell r="F2371" t="str">
            <v>Signage RMJ</v>
          </cell>
          <cell r="G2371" t="str">
            <v>unit</v>
          </cell>
          <cell r="H2371">
            <v>1987300</v>
          </cell>
        </row>
        <row r="2372">
          <cell r="F2372" t="str">
            <v>Signage Plat Baja lengkap dengan accessories</v>
          </cell>
          <cell r="G2372" t="str">
            <v xml:space="preserve">buah </v>
          </cell>
          <cell r="H2372">
            <v>1500000</v>
          </cell>
        </row>
        <row r="2373">
          <cell r="F2373" t="str">
            <v>Sitting Group (cast  iron, kayu)</v>
          </cell>
          <cell r="G2373" t="str">
            <v>unit</v>
          </cell>
          <cell r="H2373">
            <v>2389300</v>
          </cell>
        </row>
        <row r="2374">
          <cell r="F2374" t="str">
            <v>Skrup fixer</v>
          </cell>
          <cell r="G2374" t="str">
            <v>buah</v>
          </cell>
          <cell r="H2374">
            <v>1600</v>
          </cell>
        </row>
        <row r="2375">
          <cell r="F2375" t="str">
            <v>Soda api</v>
          </cell>
          <cell r="G2375" t="str">
            <v>kg</v>
          </cell>
          <cell r="H2375">
            <v>17900</v>
          </cell>
        </row>
        <row r="2376">
          <cell r="F2376" t="str">
            <v>Strorox-100</v>
          </cell>
          <cell r="G2376" t="str">
            <v>kg</v>
          </cell>
          <cell r="H2376">
            <v>40000</v>
          </cell>
        </row>
        <row r="2377">
          <cell r="F2377" t="str">
            <v>Tali ijuk</v>
          </cell>
          <cell r="G2377" t="str">
            <v>kg</v>
          </cell>
          <cell r="H2377">
            <v>8200</v>
          </cell>
        </row>
        <row r="2378">
          <cell r="F2378" t="str">
            <v xml:space="preserve">Tali Ijuk </v>
          </cell>
          <cell r="G2378" t="str">
            <v>m'</v>
          </cell>
          <cell r="H2378">
            <v>200</v>
          </cell>
        </row>
        <row r="2379">
          <cell r="F2379" t="str">
            <v>Terpal</v>
          </cell>
          <cell r="G2379" t="str">
            <v>m2</v>
          </cell>
          <cell r="H2379">
            <v>12000</v>
          </cell>
        </row>
        <row r="2380">
          <cell r="F2380" t="str">
            <v>Tiang Bolard (Bollard cast  iron) tinggi 1,2 m; ø bawah 5"; ø atas  4"</v>
          </cell>
          <cell r="G2380" t="str">
            <v>buah</v>
          </cell>
          <cell r="H2380">
            <v>1429100</v>
          </cell>
        </row>
        <row r="2381">
          <cell r="F2381" t="str">
            <v>Venetions  blinds  dan vertical blinds  (tirai)</v>
          </cell>
          <cell r="G2381" t="str">
            <v>m2</v>
          </cell>
          <cell r="H2381">
            <v>7400</v>
          </cell>
        </row>
        <row r="2382">
          <cell r="F2382" t="str">
            <v>Wallpaper</v>
          </cell>
          <cell r="G2382" t="str">
            <v>m'</v>
          </cell>
          <cell r="H2382">
            <v>13500</v>
          </cell>
        </row>
        <row r="2383">
          <cell r="F2383" t="str">
            <v>Waterstop lebar 150 mm</v>
          </cell>
          <cell r="G2383" t="str">
            <v>m'</v>
          </cell>
          <cell r="H2383">
            <v>75000</v>
          </cell>
        </row>
        <row r="2384">
          <cell r="F2384" t="str">
            <v>Waterstop lebar 200 mm</v>
          </cell>
          <cell r="G2384" t="str">
            <v>m'</v>
          </cell>
          <cell r="H2384">
            <v>94000</v>
          </cell>
        </row>
        <row r="2385">
          <cell r="F2385" t="str">
            <v>Waterstop lebar 250 mm</v>
          </cell>
          <cell r="G2385" t="str">
            <v>m'</v>
          </cell>
          <cell r="H2385">
            <v>136000</v>
          </cell>
        </row>
        <row r="2386">
          <cell r="F2386" t="str">
            <v>Wax</v>
          </cell>
          <cell r="G2386" t="str">
            <v>kg</v>
          </cell>
          <cell r="H2386">
            <v>130000</v>
          </cell>
        </row>
        <row r="2387">
          <cell r="F2387" t="str">
            <v>Paving Block Tebal 6 cm fc 20 Mpa</v>
          </cell>
          <cell r="G2387" t="str">
            <v>m2</v>
          </cell>
          <cell r="H2387">
            <v>70000</v>
          </cell>
        </row>
        <row r="2388">
          <cell r="F2388" t="str">
            <v xml:space="preserve">Pasir Filler </v>
          </cell>
          <cell r="G2388" t="str">
            <v>m3</v>
          </cell>
          <cell r="H2388">
            <v>300000</v>
          </cell>
        </row>
        <row r="2389">
          <cell r="F2389" t="str">
            <v>Paving Block Tebal 6 cm fc 25 Mpa</v>
          </cell>
          <cell r="G2389" t="str">
            <v>m2</v>
          </cell>
          <cell r="H2389">
            <v>82000</v>
          </cell>
        </row>
        <row r="2390">
          <cell r="F2390" t="str">
            <v>Paving Block Tebal 8 cm fc 20 Mpa</v>
          </cell>
          <cell r="G2390" t="str">
            <v>m2</v>
          </cell>
          <cell r="H2390">
            <v>85000</v>
          </cell>
        </row>
        <row r="2391">
          <cell r="F2391" t="str">
            <v>Paving Block Tebal 8 cm fc 25 Mpa</v>
          </cell>
          <cell r="G2391" t="str">
            <v>m2</v>
          </cell>
          <cell r="H2391">
            <v>97000</v>
          </cell>
        </row>
        <row r="2392">
          <cell r="F2392" t="str">
            <v>Stepping Band Lebar 15 mm</v>
          </cell>
          <cell r="G2392" t="str">
            <v>m</v>
          </cell>
          <cell r="H2392">
            <v>8570</v>
          </cell>
        </row>
        <row r="2393">
          <cell r="F2393" t="str">
            <v xml:space="preserve">Palet Kayu uk. 120x120x10 cm </v>
          </cell>
          <cell r="G2393" t="str">
            <v xml:space="preserve">buah </v>
          </cell>
          <cell r="H2393">
            <v>123000</v>
          </cell>
        </row>
        <row r="2394">
          <cell r="F2394" t="str">
            <v>Geotextile &gt;100 gr/m2</v>
          </cell>
          <cell r="G2394" t="str">
            <v>m2</v>
          </cell>
          <cell r="H2394">
            <v>17500</v>
          </cell>
        </row>
        <row r="2395">
          <cell r="F2395" t="str">
            <v>Geotextile &gt;400 gr/m2</v>
          </cell>
          <cell r="G2395" t="str">
            <v>m2</v>
          </cell>
          <cell r="H2395">
            <v>21000</v>
          </cell>
        </row>
        <row r="2396">
          <cell r="F2396" t="str">
            <v>Geotextile &gt;800 gr/m2</v>
          </cell>
          <cell r="G2396" t="str">
            <v>m2</v>
          </cell>
          <cell r="H2396">
            <v>32000</v>
          </cell>
        </row>
        <row r="2397">
          <cell r="F2397" t="str">
            <v>Geotekstil woven 400 gr/m2</v>
          </cell>
          <cell r="G2397" t="str">
            <v>m2</v>
          </cell>
          <cell r="H2397">
            <v>25000</v>
          </cell>
        </row>
        <row r="2398">
          <cell r="F2398" t="str">
            <v xml:space="preserve">Geomembran </v>
          </cell>
          <cell r="G2398" t="str">
            <v>m2</v>
          </cell>
          <cell r="H2398">
            <v>18950</v>
          </cell>
        </row>
        <row r="2399">
          <cell r="F2399" t="str">
            <v>Geosynthetic Clay Liner</v>
          </cell>
          <cell r="G2399" t="str">
            <v>m2</v>
          </cell>
          <cell r="H2399">
            <v>25000</v>
          </cell>
        </row>
        <row r="2400">
          <cell r="F2400" t="str">
            <v xml:space="preserve">Bentonite </v>
          </cell>
          <cell r="G2400" t="str">
            <v xml:space="preserve">kg </v>
          </cell>
          <cell r="H2400">
            <v>25000</v>
          </cell>
        </row>
        <row r="2401">
          <cell r="F2401" t="str">
            <v xml:space="preserve">MATERIAL LANSEKAP </v>
          </cell>
        </row>
        <row r="2402">
          <cell r="F2402" t="str">
            <v xml:space="preserve">Pupuk Organik </v>
          </cell>
          <cell r="G2402" t="str">
            <v>m3</v>
          </cell>
          <cell r="H2402">
            <v>178000</v>
          </cell>
        </row>
        <row r="2403">
          <cell r="F2403" t="str">
            <v xml:space="preserve">Kompos </v>
          </cell>
          <cell r="G2403" t="str">
            <v>m3</v>
          </cell>
          <cell r="H2403">
            <v>165000</v>
          </cell>
        </row>
        <row r="2404">
          <cell r="F2404" t="str">
            <v xml:space="preserve">Pohon Bunga Mentega di Polybag 20 Liter </v>
          </cell>
          <cell r="G2404" t="str">
            <v xml:space="preserve">buah </v>
          </cell>
          <cell r="H2404">
            <v>135000</v>
          </cell>
        </row>
        <row r="2405">
          <cell r="F2405" t="str">
            <v>Pohon Bunga Mentega di
Polybag 25 Liter</v>
          </cell>
          <cell r="G2405" t="str">
            <v xml:space="preserve">Buah </v>
          </cell>
          <cell r="H2405">
            <v>150000</v>
          </cell>
        </row>
        <row r="2406">
          <cell r="F2406" t="str">
            <v>Pohon Bunga Terompet Kuning di Polybag 20 Liter</v>
          </cell>
          <cell r="G2406" t="str">
            <v xml:space="preserve">buah </v>
          </cell>
          <cell r="H2406">
            <v>135000</v>
          </cell>
        </row>
        <row r="2407">
          <cell r="F2407" t="str">
            <v>Pohon Bunga Terompet
Kuning di Polybag 25 Liter</v>
          </cell>
          <cell r="G2407" t="str">
            <v xml:space="preserve">Buah </v>
          </cell>
          <cell r="H2407">
            <v>150000</v>
          </cell>
        </row>
        <row r="2408">
          <cell r="F2408" t="str">
            <v>Pohon Bunga Terompet Kuning di Polybag 50 Liter</v>
          </cell>
          <cell r="G2408" t="str">
            <v xml:space="preserve">Buah </v>
          </cell>
          <cell r="H2408">
            <v>200000</v>
          </cell>
        </row>
        <row r="2409">
          <cell r="F2409" t="str">
            <v xml:space="preserve">Pohon Bungur Sakura di Polybag 20 Liter </v>
          </cell>
          <cell r="G2409" t="str">
            <v xml:space="preserve">buah </v>
          </cell>
          <cell r="H2409">
            <v>150000</v>
          </cell>
        </row>
        <row r="2410">
          <cell r="F2410" t="str">
            <v>Pohon Bungur
Sakura/Bungur Jepang di
Polybag 25 Liter</v>
          </cell>
          <cell r="G2410" t="str">
            <v xml:space="preserve">Buah </v>
          </cell>
          <cell r="H2410">
            <v>175000</v>
          </cell>
        </row>
        <row r="2411">
          <cell r="F2411" t="str">
            <v>Pohon Bungur di Polybag 75 Liter</v>
          </cell>
          <cell r="G2411" t="str">
            <v xml:space="preserve">Buah </v>
          </cell>
          <cell r="H2411">
            <v>350000</v>
          </cell>
        </row>
        <row r="2412">
          <cell r="F2412" t="str">
            <v>Pohon Bungur di Polybag 100 Liter</v>
          </cell>
          <cell r="G2412" t="str">
            <v xml:space="preserve">buah </v>
          </cell>
          <cell r="H2412">
            <v>375000</v>
          </cell>
        </row>
        <row r="2413">
          <cell r="F2413" t="str">
            <v xml:space="preserve">Pohon Cassia Glauca di Polybag 20 Liter </v>
          </cell>
          <cell r="G2413" t="str">
            <v xml:space="preserve">buah </v>
          </cell>
          <cell r="H2413">
            <v>155000</v>
          </cell>
        </row>
        <row r="2414">
          <cell r="F2414" t="str">
            <v>Pohon Cassia glauca di
Polybag 25 Liter</v>
          </cell>
          <cell r="G2414" t="str">
            <v xml:space="preserve">buah </v>
          </cell>
          <cell r="H2414">
            <v>170000</v>
          </cell>
        </row>
        <row r="2415">
          <cell r="F2415" t="str">
            <v>Pohon Dracaena'song of india' di polybag 20 liter</v>
          </cell>
          <cell r="G2415" t="str">
            <v xml:space="preserve">Buah </v>
          </cell>
          <cell r="H2415">
            <v>165000</v>
          </cell>
        </row>
        <row r="2416">
          <cell r="F2416" t="str">
            <v>Pohon Dracaena ‘Song of
India’ di Polybag 25 Liter</v>
          </cell>
          <cell r="G2416" t="str">
            <v xml:space="preserve">Buah </v>
          </cell>
          <cell r="H2416">
            <v>180000</v>
          </cell>
        </row>
        <row r="2417">
          <cell r="F2417" t="str">
            <v>Pohon Dracaena 'Song of
Jamaica' di Polybag 20
Liter</v>
          </cell>
          <cell r="G2417" t="str">
            <v xml:space="preserve">Buah </v>
          </cell>
          <cell r="H2417">
            <v>170000</v>
          </cell>
        </row>
        <row r="2418">
          <cell r="F2418" t="str">
            <v>Pohon Dracaena 'Song of
Jamaica' di Polybag 25
Liter</v>
          </cell>
          <cell r="G2418" t="str">
            <v>Buah</v>
          </cell>
          <cell r="H2418">
            <v>190000</v>
          </cell>
        </row>
        <row r="2419">
          <cell r="F2419" t="str">
            <v>Pohon Jarak Batavia di
Polybag 20 Liter</v>
          </cell>
          <cell r="G2419" t="str">
            <v xml:space="preserve">Buah </v>
          </cell>
          <cell r="H2419">
            <v>175000</v>
          </cell>
        </row>
        <row r="2420">
          <cell r="F2420" t="str">
            <v>Pohon Jarak Batavia di Polybag 25 Liter</v>
          </cell>
          <cell r="G2420" t="str">
            <v>Buah</v>
          </cell>
          <cell r="H2420">
            <v>190000</v>
          </cell>
        </row>
        <row r="2421">
          <cell r="F2421" t="str">
            <v>Pohon Kayu Putih
Kuning di Polybag 20
Liter</v>
          </cell>
          <cell r="G2421" t="str">
            <v xml:space="preserve">Buah </v>
          </cell>
          <cell r="H2421">
            <v>180000</v>
          </cell>
        </row>
        <row r="2422">
          <cell r="F2422" t="str">
            <v>Pohon Kayu Putih Kuning di Polybag 25 Liter</v>
          </cell>
          <cell r="G2422" t="str">
            <v xml:space="preserve">Buah </v>
          </cell>
          <cell r="H2422">
            <v>190000</v>
          </cell>
        </row>
        <row r="2423">
          <cell r="F2423" t="str">
            <v>Pohon Bugenvil/bunga
kertas di Polybag 20 Liter</v>
          </cell>
          <cell r="G2423" t="str">
            <v xml:space="preserve">Buah </v>
          </cell>
          <cell r="H2423">
            <v>185000</v>
          </cell>
        </row>
        <row r="2424">
          <cell r="F2424" t="str">
            <v>Pohon Penda Merah di
Polybag 20 Liter</v>
          </cell>
          <cell r="G2424" t="str">
            <v xml:space="preserve">Buah </v>
          </cell>
          <cell r="H2424">
            <v>190000</v>
          </cell>
        </row>
        <row r="2425">
          <cell r="F2425" t="str">
            <v>Pohon Pucuk merah di Polybag 25 Liter</v>
          </cell>
          <cell r="G2425" t="str">
            <v xml:space="preserve">Buah </v>
          </cell>
          <cell r="H2425">
            <v>200000</v>
          </cell>
        </row>
        <row r="2426">
          <cell r="F2426" t="str">
            <v>Pohon Sikat Botol di
Polybag 20 Liter</v>
          </cell>
          <cell r="G2426" t="str">
            <v xml:space="preserve">buah </v>
          </cell>
          <cell r="H2426">
            <v>150000</v>
          </cell>
        </row>
        <row r="2427">
          <cell r="F2427" t="str">
            <v>Pohon Sikat Botol di
Polybag 25 Liter</v>
          </cell>
          <cell r="G2427" t="str">
            <v xml:space="preserve">Buah </v>
          </cell>
          <cell r="H2427">
            <v>165000</v>
          </cell>
        </row>
        <row r="2428">
          <cell r="F2428" t="str">
            <v xml:space="preserve">Pohon kecil Anggur terompet </v>
          </cell>
          <cell r="G2428" t="str">
            <v xml:space="preserve">buah </v>
          </cell>
          <cell r="H2428">
            <v>18000</v>
          </cell>
        </row>
        <row r="2429">
          <cell r="F2429" t="str">
            <v xml:space="preserve">Anti Rayap tanah </v>
          </cell>
          <cell r="G2429" t="str">
            <v>kg</v>
          </cell>
          <cell r="H2429">
            <v>28500</v>
          </cell>
        </row>
        <row r="2430">
          <cell r="F2430" t="str">
            <v xml:space="preserve">Pohon kecil Pucuk merah </v>
          </cell>
          <cell r="G2430" t="str">
            <v>buah</v>
          </cell>
          <cell r="H2430">
            <v>50000</v>
          </cell>
        </row>
        <row r="2431">
          <cell r="F2431" t="str">
            <v xml:space="preserve">Pohon Pucuk Merah di Polybag 20 Liter </v>
          </cell>
          <cell r="G2431" t="str">
            <v xml:space="preserve">Pohon </v>
          </cell>
          <cell r="H2431">
            <v>350000</v>
          </cell>
        </row>
        <row r="2432">
          <cell r="F2432" t="str">
            <v xml:space="preserve">Pohon Pucuk Merah di Polybag 25 Liter </v>
          </cell>
          <cell r="G2432" t="str">
            <v xml:space="preserve">Pohon </v>
          </cell>
          <cell r="H2432">
            <v>400000</v>
          </cell>
        </row>
        <row r="2433">
          <cell r="F2433" t="str">
            <v xml:space="preserve">Pohon Bunga Kupu-kupu di Polybag 50 Liter </v>
          </cell>
          <cell r="G2433" t="str">
            <v xml:space="preserve">Pohon </v>
          </cell>
          <cell r="H2433">
            <v>500000</v>
          </cell>
        </row>
        <row r="2434">
          <cell r="F2434" t="str">
            <v xml:space="preserve">Pohon Bunga Kupu-kupu di Polybag 75 Liter </v>
          </cell>
          <cell r="G2434" t="str">
            <v xml:space="preserve">Pohon </v>
          </cell>
          <cell r="H2434">
            <v>530000</v>
          </cell>
        </row>
        <row r="2435">
          <cell r="F2435" t="str">
            <v>Pohon Pulai di Polybag 75
Liter</v>
          </cell>
          <cell r="G2435" t="str">
            <v xml:space="preserve">Buah </v>
          </cell>
          <cell r="H2435">
            <v>150000</v>
          </cell>
        </row>
        <row r="2436">
          <cell r="F2436" t="str">
            <v>Pohon Pulai di Polybag 100 Liter</v>
          </cell>
          <cell r="G2436" t="str">
            <v xml:space="preserve">Buah </v>
          </cell>
          <cell r="H2436">
            <v>275000</v>
          </cell>
        </row>
        <row r="2437">
          <cell r="F2437" t="str">
            <v>Pohon Pulai di Polybag 150 Liter</v>
          </cell>
          <cell r="G2437" t="str">
            <v xml:space="preserve">buah </v>
          </cell>
          <cell r="H2437">
            <v>300000</v>
          </cell>
        </row>
        <row r="2438">
          <cell r="F2438" t="str">
            <v>Pohon Pulai di Polybag 200 Liter</v>
          </cell>
          <cell r="G2438" t="str">
            <v xml:space="preserve">Buah </v>
          </cell>
          <cell r="H2438">
            <v>325000</v>
          </cell>
        </row>
        <row r="2439">
          <cell r="F2439" t="str">
            <v>Pohon Pulai di Polybag 250
Liter</v>
          </cell>
          <cell r="G2439" t="str">
            <v xml:space="preserve">Buah </v>
          </cell>
          <cell r="H2439">
            <v>350000</v>
          </cell>
        </row>
        <row r="2440">
          <cell r="F2440" t="str">
            <v xml:space="preserve">Pohon sedang Ketapang Kencana </v>
          </cell>
          <cell r="G2440" t="str">
            <v>buah</v>
          </cell>
          <cell r="H2440">
            <v>150000</v>
          </cell>
        </row>
        <row r="2441">
          <cell r="F2441" t="str">
            <v>Pohon Mahoni di Polybag
75 Liter</v>
          </cell>
          <cell r="G2441" t="str">
            <v>Buah</v>
          </cell>
          <cell r="H2441">
            <v>150000</v>
          </cell>
        </row>
        <row r="2442">
          <cell r="F2442" t="str">
            <v>Pohon Mahoni di Polybag 100 Liter</v>
          </cell>
          <cell r="G2442" t="str">
            <v xml:space="preserve">Pohon </v>
          </cell>
          <cell r="H2442">
            <v>400000</v>
          </cell>
        </row>
        <row r="2443">
          <cell r="F2443" t="str">
            <v>Pohon Mahoni di Polybag 150 Liter</v>
          </cell>
          <cell r="G2443" t="str">
            <v xml:space="preserve">Pohon </v>
          </cell>
          <cell r="H2443">
            <v>425000</v>
          </cell>
        </row>
        <row r="2444">
          <cell r="F2444" t="str">
            <v>Pohon Beringin di Polybag 200 Liter</v>
          </cell>
          <cell r="G2444" t="str">
            <v xml:space="preserve">Pohon </v>
          </cell>
          <cell r="H2444">
            <v>550000</v>
          </cell>
        </row>
        <row r="2445">
          <cell r="F2445" t="str">
            <v>Pohon Beringin di Polybag 250 Liter</v>
          </cell>
          <cell r="G2445" t="str">
            <v xml:space="preserve">Pohon </v>
          </cell>
          <cell r="H2445">
            <v>590000</v>
          </cell>
        </row>
        <row r="2446">
          <cell r="F2446" t="str">
            <v>Pohon Beringin di Polybag 100 Liter</v>
          </cell>
          <cell r="G2446" t="str">
            <v xml:space="preserve">buah </v>
          </cell>
          <cell r="H2446">
            <v>250000</v>
          </cell>
        </row>
        <row r="2447">
          <cell r="F2447" t="str">
            <v>Pohon Beringin di Polybag 150 Liter</v>
          </cell>
          <cell r="G2447" t="str">
            <v xml:space="preserve">Buah </v>
          </cell>
          <cell r="H2447">
            <v>275000</v>
          </cell>
        </row>
        <row r="2448">
          <cell r="F2448" t="str">
            <v>Pohon Beringin di Polybag
250 Liter</v>
          </cell>
          <cell r="G2448" t="str">
            <v xml:space="preserve">Buah </v>
          </cell>
          <cell r="H2448">
            <v>300000</v>
          </cell>
        </row>
        <row r="2449">
          <cell r="F2449" t="str">
            <v>Pohon sedang Tabebuya</v>
          </cell>
          <cell r="G2449" t="str">
            <v>buah</v>
          </cell>
          <cell r="H2449">
            <v>450000</v>
          </cell>
        </row>
        <row r="2450">
          <cell r="F2450" t="str">
            <v>Pohon Bintaro di Polybag
50 Liter</v>
          </cell>
          <cell r="G2450" t="str">
            <v xml:space="preserve">Buah </v>
          </cell>
          <cell r="H2450">
            <v>220000</v>
          </cell>
        </row>
        <row r="2451">
          <cell r="F2451" t="str">
            <v>Pohon Bintaro di Polybag 75 Liter</v>
          </cell>
          <cell r="G2451" t="str">
            <v xml:space="preserve">Buah </v>
          </cell>
          <cell r="H2451">
            <v>350000</v>
          </cell>
        </row>
        <row r="2452">
          <cell r="F2452" t="str">
            <v>Pohon Besar Kamboja</v>
          </cell>
          <cell r="G2452" t="str">
            <v>buah</v>
          </cell>
          <cell r="H2452">
            <v>550000</v>
          </cell>
        </row>
        <row r="2453">
          <cell r="F2453" t="str">
            <v>Pohon Besar Beringin</v>
          </cell>
          <cell r="G2453" t="str">
            <v>buah</v>
          </cell>
          <cell r="H2453">
            <v>2900000</v>
          </cell>
        </row>
        <row r="2454">
          <cell r="F2454" t="str">
            <v>Pohon Besar Pulai</v>
          </cell>
          <cell r="G2454" t="str">
            <v>buah</v>
          </cell>
          <cell r="H2454">
            <v>5390000</v>
          </cell>
        </row>
        <row r="2455">
          <cell r="F2455" t="str">
            <v>Pohon Besar Trembesi</v>
          </cell>
          <cell r="G2455" t="str">
            <v>buah</v>
          </cell>
          <cell r="H2455">
            <v>650000</v>
          </cell>
        </row>
        <row r="2456">
          <cell r="F2456" t="str">
            <v>Pohon Trembesi di Polybag 75 Liter</v>
          </cell>
          <cell r="G2456" t="str">
            <v xml:space="preserve">buah </v>
          </cell>
          <cell r="H2456">
            <v>150000</v>
          </cell>
        </row>
        <row r="2457">
          <cell r="F2457" t="str">
            <v>Pohon Trembesi di Polybag 100 Liter</v>
          </cell>
          <cell r="G2457" t="str">
            <v xml:space="preserve">buah </v>
          </cell>
          <cell r="H2457">
            <v>275000</v>
          </cell>
        </row>
        <row r="2458">
          <cell r="F2458" t="str">
            <v>Pohon Trembesi di Polybag 150
Liter</v>
          </cell>
          <cell r="G2458" t="str">
            <v xml:space="preserve">Buah </v>
          </cell>
          <cell r="H2458">
            <v>300000</v>
          </cell>
        </row>
        <row r="2459">
          <cell r="F2459" t="str">
            <v>Pohon Trembesi di Polybag 200
Liter</v>
          </cell>
          <cell r="G2459" t="str">
            <v>Buah</v>
          </cell>
          <cell r="H2459">
            <v>325000</v>
          </cell>
        </row>
        <row r="2460">
          <cell r="F2460" t="str">
            <v>Pohon Trembesi di Polybag
250 Liter</v>
          </cell>
          <cell r="G2460" t="str">
            <v>Buah</v>
          </cell>
          <cell r="H2460">
            <v>350000</v>
          </cell>
        </row>
        <row r="2461">
          <cell r="F2461" t="str">
            <v>Pohon Thevetia di
Polybag 20 Liter</v>
          </cell>
          <cell r="G2461" t="str">
            <v xml:space="preserve">buah </v>
          </cell>
          <cell r="H2461">
            <v>170000</v>
          </cell>
        </row>
        <row r="2462">
          <cell r="F2462" t="str">
            <v>Pohon Thevetia di Polybag 25 Liter</v>
          </cell>
          <cell r="G2462" t="str">
            <v xml:space="preserve">Buah </v>
          </cell>
          <cell r="H2462">
            <v>190000</v>
          </cell>
        </row>
        <row r="2463">
          <cell r="F2463" t="str">
            <v>Pohon Turi di Polybag 20
Liter</v>
          </cell>
          <cell r="G2463" t="str">
            <v xml:space="preserve">buah </v>
          </cell>
          <cell r="H2463">
            <v>180000</v>
          </cell>
        </row>
        <row r="2464">
          <cell r="F2464" t="str">
            <v>Pohon Turi di Polybag 25 Liter</v>
          </cell>
          <cell r="G2464" t="str">
            <v xml:space="preserve">buah </v>
          </cell>
          <cell r="H2464">
            <v>190000</v>
          </cell>
        </row>
        <row r="2465">
          <cell r="F2465" t="str">
            <v>Pohon Kembang Merak di
Polybag 20 Liter</v>
          </cell>
          <cell r="G2465" t="str">
            <v xml:space="preserve">buah </v>
          </cell>
          <cell r="H2465">
            <v>210000</v>
          </cell>
        </row>
        <row r="2466">
          <cell r="F2466" t="str">
            <v>Pohon Pandan Bali di
Polybag 20 Liter</v>
          </cell>
          <cell r="G2466" t="str">
            <v xml:space="preserve">buah </v>
          </cell>
          <cell r="H2466">
            <v>200000</v>
          </cell>
        </row>
        <row r="2467">
          <cell r="F2467" t="str">
            <v>Pohon Yucca di Polybag
20 Liter</v>
          </cell>
          <cell r="G2467" t="str">
            <v xml:space="preserve">buah </v>
          </cell>
          <cell r="H2467">
            <v>190000</v>
          </cell>
        </row>
        <row r="2468">
          <cell r="F2468" t="str">
            <v>Pohon Flamboyan di Polybag 50 Liter</v>
          </cell>
          <cell r="G2468" t="str">
            <v xml:space="preserve">Buah </v>
          </cell>
          <cell r="H2468">
            <v>210000</v>
          </cell>
        </row>
        <row r="2469">
          <cell r="F2469" t="str">
            <v>Pohon Flamboyan Kuning di Polybag 50 Liter</v>
          </cell>
          <cell r="G2469" t="str">
            <v xml:space="preserve">Buah </v>
          </cell>
          <cell r="H2469">
            <v>210000</v>
          </cell>
        </row>
        <row r="2470">
          <cell r="F2470" t="str">
            <v>Pohon Flamboyan di Polybag 75 Liter</v>
          </cell>
          <cell r="G2470" t="str">
            <v xml:space="preserve">Buah </v>
          </cell>
          <cell r="H2470">
            <v>350000</v>
          </cell>
        </row>
        <row r="2471">
          <cell r="F2471" t="str">
            <v>Pohon Flamboyan di Polybag 100 Liter</v>
          </cell>
          <cell r="G2471" t="str">
            <v xml:space="preserve">Buah </v>
          </cell>
          <cell r="H2471">
            <v>375000</v>
          </cell>
        </row>
        <row r="2472">
          <cell r="F2472" t="str">
            <v>Pohon Flamboyan di Polybag 150 Liter</v>
          </cell>
          <cell r="G2472" t="str">
            <v xml:space="preserve">Buah </v>
          </cell>
          <cell r="H2472">
            <v>400000</v>
          </cell>
        </row>
        <row r="2473">
          <cell r="F2473" t="str">
            <v>Pohon Flamboyan di Polybag 200 Liter</v>
          </cell>
          <cell r="G2473" t="str">
            <v xml:space="preserve">Buah </v>
          </cell>
          <cell r="H2473">
            <v>425000</v>
          </cell>
        </row>
        <row r="2474">
          <cell r="F2474" t="str">
            <v>Pohon Flamboyan Kuning di Polybag 75 Liter</v>
          </cell>
          <cell r="G2474" t="str">
            <v xml:space="preserve">Buah </v>
          </cell>
          <cell r="H2474">
            <v>350000</v>
          </cell>
        </row>
        <row r="2475">
          <cell r="F2475" t="str">
            <v>Pohon Janda Merana di Polybag 50 Liter</v>
          </cell>
          <cell r="G2475" t="str">
            <v xml:space="preserve">Buah </v>
          </cell>
          <cell r="H2475">
            <v>220000</v>
          </cell>
        </row>
        <row r="2476">
          <cell r="F2476" t="str">
            <v>Pohon Janda Merana di Polybag 75 Liter</v>
          </cell>
          <cell r="G2476" t="str">
            <v xml:space="preserve">Buah </v>
          </cell>
          <cell r="H2476">
            <v>350000</v>
          </cell>
        </row>
        <row r="2477">
          <cell r="F2477" t="str">
            <v>Pohon Ketapang kencana di Polybag 50 Liter</v>
          </cell>
          <cell r="G2477" t="str">
            <v xml:space="preserve">Buah </v>
          </cell>
          <cell r="H2477">
            <v>225000</v>
          </cell>
        </row>
        <row r="2478">
          <cell r="F2478" t="str">
            <v>Pohon Ketapang kencana di Polybag 75 Liter</v>
          </cell>
          <cell r="G2478" t="str">
            <v xml:space="preserve">Buah </v>
          </cell>
          <cell r="H2478">
            <v>350000</v>
          </cell>
        </row>
        <row r="2479">
          <cell r="F2479" t="str">
            <v>Pohon Ketapang kencana di Polybag 100 Liter</v>
          </cell>
          <cell r="G2479" t="str">
            <v xml:space="preserve">Buah </v>
          </cell>
          <cell r="H2479">
            <v>375000</v>
          </cell>
        </row>
        <row r="2480">
          <cell r="F2480" t="str">
            <v>Pohon Sosis di Polybag 50 Liter</v>
          </cell>
          <cell r="G2480" t="str">
            <v xml:space="preserve">Buah </v>
          </cell>
          <cell r="H2480">
            <v>225000</v>
          </cell>
        </row>
        <row r="2481">
          <cell r="F2481" t="str">
            <v>Pohon Sosis di Polybag 75 Liter</v>
          </cell>
          <cell r="G2481" t="str">
            <v xml:space="preserve">Buah </v>
          </cell>
          <cell r="H2481">
            <v>150000</v>
          </cell>
        </row>
        <row r="2482">
          <cell r="F2482" t="str">
            <v>Pohon Sosis di Polybag 100 Liter</v>
          </cell>
          <cell r="G2482" t="str">
            <v xml:space="preserve">Buah </v>
          </cell>
          <cell r="H2482">
            <v>275000</v>
          </cell>
        </row>
        <row r="2483">
          <cell r="F2483" t="str">
            <v>Pohon Sosis di Polybag 150 Liter</v>
          </cell>
          <cell r="G2483" t="str">
            <v xml:space="preserve">Buah </v>
          </cell>
          <cell r="H2483">
            <v>300000</v>
          </cell>
        </row>
        <row r="2484">
          <cell r="F2484" t="str">
            <v>Pohon Sosis di Polybag 200 Liter</v>
          </cell>
          <cell r="G2484" t="str">
            <v xml:space="preserve">Buah </v>
          </cell>
          <cell r="H2484">
            <v>325000</v>
          </cell>
        </row>
        <row r="2485">
          <cell r="F2485" t="str">
            <v>Pohon Sosis di Polybag 250
Liter</v>
          </cell>
          <cell r="G2485" t="str">
            <v>Buah</v>
          </cell>
          <cell r="H2485">
            <v>350000</v>
          </cell>
        </row>
        <row r="2486">
          <cell r="F2486" t="str">
            <v>Pohon Tabebuya di Polybag 50 Liter</v>
          </cell>
          <cell r="G2486" t="str">
            <v xml:space="preserve">Buah </v>
          </cell>
          <cell r="H2486">
            <v>225000</v>
          </cell>
        </row>
        <row r="2487">
          <cell r="F2487" t="str">
            <v>Pohon Tabebuya di Polybag 75 Liter</v>
          </cell>
          <cell r="G2487" t="str">
            <v xml:space="preserve">Buah </v>
          </cell>
          <cell r="H2487">
            <v>150000</v>
          </cell>
        </row>
        <row r="2488">
          <cell r="F2488" t="str">
            <v>Pohon Waru di Polybag 50 Liter</v>
          </cell>
          <cell r="G2488" t="str">
            <v xml:space="preserve">Buah </v>
          </cell>
          <cell r="H2488">
            <v>225000</v>
          </cell>
        </row>
        <row r="2489">
          <cell r="F2489" t="str">
            <v>Pohon Waru di Polybag 75 Liter</v>
          </cell>
          <cell r="G2489" t="str">
            <v xml:space="preserve">Buah </v>
          </cell>
          <cell r="H2489">
            <v>250000</v>
          </cell>
        </row>
        <row r="2490">
          <cell r="F2490" t="str">
            <v>Pohon Biola Cantik di Polybag 75 Liter</v>
          </cell>
          <cell r="G2490" t="str">
            <v xml:space="preserve">Buah </v>
          </cell>
          <cell r="H2490">
            <v>350000</v>
          </cell>
        </row>
        <row r="2491">
          <cell r="F2491" t="str">
            <v>Pohon Biola Cantik di Polybag 100 Liter</v>
          </cell>
          <cell r="G2491" t="str">
            <v xml:space="preserve">Buah </v>
          </cell>
          <cell r="H2491">
            <v>375000</v>
          </cell>
        </row>
        <row r="2492">
          <cell r="F2492" t="str">
            <v>Pohon Kamboja di Polybag 75 Liter</v>
          </cell>
          <cell r="G2492" t="str">
            <v xml:space="preserve">Buah </v>
          </cell>
          <cell r="H2492">
            <v>350000</v>
          </cell>
        </row>
        <row r="2493">
          <cell r="F2493" t="str">
            <v>Pohon Kamboja di Polybag 100 Liter</v>
          </cell>
          <cell r="G2493" t="str">
            <v xml:space="preserve">buah </v>
          </cell>
          <cell r="H2493">
            <v>375000</v>
          </cell>
        </row>
        <row r="2494">
          <cell r="F2494" t="str">
            <v>Pohon Kamboja di Polybag 150 Liter</v>
          </cell>
          <cell r="G2494" t="str">
            <v xml:space="preserve">Buah </v>
          </cell>
          <cell r="H2494">
            <v>400000</v>
          </cell>
        </row>
        <row r="2495">
          <cell r="F2495" t="str">
            <v>Pohon Kamboja Fosil di Polybag 200 Liter</v>
          </cell>
          <cell r="G2495" t="str">
            <v xml:space="preserve">Buah </v>
          </cell>
          <cell r="H2495">
            <v>425000</v>
          </cell>
        </row>
        <row r="2496">
          <cell r="F2496" t="str">
            <v>Pohon Keben di Polybag 75 Liter</v>
          </cell>
          <cell r="G2496" t="str">
            <v xml:space="preserve">Buah </v>
          </cell>
          <cell r="H2496">
            <v>350000</v>
          </cell>
        </row>
        <row r="2497">
          <cell r="F2497" t="str">
            <v>Pohon Keben di Polybag 100 Liter</v>
          </cell>
          <cell r="G2497" t="str">
            <v xml:space="preserve">Buah </v>
          </cell>
          <cell r="H2497">
            <v>350000</v>
          </cell>
        </row>
        <row r="2498">
          <cell r="F2498" t="str">
            <v>Pohon Kecrutan di Polybag
75 Liter</v>
          </cell>
          <cell r="G2498" t="str">
            <v xml:space="preserve">Buah </v>
          </cell>
          <cell r="H2498">
            <v>350000</v>
          </cell>
        </row>
        <row r="2499">
          <cell r="F2499" t="str">
            <v>Pohon Kecrutan di Polybag 100 Liter</v>
          </cell>
          <cell r="G2499" t="str">
            <v xml:space="preserve">Buah </v>
          </cell>
          <cell r="H2499">
            <v>375000</v>
          </cell>
        </row>
        <row r="2500">
          <cell r="F2500" t="str">
            <v>Pohon Putat di Polybag 75
Liter</v>
          </cell>
          <cell r="G2500" t="str">
            <v xml:space="preserve">Buah </v>
          </cell>
          <cell r="H2500">
            <v>150000</v>
          </cell>
        </row>
        <row r="2501">
          <cell r="F2501" t="str">
            <v>Pohon Putat di Polybag 100 Liter</v>
          </cell>
          <cell r="G2501" t="str">
            <v xml:space="preserve">Buah </v>
          </cell>
          <cell r="H2501">
            <v>275000</v>
          </cell>
        </row>
        <row r="2502">
          <cell r="F2502" t="str">
            <v>Pohon Bodhi di Polybag 100 Liter</v>
          </cell>
          <cell r="G2502" t="str">
            <v xml:space="preserve">buah </v>
          </cell>
          <cell r="H2502">
            <v>275000</v>
          </cell>
        </row>
        <row r="2503">
          <cell r="F2503" t="str">
            <v>Pohon Bodhi di Polybag 150 Liter</v>
          </cell>
          <cell r="G2503" t="str">
            <v xml:space="preserve">Buah </v>
          </cell>
          <cell r="H2503">
            <v>300000</v>
          </cell>
        </row>
        <row r="2504">
          <cell r="F2504" t="str">
            <v>Pohon Bodhi di Polybag 200 Liter</v>
          </cell>
          <cell r="G2504" t="str">
            <v xml:space="preserve">Buah </v>
          </cell>
          <cell r="H2504">
            <v>325000</v>
          </cell>
        </row>
        <row r="2505">
          <cell r="F2505" t="str">
            <v>Pohon Bodhi di Polybag 250
Liter</v>
          </cell>
          <cell r="G2505" t="str">
            <v>Buah</v>
          </cell>
          <cell r="H2505">
            <v>350000</v>
          </cell>
        </row>
        <row r="2506">
          <cell r="F2506" t="str">
            <v>Pohon Baobab di Polybag 250
Liter</v>
          </cell>
          <cell r="G2506" t="str">
            <v>Buah</v>
          </cell>
          <cell r="H2506">
            <v>350000</v>
          </cell>
        </row>
        <row r="2507">
          <cell r="F2507" t="str">
            <v>Palem ekor tupai di Polybag 100
Liter</v>
          </cell>
          <cell r="G2507" t="str">
            <v xml:space="preserve">Buah </v>
          </cell>
          <cell r="H2507">
            <v>250000</v>
          </cell>
        </row>
        <row r="2508">
          <cell r="F2508" t="str">
            <v>Sylvertris di Polybag 100 Liter</v>
          </cell>
          <cell r="G2508" t="str">
            <v xml:space="preserve">Buah </v>
          </cell>
          <cell r="H2508">
            <v>250000</v>
          </cell>
        </row>
        <row r="2509">
          <cell r="F2509" t="str">
            <v>Sylvertris di Polybag 150 Liter</v>
          </cell>
          <cell r="G2509" t="str">
            <v xml:space="preserve">Buah </v>
          </cell>
          <cell r="H2509">
            <v>300000</v>
          </cell>
        </row>
        <row r="2510">
          <cell r="F2510" t="str">
            <v>Sylvertris di Polybag 200 Liter</v>
          </cell>
          <cell r="G2510" t="str">
            <v xml:space="preserve">Buah </v>
          </cell>
          <cell r="H2510">
            <v>400000</v>
          </cell>
        </row>
        <row r="2511">
          <cell r="F2511" t="str">
            <v>Sylvertris di Polybag 250 Liter</v>
          </cell>
          <cell r="G2511" t="str">
            <v xml:space="preserve">Buah </v>
          </cell>
          <cell r="H2511">
            <v>450000</v>
          </cell>
        </row>
        <row r="2512">
          <cell r="F2512" t="str">
            <v>Palem Putri di Polybag 100 Liter</v>
          </cell>
          <cell r="G2512" t="str">
            <v xml:space="preserve">Buah </v>
          </cell>
          <cell r="H2512">
            <v>200000</v>
          </cell>
        </row>
        <row r="2513">
          <cell r="F2513" t="str">
            <v>Palem Putri di Polybag 150 Liter</v>
          </cell>
          <cell r="G2513" t="str">
            <v xml:space="preserve">Buah </v>
          </cell>
          <cell r="H2513">
            <v>300000</v>
          </cell>
        </row>
        <row r="2514">
          <cell r="F2514" t="str">
            <v>Palem Putri di Polybag 200 Liter</v>
          </cell>
          <cell r="G2514" t="str">
            <v xml:space="preserve">Buah </v>
          </cell>
          <cell r="H2514">
            <v>400000</v>
          </cell>
        </row>
        <row r="2515">
          <cell r="F2515" t="str">
            <v>Palem Putri di Polybag 250 Liter</v>
          </cell>
          <cell r="G2515" t="str">
            <v xml:space="preserve">Buah </v>
          </cell>
          <cell r="H2515">
            <v>450000</v>
          </cell>
        </row>
        <row r="2516">
          <cell r="F2516" t="str">
            <v>Palem raja di Polybag 100 Liter</v>
          </cell>
          <cell r="G2516" t="str">
            <v xml:space="preserve">Buah </v>
          </cell>
          <cell r="H2516">
            <v>250000</v>
          </cell>
        </row>
        <row r="2517">
          <cell r="F2517" t="str">
            <v>Palem raja di Polybag 150 Liter</v>
          </cell>
          <cell r="G2517" t="str">
            <v xml:space="preserve">Buah </v>
          </cell>
          <cell r="H2517">
            <v>300000</v>
          </cell>
        </row>
        <row r="2518">
          <cell r="F2518" t="str">
            <v>Palem raja di Polybag 200 Liter</v>
          </cell>
          <cell r="G2518" t="str">
            <v xml:space="preserve">Buah </v>
          </cell>
          <cell r="H2518">
            <v>400000</v>
          </cell>
        </row>
        <row r="2519">
          <cell r="F2519" t="str">
            <v>Palem raja di Polybag 250 Liter</v>
          </cell>
          <cell r="G2519" t="str">
            <v>Buah</v>
          </cell>
          <cell r="H2519">
            <v>450000</v>
          </cell>
        </row>
        <row r="2520">
          <cell r="F2520" t="str">
            <v>Palem sadeng di Polybag 100
Liter</v>
          </cell>
          <cell r="G2520" t="str">
            <v xml:space="preserve">Buah </v>
          </cell>
          <cell r="H2520">
            <v>250000</v>
          </cell>
        </row>
        <row r="2521">
          <cell r="F2521" t="str">
            <v>Palem sadeng di Polybag 150 Liter</v>
          </cell>
          <cell r="G2521" t="str">
            <v xml:space="preserve">Buah </v>
          </cell>
          <cell r="H2521">
            <v>300000</v>
          </cell>
        </row>
        <row r="2522">
          <cell r="F2522" t="str">
            <v>Palem sadeng di Polybag 200
Liter</v>
          </cell>
          <cell r="G2522" t="str">
            <v xml:space="preserve">Buah </v>
          </cell>
          <cell r="H2522">
            <v>400000</v>
          </cell>
        </row>
        <row r="2523">
          <cell r="F2523" t="str">
            <v>Palem Sadeng di Polybag 250
Liter</v>
          </cell>
          <cell r="G2523" t="str">
            <v xml:space="preserve">Buah </v>
          </cell>
          <cell r="H2523">
            <v>450000</v>
          </cell>
        </row>
        <row r="2524">
          <cell r="F2524" t="str">
            <v>Palem Kecil Palem Wregu</v>
          </cell>
          <cell r="G2524" t="str">
            <v>buah</v>
          </cell>
          <cell r="H2524">
            <v>15000</v>
          </cell>
        </row>
        <row r="2525">
          <cell r="F2525" t="str">
            <v>Palem Kecil Palem Kuning</v>
          </cell>
          <cell r="G2525" t="str">
            <v>buah</v>
          </cell>
          <cell r="H2525">
            <v>45000</v>
          </cell>
        </row>
        <row r="2526">
          <cell r="F2526" t="str">
            <v xml:space="preserve">Palem Besar Palem Ekor Tupai </v>
          </cell>
          <cell r="G2526" t="str">
            <v>buah</v>
          </cell>
          <cell r="H2526">
            <v>230000</v>
          </cell>
        </row>
        <row r="2527">
          <cell r="F2527" t="str">
            <v>Palem ekor tupai di Polybag 150
Liter</v>
          </cell>
          <cell r="G2527" t="str">
            <v xml:space="preserve">Buah </v>
          </cell>
          <cell r="H2527">
            <v>300000</v>
          </cell>
        </row>
        <row r="2528">
          <cell r="F2528" t="str">
            <v>Palem ekor tupai di Polybag 200
Liter</v>
          </cell>
          <cell r="G2528" t="str">
            <v xml:space="preserve">Buah </v>
          </cell>
          <cell r="H2528">
            <v>400000</v>
          </cell>
        </row>
        <row r="2529">
          <cell r="F2529" t="str">
            <v>Palem ekor tupai di Polybag 250
Liter</v>
          </cell>
          <cell r="G2529" t="str">
            <v xml:space="preserve">Buah </v>
          </cell>
          <cell r="H2529">
            <v>450000</v>
          </cell>
        </row>
        <row r="2530">
          <cell r="F2530" t="str">
            <v xml:space="preserve">Palem Besar Kelapa </v>
          </cell>
          <cell r="G2530" t="str">
            <v>buah</v>
          </cell>
          <cell r="H2530">
            <v>445000</v>
          </cell>
        </row>
        <row r="2531">
          <cell r="F2531" t="str">
            <v xml:space="preserve">Palem Besar Palem Botol </v>
          </cell>
          <cell r="H2531">
            <v>460000</v>
          </cell>
        </row>
        <row r="2532">
          <cell r="F2532" t="str">
            <v>Palem jepang di Polybag 50 Liter</v>
          </cell>
          <cell r="G2532" t="str">
            <v xml:space="preserve">Buah </v>
          </cell>
          <cell r="H2532">
            <v>150000</v>
          </cell>
        </row>
        <row r="2533">
          <cell r="F2533" t="str">
            <v>Palem jepang di Polybag 75
Liter</v>
          </cell>
          <cell r="G2533" t="str">
            <v>Buah</v>
          </cell>
          <cell r="H2533">
            <v>200000</v>
          </cell>
        </row>
        <row r="2534">
          <cell r="F2534" t="str">
            <v>Palem komodoria/
komodor/chamadorea di
Polybag 50 Liter</v>
          </cell>
          <cell r="G2534" t="str">
            <v xml:space="preserve">Buah </v>
          </cell>
          <cell r="H2534">
            <v>150000</v>
          </cell>
        </row>
        <row r="2535">
          <cell r="F2535" t="str">
            <v>Palem komodoria/
komodor/chamadorea di
Polybag 75 Liter</v>
          </cell>
          <cell r="G2535" t="str">
            <v>Buah</v>
          </cell>
          <cell r="H2535">
            <v>200000</v>
          </cell>
        </row>
        <row r="2536">
          <cell r="F2536" t="str">
            <v>Palem kuning di Polybag 50
Liter</v>
          </cell>
          <cell r="G2536" t="str">
            <v xml:space="preserve">Buah </v>
          </cell>
          <cell r="H2536">
            <v>150000</v>
          </cell>
        </row>
        <row r="2537">
          <cell r="F2537" t="str">
            <v>Palem kuning di Polybag 75
Liter</v>
          </cell>
          <cell r="G2537" t="str">
            <v>Buah</v>
          </cell>
          <cell r="H2537">
            <v>200000</v>
          </cell>
        </row>
        <row r="2538">
          <cell r="F2538" t="str">
            <v>Palem Merah/ Pinang Merah di
Polybag 50 Liter</v>
          </cell>
          <cell r="G2538" t="str">
            <v xml:space="preserve">Buah </v>
          </cell>
          <cell r="H2538">
            <v>150000</v>
          </cell>
        </row>
        <row r="2539">
          <cell r="F2539" t="str">
            <v>Palem waregu di Polybag 50
Liter</v>
          </cell>
          <cell r="G2539" t="str">
            <v xml:space="preserve">Buah </v>
          </cell>
          <cell r="H2539">
            <v>150000</v>
          </cell>
        </row>
        <row r="2540">
          <cell r="F2540" t="str">
            <v>Palem waregu di Polybag 75
Liter</v>
          </cell>
          <cell r="G2540" t="str">
            <v xml:space="preserve">Buah </v>
          </cell>
          <cell r="H2540">
            <v>200000</v>
          </cell>
        </row>
        <row r="2541">
          <cell r="F2541" t="str">
            <v>Sikas Halus/Mawar Jambe di
Polybag 50 Liter</v>
          </cell>
          <cell r="G2541" t="str">
            <v>Buah</v>
          </cell>
          <cell r="H2541">
            <v>150000</v>
          </cell>
        </row>
        <row r="2542">
          <cell r="F2542" t="str">
            <v>Sikas Halus/Mawar Jambe di
Polybag 75 Liter</v>
          </cell>
          <cell r="G2542" t="str">
            <v xml:space="preserve">Buah </v>
          </cell>
          <cell r="H2542">
            <v>200000</v>
          </cell>
        </row>
        <row r="2543">
          <cell r="F2543" t="str">
            <v>Palem Phoenix di Polybag 50
Liter</v>
          </cell>
          <cell r="G2543" t="str">
            <v>Buah</v>
          </cell>
          <cell r="H2543">
            <v>150000</v>
          </cell>
        </row>
        <row r="2544">
          <cell r="F2544" t="str">
            <v>Palem Phoenix di Polybag 75
Liter</v>
          </cell>
          <cell r="G2544" t="str">
            <v>Buah</v>
          </cell>
          <cell r="H2544">
            <v>200000</v>
          </cell>
        </row>
        <row r="2545">
          <cell r="F2545" t="str">
            <v>Palem Merah/ Pinang Merah di
Polybag 75 Liter</v>
          </cell>
          <cell r="G2545" t="str">
            <v xml:space="preserve">Buah </v>
          </cell>
          <cell r="H2545">
            <v>200000</v>
          </cell>
        </row>
        <row r="2546">
          <cell r="F2546" t="str">
            <v>Palem Besar Palem Sadeng</v>
          </cell>
          <cell r="G2546" t="str">
            <v xml:space="preserve">Buah </v>
          </cell>
          <cell r="H2546">
            <v>510000</v>
          </cell>
        </row>
        <row r="2547">
          <cell r="F2547" t="str">
            <v>Semak Alamanda di Polybag 5 Liter</v>
          </cell>
          <cell r="G2547" t="str">
            <v xml:space="preserve">Polybag </v>
          </cell>
          <cell r="H2547">
            <v>10000</v>
          </cell>
        </row>
        <row r="2548">
          <cell r="F2548" t="str">
            <v>Semak Alamanda di Polybag 11 Liter</v>
          </cell>
          <cell r="G2548" t="str">
            <v xml:space="preserve">Polybag </v>
          </cell>
          <cell r="H2548">
            <v>15000</v>
          </cell>
        </row>
        <row r="2549">
          <cell r="F2549" t="str">
            <v>Semak Alamanda di Polybag 20 Liter</v>
          </cell>
          <cell r="G2549" t="str">
            <v xml:space="preserve">Polybag </v>
          </cell>
          <cell r="H2549">
            <v>20000</v>
          </cell>
        </row>
        <row r="2550">
          <cell r="F2550" t="str">
            <v>Semak Alamanda/Bunga
terompet emas di Polybag 5
Liter</v>
          </cell>
          <cell r="G2550" t="str">
            <v>Buah</v>
          </cell>
          <cell r="H2550">
            <v>3000</v>
          </cell>
        </row>
        <row r="2551">
          <cell r="F2551" t="str">
            <v>Semak Alamanda/Bunga
terompet emas di Polybag 11
Liter</v>
          </cell>
          <cell r="G2551" t="str">
            <v xml:space="preserve">Buah </v>
          </cell>
          <cell r="H2551">
            <v>5000</v>
          </cell>
        </row>
        <row r="2552">
          <cell r="F2552" t="str">
            <v>Semak Alamanda/Bunga
terompet emas di Polybag 20 Liter</v>
          </cell>
          <cell r="G2552" t="str">
            <v xml:space="preserve">Buah </v>
          </cell>
          <cell r="H2552">
            <v>9000</v>
          </cell>
        </row>
        <row r="2553">
          <cell r="F2553" t="str">
            <v>Semak Agave/lidah naga di
Polybag 11 Liter</v>
          </cell>
          <cell r="G2553" t="str">
            <v xml:space="preserve">Buah </v>
          </cell>
          <cell r="H2553">
            <v>5000</v>
          </cell>
        </row>
        <row r="2554">
          <cell r="F2554" t="str">
            <v>Semak Agave/lidah naga di
Polybag 20 Liter</v>
          </cell>
          <cell r="G2554" t="str">
            <v xml:space="preserve">Buah </v>
          </cell>
          <cell r="H2554">
            <v>9000</v>
          </cell>
        </row>
        <row r="2555">
          <cell r="F2555" t="str">
            <v>Semak Bakung Lele di Polybag
5 Liter</v>
          </cell>
          <cell r="G2555" t="str">
            <v xml:space="preserve">Buah </v>
          </cell>
          <cell r="H2555">
            <v>3500</v>
          </cell>
        </row>
        <row r="2556">
          <cell r="F2556" t="str">
            <v>Semak Bakung Lele di
Polybag 11 Liter</v>
          </cell>
          <cell r="G2556" t="str">
            <v xml:space="preserve">Buah </v>
          </cell>
          <cell r="H2556">
            <v>5000</v>
          </cell>
        </row>
        <row r="2557">
          <cell r="F2557" t="str">
            <v>Semak Bakung Jawa di
Polybag 11 Liter</v>
          </cell>
          <cell r="G2557" t="str">
            <v xml:space="preserve">Buah </v>
          </cell>
          <cell r="H2557">
            <v>5000</v>
          </cell>
        </row>
        <row r="2558">
          <cell r="F2558" t="str">
            <v>Semak Bakung Jawa di Polybag
20 Liter</v>
          </cell>
          <cell r="G2558" t="str">
            <v xml:space="preserve">Buah </v>
          </cell>
          <cell r="H2558">
            <v>9000</v>
          </cell>
        </row>
        <row r="2559">
          <cell r="F2559" t="str">
            <v>Semak Bromelia di Polybag
11 Liter</v>
          </cell>
          <cell r="G2559" t="str">
            <v xml:space="preserve">Buah </v>
          </cell>
          <cell r="H2559">
            <v>5000</v>
          </cell>
        </row>
        <row r="2560">
          <cell r="F2560" t="str">
            <v>Semak Bromelia di Polybag 20
Liter</v>
          </cell>
          <cell r="G2560" t="str">
            <v xml:space="preserve">Buah </v>
          </cell>
          <cell r="H2560">
            <v>9000</v>
          </cell>
        </row>
        <row r="2561">
          <cell r="F2561" t="str">
            <v>Semak Bugenvil/bunga kertas di
Polybag 20 Liter</v>
          </cell>
          <cell r="G2561" t="str">
            <v xml:space="preserve">Buah </v>
          </cell>
          <cell r="H2561">
            <v>9000</v>
          </cell>
        </row>
        <row r="2562">
          <cell r="F2562" t="str">
            <v>Semak Bunga Iris di Polybag 5
Liter</v>
          </cell>
          <cell r="G2562" t="str">
            <v xml:space="preserve">Buah </v>
          </cell>
          <cell r="H2562">
            <v>3000</v>
          </cell>
        </row>
        <row r="2563">
          <cell r="F2563" t="str">
            <v>Semak Bunga Terompet
Kuning di Polybag 11 Liter</v>
          </cell>
          <cell r="G2563" t="str">
            <v>Buah</v>
          </cell>
          <cell r="H2563">
            <v>5000</v>
          </cell>
        </row>
        <row r="2564">
          <cell r="F2564" t="str">
            <v>Semak Bunga Terompet Kuning di
Polybag 20 Liter</v>
          </cell>
          <cell r="G2564" t="str">
            <v xml:space="preserve">Buah </v>
          </cell>
          <cell r="H2564">
            <v>9000</v>
          </cell>
        </row>
        <row r="2565">
          <cell r="F2565" t="str">
            <v>Semak Calathea di Polybag 5
Liter</v>
          </cell>
          <cell r="G2565" t="str">
            <v xml:space="preserve">Buah </v>
          </cell>
          <cell r="H2565">
            <v>3000</v>
          </cell>
        </row>
        <row r="2566">
          <cell r="F2566" t="str">
            <v>Semak Canna di Polybag 20 Liter</v>
          </cell>
          <cell r="G2566" t="str">
            <v xml:space="preserve">Buah </v>
          </cell>
          <cell r="H2566">
            <v>9000</v>
          </cell>
        </row>
        <row r="2567">
          <cell r="F2567" t="str">
            <v>Semak Capit Udang</v>
          </cell>
          <cell r="G2567" t="str">
            <v xml:space="preserve">Buah </v>
          </cell>
          <cell r="H2567">
            <v>2100</v>
          </cell>
        </row>
        <row r="2568">
          <cell r="F2568" t="str">
            <v>Semak Cendrawasih di Polybag
5 Liter</v>
          </cell>
          <cell r="G2568" t="str">
            <v xml:space="preserve">Buah </v>
          </cell>
          <cell r="H2568">
            <v>3000</v>
          </cell>
        </row>
        <row r="2569">
          <cell r="F2569" t="str">
            <v>Semak Costus di Polybag 11
Liter</v>
          </cell>
          <cell r="G2569" t="str">
            <v>Buah</v>
          </cell>
          <cell r="H2569">
            <v>5000</v>
          </cell>
        </row>
        <row r="2570">
          <cell r="F2570" t="str">
            <v>Semak Costus di Polybag 11
Liter</v>
          </cell>
          <cell r="G2570" t="str">
            <v>Buah</v>
          </cell>
          <cell r="H2570">
            <v>5000</v>
          </cell>
        </row>
        <row r="2571">
          <cell r="F2571" t="str">
            <v>Semak Dracaena ‘Song of
India’ di Polybag 11 Liter</v>
          </cell>
          <cell r="G2571" t="str">
            <v xml:space="preserve">Buah </v>
          </cell>
          <cell r="H2571">
            <v>5000</v>
          </cell>
        </row>
        <row r="2572">
          <cell r="F2572" t="str">
            <v>Semak Dracaena 'Song of
Jamaica' di Polybag 11 Liter</v>
          </cell>
          <cell r="G2572" t="str">
            <v xml:space="preserve">Buah </v>
          </cell>
          <cell r="H2572">
            <v>5000</v>
          </cell>
        </row>
        <row r="2573">
          <cell r="F2573" t="str">
            <v>Semak Dracaena ‘Song of India’ di
Polybag 20 Liter</v>
          </cell>
          <cell r="G2573" t="str">
            <v xml:space="preserve">Buah </v>
          </cell>
          <cell r="H2573">
            <v>9000</v>
          </cell>
        </row>
        <row r="2574">
          <cell r="F2574" t="str">
            <v>Semak Dracaena 'Song of
Jamaica' di Polybag 20 Liter</v>
          </cell>
          <cell r="G2574" t="str">
            <v xml:space="preserve">Buah </v>
          </cell>
          <cell r="H2574">
            <v>9000</v>
          </cell>
        </row>
        <row r="2575">
          <cell r="F2575" t="str">
            <v>Semak Helliconia di Polybag
11 Liter</v>
          </cell>
          <cell r="G2575" t="str">
            <v xml:space="preserve">Buah </v>
          </cell>
          <cell r="H2575">
            <v>5000</v>
          </cell>
        </row>
        <row r="2576">
          <cell r="F2576" t="str">
            <v>Semak Helliconia di Polybag 20
Liter</v>
          </cell>
          <cell r="G2576" t="str">
            <v xml:space="preserve">Buah </v>
          </cell>
          <cell r="H2576">
            <v>9000</v>
          </cell>
        </row>
        <row r="2577">
          <cell r="F2577" t="str">
            <v>Semak Honje/Kecombrang di
Polybag 11 Liter</v>
          </cell>
          <cell r="G2577" t="str">
            <v xml:space="preserve">Buah </v>
          </cell>
          <cell r="H2577">
            <v>5000</v>
          </cell>
        </row>
        <row r="2578">
          <cell r="F2578" t="str">
            <v>Semak Honje/Kecombrang di
Polybag 20 Liter</v>
          </cell>
          <cell r="G2578" t="str">
            <v xml:space="preserve">Buah </v>
          </cell>
          <cell r="H2578">
            <v>9000</v>
          </cell>
        </row>
        <row r="2579">
          <cell r="F2579" t="str">
            <v>Semak Hujan Mas di Polybag 5
Liter</v>
          </cell>
          <cell r="G2579" t="str">
            <v xml:space="preserve">Buah </v>
          </cell>
          <cell r="H2579">
            <v>3000</v>
          </cell>
        </row>
        <row r="2580">
          <cell r="F2580" t="str">
            <v>Semak Hujan Mas di Polybag
11 Liter</v>
          </cell>
          <cell r="G2580" t="str">
            <v xml:space="preserve">Buah </v>
          </cell>
          <cell r="H2580">
            <v>5000</v>
          </cell>
        </row>
        <row r="2581">
          <cell r="F2581" t="str">
            <v>Semak Hujan Mas di Polybag 20
Liter</v>
          </cell>
          <cell r="G2581" t="str">
            <v xml:space="preserve">Buah </v>
          </cell>
          <cell r="H2581">
            <v>9000</v>
          </cell>
        </row>
        <row r="2582">
          <cell r="F2582" t="str">
            <v>Semak Kacapiring
wangi/Gardenia di Polybag 5
Liter</v>
          </cell>
          <cell r="G2582" t="str">
            <v xml:space="preserve">Buah </v>
          </cell>
          <cell r="H2582">
            <v>3000</v>
          </cell>
        </row>
        <row r="2583">
          <cell r="F2583" t="str">
            <v>Semak Kaca piring di Polybag
11 Liter</v>
          </cell>
          <cell r="G2583" t="str">
            <v>Buah</v>
          </cell>
          <cell r="H2583">
            <v>5000</v>
          </cell>
        </row>
        <row r="2584">
          <cell r="F2584" t="str">
            <v>Semak Kacapiring
wangi/Gardenia di Polybag
11 Liter</v>
          </cell>
          <cell r="G2584" t="str">
            <v xml:space="preserve">Buah </v>
          </cell>
          <cell r="H2584">
            <v>5000</v>
          </cell>
        </row>
        <row r="2585">
          <cell r="F2585" t="str">
            <v>Semak Kacapiring
wangi/Gardenia di Polybag 20
Liter</v>
          </cell>
          <cell r="G2585" t="str">
            <v xml:space="preserve">Buah </v>
          </cell>
          <cell r="H2585">
            <v>9000</v>
          </cell>
        </row>
        <row r="2586">
          <cell r="F2586" t="str">
            <v>Semak Kembang sepatu di
Polybag 20 Liter</v>
          </cell>
          <cell r="G2586" t="str">
            <v xml:space="preserve">Buah </v>
          </cell>
          <cell r="H2586">
            <v>9000</v>
          </cell>
        </row>
        <row r="2587">
          <cell r="F2587" t="str">
            <v>Semak Kemuning di Polybag 5
Liter</v>
          </cell>
          <cell r="G2587" t="str">
            <v>Buah</v>
          </cell>
          <cell r="H2587">
            <v>3000</v>
          </cell>
        </row>
        <row r="2588">
          <cell r="F2588" t="str">
            <v>Semak Kana di Polybag 11
Liter</v>
          </cell>
          <cell r="G2588" t="str">
            <v xml:space="preserve">Buah </v>
          </cell>
          <cell r="H2588">
            <v>5000</v>
          </cell>
        </row>
        <row r="2589">
          <cell r="F2589" t="str">
            <v>Semak Lili Brazil di Polybag
11 Liter</v>
          </cell>
          <cell r="G2589" t="str">
            <v xml:space="preserve">Buah </v>
          </cell>
          <cell r="H2589">
            <v>5000</v>
          </cell>
        </row>
        <row r="2590">
          <cell r="F2590" t="str">
            <v>Semak Melati Putih di Polybag
5 Liter</v>
          </cell>
          <cell r="G2590" t="str">
            <v>Buah</v>
          </cell>
          <cell r="H2590">
            <v>3000</v>
          </cell>
        </row>
        <row r="2591">
          <cell r="F2591" t="str">
            <v>Semak Melati Putih di
Polybag 11 Liter</v>
          </cell>
          <cell r="G2591" t="str">
            <v xml:space="preserve">Buah </v>
          </cell>
          <cell r="H2591">
            <v>5000</v>
          </cell>
        </row>
        <row r="2592">
          <cell r="F2592" t="str">
            <v>Semak Nusa Indah di
Polybag 11 Liter</v>
          </cell>
          <cell r="G2592" t="str">
            <v>Buah</v>
          </cell>
          <cell r="H2592">
            <v>5000</v>
          </cell>
        </row>
        <row r="2593">
          <cell r="F2593" t="str">
            <v>Semak Oleander/Bunga
Mentega di Polybag 11 Liter</v>
          </cell>
          <cell r="G2593" t="str">
            <v xml:space="preserve">Buah </v>
          </cell>
          <cell r="H2593">
            <v>5000</v>
          </cell>
        </row>
        <row r="2594">
          <cell r="F2594" t="str">
            <v>Semak Oleander/Bunga Mentega
di Polybag 20 Liter</v>
          </cell>
          <cell r="G2594" t="str">
            <v xml:space="preserve">Buah </v>
          </cell>
          <cell r="H2594">
            <v>9000</v>
          </cell>
        </row>
        <row r="2595">
          <cell r="F2595" t="str">
            <v>Semak Pandan Kuning di
Polybag 5 Liter</v>
          </cell>
          <cell r="G2595" t="str">
            <v>Buah</v>
          </cell>
          <cell r="H2595">
            <v>3000</v>
          </cell>
        </row>
        <row r="2596">
          <cell r="F2596" t="str">
            <v>Semak Penda Emas di Polybag 20
Liter</v>
          </cell>
          <cell r="G2596" t="str">
            <v xml:space="preserve">Buah </v>
          </cell>
          <cell r="H2596">
            <v>9000</v>
          </cell>
        </row>
        <row r="2597">
          <cell r="F2597" t="str">
            <v>Semak Pretty Pink di Polybag 5
Liter</v>
          </cell>
          <cell r="G2597" t="str">
            <v>Buah</v>
          </cell>
          <cell r="H2597">
            <v>3000</v>
          </cell>
        </row>
        <row r="2598">
          <cell r="F2598" t="str">
            <v>Semak Pretty Pink di Polybag
11 Liter</v>
          </cell>
          <cell r="G2598" t="str">
            <v xml:space="preserve">Buah </v>
          </cell>
          <cell r="H2598">
            <v>5000</v>
          </cell>
        </row>
        <row r="2599">
          <cell r="F2599" t="str">
            <v>Semak Puring di Polybag 11
Liter</v>
          </cell>
          <cell r="G2599" t="str">
            <v xml:space="preserve">Buah </v>
          </cell>
          <cell r="H2599">
            <v>5000</v>
          </cell>
        </row>
        <row r="2600">
          <cell r="F2600" t="str">
            <v>Semak Puring di Polybag 20 Liter</v>
          </cell>
          <cell r="G2600" t="str">
            <v xml:space="preserve">Buah </v>
          </cell>
          <cell r="H2600">
            <v>9000</v>
          </cell>
        </row>
        <row r="2601">
          <cell r="F2601" t="str">
            <v>Semak Ruelia / Kencana
Ungu di Polybag 11 Liter</v>
          </cell>
          <cell r="G2601" t="str">
            <v xml:space="preserve">Buah </v>
          </cell>
          <cell r="H2601">
            <v>5000</v>
          </cell>
        </row>
        <row r="2602">
          <cell r="F2602" t="str">
            <v>Semak Sansevieria/Lidah
Mertua di Polybag 5 Liter</v>
          </cell>
          <cell r="G2602" t="str">
            <v xml:space="preserve">Buah </v>
          </cell>
          <cell r="H2602">
            <v>3000</v>
          </cell>
        </row>
        <row r="2603">
          <cell r="F2603" t="str">
            <v>Semak Sansevieria/Lidah
Mertua di Polybag 11 Liter</v>
          </cell>
          <cell r="G2603" t="str">
            <v xml:space="preserve">Buah </v>
          </cell>
          <cell r="H2603">
            <v>5000</v>
          </cell>
        </row>
        <row r="2604">
          <cell r="F2604" t="str">
            <v>Semak Soka di Polybag 11
Liter</v>
          </cell>
          <cell r="G2604" t="str">
            <v xml:space="preserve">Buah </v>
          </cell>
          <cell r="H2604">
            <v>5000</v>
          </cell>
        </row>
        <row r="2605">
          <cell r="F2605" t="str">
            <v>Semak Tabernae/Mondokaki di
Polybag 5 Liter</v>
          </cell>
          <cell r="G2605" t="str">
            <v xml:space="preserve">Buah </v>
          </cell>
          <cell r="H2605">
            <v>3000</v>
          </cell>
        </row>
        <row r="2606">
          <cell r="F2606" t="str">
            <v>Semak Tabernae di Polybag
11 Liter</v>
          </cell>
          <cell r="G2606" t="str">
            <v xml:space="preserve">Buah </v>
          </cell>
          <cell r="H2606">
            <v>5000</v>
          </cell>
        </row>
        <row r="2607">
          <cell r="F2607" t="str">
            <v>Semak Tabernac di Polybag 20
Liter</v>
          </cell>
          <cell r="G2607" t="str">
            <v xml:space="preserve">Buah </v>
          </cell>
          <cell r="H2607">
            <v>9000</v>
          </cell>
        </row>
        <row r="2608">
          <cell r="F2608" t="str">
            <v>Semak Walisongo/Umbrella
tree di Polybag 5 Liter</v>
          </cell>
          <cell r="G2608" t="str">
            <v xml:space="preserve">Buah </v>
          </cell>
          <cell r="H2608">
            <v>3000</v>
          </cell>
        </row>
        <row r="2609">
          <cell r="F2609" t="str">
            <v>Semak Walisongo/Umbrella
Tree di Polybag 11 Liter</v>
          </cell>
          <cell r="G2609" t="str">
            <v xml:space="preserve">Buah </v>
          </cell>
          <cell r="H2609">
            <v>5000</v>
          </cell>
        </row>
        <row r="2610">
          <cell r="F2610" t="str">
            <v>Semak Walisongo/Umbrella Tree
di Polybag 20 Liter</v>
          </cell>
          <cell r="G2610" t="str">
            <v xml:space="preserve">Buah </v>
          </cell>
          <cell r="H2610">
            <v>9000</v>
          </cell>
        </row>
        <row r="2611">
          <cell r="F2611" t="str">
            <v xml:space="preserve">Penutup Tanah Kacang Hias </v>
          </cell>
          <cell r="H2611">
            <v>2500</v>
          </cell>
        </row>
        <row r="2612">
          <cell r="F2612" t="str">
            <v>Penutup Tanah Kacang hias di
Polybag 0.5 Liter</v>
          </cell>
          <cell r="G2612" t="str">
            <v>m2</v>
          </cell>
          <cell r="H2612">
            <v>15000</v>
          </cell>
        </row>
        <row r="2613">
          <cell r="F2613" t="str">
            <v>Penutup Tanah Kucai Mini di
Polybag 0.5 Liter</v>
          </cell>
          <cell r="G2613" t="str">
            <v>m2</v>
          </cell>
          <cell r="H2613">
            <v>15000</v>
          </cell>
        </row>
        <row r="2614">
          <cell r="F2614" t="str">
            <v>Penutup Tanah Lantana di
Polybag 0.5 Liter</v>
          </cell>
          <cell r="G2614" t="str">
            <v>m2</v>
          </cell>
          <cell r="H2614">
            <v>15000</v>
          </cell>
        </row>
        <row r="2615">
          <cell r="F2615" t="str">
            <v>Penutup Tanah Sutra bombay
di Polybag 0.5 Liter</v>
          </cell>
          <cell r="G2615" t="str">
            <v>m2</v>
          </cell>
          <cell r="H2615">
            <v>15000</v>
          </cell>
        </row>
        <row r="2616">
          <cell r="F2616" t="str">
            <v>Penutup Tanah Widelia di
Polybag 0.5 Liter</v>
          </cell>
          <cell r="G2616" t="str">
            <v>m2</v>
          </cell>
          <cell r="H2616">
            <v>15000</v>
          </cell>
        </row>
        <row r="2617">
          <cell r="F2617" t="str">
            <v>Rumput embun</v>
          </cell>
          <cell r="G2617" t="str">
            <v>m2</v>
          </cell>
          <cell r="H2617">
            <v>17000</v>
          </cell>
        </row>
        <row r="2618">
          <cell r="F2618" t="str">
            <v>Rumput gajah</v>
          </cell>
          <cell r="G2618" t="str">
            <v>m2</v>
          </cell>
          <cell r="H2618">
            <v>10000</v>
          </cell>
        </row>
        <row r="2619">
          <cell r="F2619" t="str">
            <v>Rumput Gajah Mini</v>
          </cell>
          <cell r="G2619" t="str">
            <v>m2</v>
          </cell>
          <cell r="H2619">
            <v>15000</v>
          </cell>
        </row>
        <row r="2620">
          <cell r="F2620" t="str">
            <v>Rumput peking</v>
          </cell>
          <cell r="G2620" t="str">
            <v>m2</v>
          </cell>
          <cell r="H2620">
            <v>19000</v>
          </cell>
        </row>
        <row r="2621">
          <cell r="F2621" t="str">
            <v xml:space="preserve">Matras Tipe I, Termasuk angkur / penguat matras </v>
          </cell>
          <cell r="G2621" t="str">
            <v>m2</v>
          </cell>
          <cell r="H2621">
            <v>5600</v>
          </cell>
        </row>
        <row r="2622">
          <cell r="F2622" t="str">
            <v xml:space="preserve">Perekat Campuran Hydroseeding </v>
          </cell>
          <cell r="G2622" t="str">
            <v>kg</v>
          </cell>
          <cell r="H2622">
            <v>16000</v>
          </cell>
        </row>
        <row r="2623">
          <cell r="F2623" t="str">
            <v>Bibit Vegetasi (Biji Rumput)</v>
          </cell>
          <cell r="G2623" t="str">
            <v>kg</v>
          </cell>
          <cell r="H2623">
            <v>80000</v>
          </cell>
        </row>
        <row r="2624">
          <cell r="F2624" t="str">
            <v xml:space="preserve">Mulsa </v>
          </cell>
          <cell r="G2624" t="str">
            <v>kg</v>
          </cell>
          <cell r="H2624">
            <v>35000</v>
          </cell>
        </row>
        <row r="2625">
          <cell r="F2625" t="str">
            <v>Pupuk anorganik *)</v>
          </cell>
          <cell r="G2625" t="str">
            <v>kg</v>
          </cell>
          <cell r="H2625">
            <v>18000</v>
          </cell>
        </row>
        <row r="2626">
          <cell r="F2626" t="str">
            <v>Pupuk anorganik (ex: NPK)</v>
          </cell>
          <cell r="G2626" t="str">
            <v>m3</v>
          </cell>
          <cell r="H2626">
            <v>180000</v>
          </cell>
        </row>
        <row r="2627">
          <cell r="F2627" t="str">
            <v>Pupuk anorganik cair (ex: NPK)</v>
          </cell>
          <cell r="G2627" t="str">
            <v>M3</v>
          </cell>
          <cell r="H2627">
            <v>150000</v>
          </cell>
        </row>
        <row r="2628">
          <cell r="F2628" t="str">
            <v xml:space="preserve">Pupuk anorganik padat </v>
          </cell>
          <cell r="G2628" t="str">
            <v>m3</v>
          </cell>
          <cell r="H2628">
            <v>150000</v>
          </cell>
        </row>
        <row r="2629">
          <cell r="F2629" t="str">
            <v>Perekat Matras
Perkuatan (Lem)</v>
          </cell>
          <cell r="G2629" t="str">
            <v>kg</v>
          </cell>
          <cell r="H2629">
            <v>18000</v>
          </cell>
        </row>
        <row r="2630">
          <cell r="F2630" t="str">
            <v xml:space="preserve">Matras Tipe II, Termasuk angkur / penguat matras </v>
          </cell>
          <cell r="G2630" t="str">
            <v>m2</v>
          </cell>
          <cell r="H2630">
            <v>7500</v>
          </cell>
        </row>
        <row r="2631">
          <cell r="F2631" t="str">
            <v xml:space="preserve">Matras Tipe III, Termasuk angkur / penguat matras </v>
          </cell>
          <cell r="H2631">
            <v>9500</v>
          </cell>
        </row>
        <row r="2632">
          <cell r="F2632" t="str">
            <v>Bibit Vegetasi (Biji Legume Crop Cover/LCC)</v>
          </cell>
          <cell r="G2632" t="str">
            <v>kg</v>
          </cell>
          <cell r="H2632">
            <v>166000</v>
          </cell>
        </row>
        <row r="2633">
          <cell r="F2633" t="str">
            <v xml:space="preserve">Material Organik </v>
          </cell>
          <cell r="G2633" t="str">
            <v>m3</v>
          </cell>
          <cell r="H2633">
            <v>10500</v>
          </cell>
        </row>
        <row r="2634">
          <cell r="F2634" t="str">
            <v xml:space="preserve">Kapur </v>
          </cell>
          <cell r="G2634" t="str">
            <v xml:space="preserve">kg </v>
          </cell>
          <cell r="H2634">
            <v>3100</v>
          </cell>
        </row>
        <row r="2635">
          <cell r="F2635" t="str">
            <v xml:space="preserve">Pasir </v>
          </cell>
          <cell r="G2635" t="str">
            <v>m3</v>
          </cell>
          <cell r="H2635">
            <v>250000</v>
          </cell>
        </row>
        <row r="2636">
          <cell r="F2636" t="str">
            <v xml:space="preserve">sulfur </v>
          </cell>
          <cell r="G2636" t="str">
            <v>kg</v>
          </cell>
          <cell r="H2636">
            <v>12000</v>
          </cell>
        </row>
        <row r="2637">
          <cell r="F2637" t="str">
            <v>Air Bersih</v>
          </cell>
          <cell r="G2637" t="str">
            <v xml:space="preserve">liter </v>
          </cell>
          <cell r="H2637">
            <v>550</v>
          </cell>
        </row>
        <row r="2638">
          <cell r="F2638" t="str">
            <v>Fungisida/Insektisida</v>
          </cell>
          <cell r="G2638" t="str">
            <v xml:space="preserve">kg </v>
          </cell>
          <cell r="H2638">
            <v>430000</v>
          </cell>
        </row>
        <row r="2639">
          <cell r="F2639" t="str">
            <v>Cat Minyak</v>
          </cell>
          <cell r="G2639" t="str">
            <v xml:space="preserve">liter </v>
          </cell>
          <cell r="H2639">
            <v>48500</v>
          </cell>
        </row>
        <row r="2640">
          <cell r="F2640" t="str">
            <v>Tong Sampah 2 tabung</v>
          </cell>
          <cell r="G2640" t="str">
            <v>buah</v>
          </cell>
          <cell r="H2640">
            <v>340000</v>
          </cell>
        </row>
        <row r="2641">
          <cell r="F2641" t="str">
            <v>Besi Hollow 30x60</v>
          </cell>
          <cell r="G2641" t="str">
            <v>m3</v>
          </cell>
          <cell r="H2641">
            <v>13700</v>
          </cell>
        </row>
        <row r="2642">
          <cell r="F2642" t="str">
            <v xml:space="preserve">Bambu* dia. 3-5 cm </v>
          </cell>
          <cell r="G2642" t="str">
            <v>m'</v>
          </cell>
          <cell r="H2642">
            <v>700</v>
          </cell>
        </row>
        <row r="2643">
          <cell r="F2643" t="str">
            <v xml:space="preserve">Bambu* dia. 5-8 cm </v>
          </cell>
          <cell r="G2643" t="str">
            <v>m</v>
          </cell>
          <cell r="H2643">
            <v>900</v>
          </cell>
        </row>
        <row r="2644">
          <cell r="F2644" t="str">
            <v xml:space="preserve">bambu* dia. 8-10 cm </v>
          </cell>
          <cell r="G2644" t="str">
            <v>M</v>
          </cell>
          <cell r="H2644">
            <v>12000</v>
          </cell>
        </row>
        <row r="2645">
          <cell r="F2645" t="str">
            <v xml:space="preserve">bambu* dia. 10-12 cm </v>
          </cell>
          <cell r="G2645" t="str">
            <v>m</v>
          </cell>
          <cell r="H2645">
            <v>15000</v>
          </cell>
        </row>
        <row r="2646">
          <cell r="F2646" t="str">
            <v xml:space="preserve">Tali/pengikat sejenisnya </v>
          </cell>
          <cell r="G2646" t="str">
            <v>m</v>
          </cell>
          <cell r="H2646">
            <v>500</v>
          </cell>
        </row>
        <row r="2648">
          <cell r="F2648" t="str">
            <v>SEWA PERALATAN</v>
          </cell>
        </row>
        <row r="2649">
          <cell r="F2649" t="str">
            <v>Alat  bantu</v>
          </cell>
          <cell r="G2649" t="str">
            <v>set</v>
          </cell>
          <cell r="H2649">
            <v>50000</v>
          </cell>
        </row>
        <row r="2650">
          <cell r="F2650" t="str">
            <v>Asphalt Distributor</v>
          </cell>
          <cell r="G2650" t="str">
            <v>jam</v>
          </cell>
          <cell r="H2650">
            <v>307300</v>
          </cell>
        </row>
        <row r="2651">
          <cell r="F2651" t="str">
            <v>Asphalt  finisher</v>
          </cell>
          <cell r="G2651" t="str">
            <v>jam</v>
          </cell>
          <cell r="H2651">
            <v>602500</v>
          </cell>
        </row>
        <row r="2652">
          <cell r="F2652" t="str">
            <v>Asphalt  liquid mixer 1000 ℓ</v>
          </cell>
          <cell r="G2652" t="str">
            <v>jam</v>
          </cell>
          <cell r="H2652">
            <v>61100</v>
          </cell>
        </row>
        <row r="2653">
          <cell r="F2653" t="str">
            <v>Asphalt  mixing plant</v>
          </cell>
          <cell r="G2653" t="str">
            <v>jam</v>
          </cell>
          <cell r="H2653">
            <v>6253800</v>
          </cell>
        </row>
        <row r="2654">
          <cell r="F2654" t="str">
            <v>Asphalt  sprayer 850 ℓ</v>
          </cell>
          <cell r="G2654" t="str">
            <v>jam</v>
          </cell>
          <cell r="H2654">
            <v>74900</v>
          </cell>
        </row>
        <row r="2655">
          <cell r="F2655" t="str">
            <v>Bender baja beton</v>
          </cell>
          <cell r="G2655" t="str">
            <v>hari</v>
          </cell>
          <cell r="H2655">
            <v>850000</v>
          </cell>
        </row>
        <row r="2656">
          <cell r="F2656" t="str">
            <v>Blending equipment</v>
          </cell>
          <cell r="G2656" t="str">
            <v>jam</v>
          </cell>
          <cell r="H2656">
            <v>235000</v>
          </cell>
        </row>
        <row r="2657">
          <cell r="F2657" t="str">
            <v>Bore pile machine</v>
          </cell>
          <cell r="G2657" t="str">
            <v>jam</v>
          </cell>
          <cell r="H2657">
            <v>476900</v>
          </cell>
        </row>
        <row r="2658">
          <cell r="F2658" t="str">
            <v>Bulldozer 100-150 HP</v>
          </cell>
          <cell r="G2658" t="str">
            <v>jam</v>
          </cell>
          <cell r="H2658">
            <v>912500</v>
          </cell>
        </row>
        <row r="2659">
          <cell r="F2659" t="str">
            <v>Chain saw</v>
          </cell>
          <cell r="G2659" t="str">
            <v>jam</v>
          </cell>
          <cell r="H2659">
            <v>60200</v>
          </cell>
        </row>
        <row r="2660">
          <cell r="F2660" t="str">
            <v>Chainsaw 20”; 5,5HP</v>
          </cell>
          <cell r="G2660" t="str">
            <v>hari</v>
          </cell>
          <cell r="H2660">
            <v>300000</v>
          </cell>
        </row>
        <row r="2661">
          <cell r="F2661" t="str">
            <v>Chainsaw 30”; 7,5HP</v>
          </cell>
          <cell r="G2661" t="str">
            <v>hari</v>
          </cell>
          <cell r="H2661">
            <v>300000</v>
          </cell>
        </row>
        <row r="2662">
          <cell r="F2662" t="str">
            <v>Cold milling machine</v>
          </cell>
          <cell r="G2662" t="str">
            <v>jam</v>
          </cell>
          <cell r="H2662">
            <v>648500</v>
          </cell>
        </row>
        <row r="2663">
          <cell r="F2663" t="str">
            <v>Colt T-120 (D); R-Blk. 4; 12 m3</v>
          </cell>
          <cell r="G2663" t="str">
            <v>jam</v>
          </cell>
          <cell r="H2663">
            <v>314110.76</v>
          </cell>
        </row>
        <row r="2664">
          <cell r="F2664" t="str">
            <v>Compressor 4000-6500 ℓ\m</v>
          </cell>
          <cell r="G2664" t="str">
            <v>jam</v>
          </cell>
          <cell r="H2664">
            <v>185500</v>
          </cell>
        </row>
        <row r="2665">
          <cell r="F2665" t="str">
            <v>Compressor bor</v>
          </cell>
          <cell r="G2665" t="str">
            <v>unit</v>
          </cell>
          <cell r="H2665">
            <v>700000</v>
          </cell>
        </row>
        <row r="2666">
          <cell r="F2666" t="str">
            <v>Concrete mixer 350 ℓ</v>
          </cell>
          <cell r="G2666" t="str">
            <v>jam</v>
          </cell>
          <cell r="H2666">
            <v>94600</v>
          </cell>
        </row>
        <row r="2667">
          <cell r="F2667" t="str">
            <v>Concrete mixer 500 ℓ</v>
          </cell>
          <cell r="G2667" t="str">
            <v>jam</v>
          </cell>
          <cell r="H2667">
            <v>103400</v>
          </cell>
        </row>
        <row r="2668">
          <cell r="F2668" t="str">
            <v>Concrete mixer truck 5 m³</v>
          </cell>
          <cell r="G2668" t="str">
            <v>jam</v>
          </cell>
          <cell r="H2668">
            <v>576100</v>
          </cell>
        </row>
        <row r="2669">
          <cell r="F2669" t="str">
            <v>Concrete pan mixer</v>
          </cell>
          <cell r="G2669" t="str">
            <v>jam</v>
          </cell>
          <cell r="H2669">
            <v>800700</v>
          </cell>
        </row>
        <row r="2670">
          <cell r="F2670" t="str">
            <v>Concrete pump</v>
          </cell>
          <cell r="G2670" t="str">
            <v>jam</v>
          </cell>
          <cell r="H2670">
            <v>296800</v>
          </cell>
        </row>
        <row r="2671">
          <cell r="F2671" t="str">
            <v>Concrete slip form paver</v>
          </cell>
          <cell r="G2671" t="str">
            <v>jam</v>
          </cell>
          <cell r="H2671">
            <v>582400</v>
          </cell>
        </row>
        <row r="2672">
          <cell r="F2672" t="str">
            <v>Concrete vibrator</v>
          </cell>
          <cell r="G2672" t="str">
            <v>hari</v>
          </cell>
          <cell r="H2672">
            <v>800000</v>
          </cell>
        </row>
        <row r="2673">
          <cell r="F2673" t="str">
            <v>Crane on track 35 ton</v>
          </cell>
          <cell r="G2673" t="str">
            <v>jam</v>
          </cell>
          <cell r="H2673">
            <v>440800</v>
          </cell>
        </row>
        <row r="2674">
          <cell r="F2674" t="str">
            <v>Crane Truck 3 ton; Winch 5 Ton</v>
          </cell>
          <cell r="G2674" t="str">
            <v>jam</v>
          </cell>
          <cell r="H2674">
            <v>430662.86</v>
          </cell>
        </row>
        <row r="2675">
          <cell r="F2675" t="str">
            <v>Crane on wheel 10-15 ton</v>
          </cell>
          <cell r="G2675" t="str">
            <v>jam</v>
          </cell>
          <cell r="H2675">
            <v>359800</v>
          </cell>
        </row>
        <row r="2676">
          <cell r="F2676" t="str">
            <v>Cutter baja beton</v>
          </cell>
          <cell r="G2676" t="str">
            <v>hari</v>
          </cell>
          <cell r="H2676">
            <v>800000</v>
          </cell>
        </row>
        <row r="2677">
          <cell r="F2677" t="str">
            <v>Cutting machine</v>
          </cell>
          <cell r="G2677" t="str">
            <v>jam</v>
          </cell>
          <cell r="H2677">
            <v>55100</v>
          </cell>
        </row>
        <row r="2678">
          <cell r="F2678" t="str">
            <v>Depresiasi alat  compressor</v>
          </cell>
          <cell r="G2678" t="str">
            <v>hari</v>
          </cell>
          <cell r="H2678">
            <v>425000</v>
          </cell>
        </row>
        <row r="2679">
          <cell r="F2679" t="str">
            <v>Depresiasi mesin pompa uji</v>
          </cell>
          <cell r="G2679" t="str">
            <v>hari</v>
          </cell>
          <cell r="H2679">
            <v>42000</v>
          </cell>
        </row>
        <row r="2680">
          <cell r="F2680" t="str">
            <v>Depresiasi peralatan pemboran</v>
          </cell>
          <cell r="G2680" t="str">
            <v>hari</v>
          </cell>
          <cell r="H2680">
            <v>265000</v>
          </cell>
        </row>
        <row r="2681">
          <cell r="F2681" t="str">
            <v>Dump truck 1</v>
          </cell>
          <cell r="G2681" t="str">
            <v>jam</v>
          </cell>
          <cell r="H2681">
            <v>556100</v>
          </cell>
        </row>
        <row r="2682">
          <cell r="F2682" t="str">
            <v>Dump truck 2</v>
          </cell>
          <cell r="G2682" t="str">
            <v>jam</v>
          </cell>
          <cell r="H2682">
            <v>556100</v>
          </cell>
        </row>
        <row r="2683">
          <cell r="F2683" t="str">
            <v>Dump truck 3</v>
          </cell>
          <cell r="G2683" t="str">
            <v>jam</v>
          </cell>
          <cell r="H2683">
            <v>556100</v>
          </cell>
        </row>
        <row r="2684">
          <cell r="F2684" t="str">
            <v>Dump truck 20 ton</v>
          </cell>
          <cell r="G2684" t="str">
            <v>jam</v>
          </cell>
          <cell r="H2684">
            <v>556100</v>
          </cell>
        </row>
        <row r="2685">
          <cell r="F2685" t="str">
            <v>Dump truck 3,5 ton</v>
          </cell>
          <cell r="G2685" t="str">
            <v>jam</v>
          </cell>
          <cell r="H2685">
            <v>304800</v>
          </cell>
        </row>
        <row r="2686">
          <cell r="F2686" t="str">
            <v>Dump truck 40 ton</v>
          </cell>
          <cell r="G2686" t="str">
            <v>jam</v>
          </cell>
          <cell r="H2686">
            <v>676500</v>
          </cell>
        </row>
        <row r="2687">
          <cell r="F2687" t="str">
            <v>Dump truck 7,5 ton</v>
          </cell>
          <cell r="G2687" t="str">
            <v>jam</v>
          </cell>
          <cell r="H2687">
            <v>344400</v>
          </cell>
        </row>
        <row r="2688">
          <cell r="F2688" t="str">
            <v>Pick up L300</v>
          </cell>
          <cell r="G2688" t="str">
            <v>jam</v>
          </cell>
          <cell r="H2688">
            <v>268539.71000000002</v>
          </cell>
        </row>
        <row r="2689">
          <cell r="F2689" t="str">
            <v>Fuso (D); R-Blk. 8; 35 m3</v>
          </cell>
          <cell r="G2689" t="str">
            <v>jam</v>
          </cell>
          <cell r="H2689">
            <v>418543.76</v>
          </cell>
        </row>
        <row r="2690">
          <cell r="F2690" t="str">
            <v>Flat deck truck 7 ton</v>
          </cell>
          <cell r="G2690" t="str">
            <v xml:space="preserve">hari </v>
          </cell>
          <cell r="H2690">
            <v>2700000</v>
          </cell>
        </row>
        <row r="2691">
          <cell r="F2691" t="str">
            <v xml:space="preserve">Hoist 1 ton </v>
          </cell>
          <cell r="G2691" t="str">
            <v xml:space="preserve">hari </v>
          </cell>
          <cell r="H2691">
            <v>180000</v>
          </cell>
        </row>
        <row r="2692">
          <cell r="F2692" t="str">
            <v>Excavator 95 HP</v>
          </cell>
          <cell r="G2692" t="str">
            <v>jam</v>
          </cell>
          <cell r="H2692">
            <v>480000</v>
          </cell>
        </row>
        <row r="2693">
          <cell r="F2693" t="str">
            <v xml:space="preserve">Excavator </v>
          </cell>
          <cell r="G2693" t="str">
            <v xml:space="preserve">Hari </v>
          </cell>
          <cell r="H2693">
            <v>5150000</v>
          </cell>
        </row>
        <row r="2694">
          <cell r="F2694" t="str">
            <v>Excavator 80-140 HP</v>
          </cell>
          <cell r="G2694" t="str">
            <v>jam</v>
          </cell>
          <cell r="H2694">
            <v>668200</v>
          </cell>
        </row>
        <row r="2695">
          <cell r="F2695" t="str">
            <v>Flat  bed truck 3-4 m³</v>
          </cell>
          <cell r="G2695" t="str">
            <v>jam</v>
          </cell>
          <cell r="H2695">
            <v>465100</v>
          </cell>
        </row>
        <row r="2696">
          <cell r="F2696" t="str">
            <v>Generator set  135 KVA</v>
          </cell>
          <cell r="G2696" t="str">
            <v>jam</v>
          </cell>
          <cell r="H2696">
            <v>410200</v>
          </cell>
        </row>
        <row r="2697">
          <cell r="F2697" t="str">
            <v>Jack hammer</v>
          </cell>
          <cell r="G2697" t="str">
            <v>hari</v>
          </cell>
          <cell r="H2697">
            <v>350000</v>
          </cell>
        </row>
        <row r="2698">
          <cell r="F2698" t="str">
            <v>Jack hammer + genset</v>
          </cell>
          <cell r="G2698" t="str">
            <v>hari</v>
          </cell>
          <cell r="H2698">
            <v>2300000</v>
          </cell>
        </row>
        <row r="2699">
          <cell r="F2699" t="str">
            <v xml:space="preserve">Sewa Genset </v>
          </cell>
          <cell r="G2699" t="str">
            <v xml:space="preserve">hari </v>
          </cell>
          <cell r="H2699">
            <v>150000</v>
          </cell>
        </row>
        <row r="2700">
          <cell r="F2700" t="str">
            <v>Logging</v>
          </cell>
          <cell r="G2700" t="str">
            <v>unit</v>
          </cell>
          <cell r="H2700">
            <v>280000</v>
          </cell>
        </row>
        <row r="2701">
          <cell r="F2701" t="str">
            <v>Mata bor auger 20 cm</v>
          </cell>
          <cell r="G2701" t="str">
            <v>hari</v>
          </cell>
          <cell r="H2701">
            <v>100000</v>
          </cell>
        </row>
        <row r="2702">
          <cell r="F2702" t="str">
            <v>Mata bor auger 30 cm</v>
          </cell>
          <cell r="G2702" t="str">
            <v>hari</v>
          </cell>
          <cell r="H2702">
            <v>170000</v>
          </cell>
        </row>
        <row r="2703">
          <cell r="F2703" t="str">
            <v>Mata bor auger 40 cm</v>
          </cell>
          <cell r="G2703" t="str">
            <v>hari</v>
          </cell>
          <cell r="H2703">
            <v>250000</v>
          </cell>
        </row>
        <row r="2704">
          <cell r="F2704" t="str">
            <v>Mata bor auger 50 cm</v>
          </cell>
          <cell r="G2704" t="str">
            <v>hari</v>
          </cell>
          <cell r="H2704">
            <v>340000</v>
          </cell>
        </row>
        <row r="2705">
          <cell r="F2705" t="str">
            <v>Mesin bor</v>
          </cell>
          <cell r="G2705" t="str">
            <v>unit</v>
          </cell>
          <cell r="H2705">
            <v>450000</v>
          </cell>
        </row>
        <row r="2706">
          <cell r="F2706" t="str">
            <v>Mesin gilas  2 roda 6 - 10 ton</v>
          </cell>
          <cell r="G2706" t="str">
            <v>jam</v>
          </cell>
          <cell r="H2706">
            <v>325000</v>
          </cell>
        </row>
        <row r="2707">
          <cell r="F2707" t="str">
            <v>Mesin gilas  3 roda 6 - 10 ton</v>
          </cell>
          <cell r="G2707" t="str">
            <v>jam</v>
          </cell>
          <cell r="H2707">
            <v>350000</v>
          </cell>
        </row>
        <row r="2708">
          <cell r="F2708" t="str">
            <v>Mesin gilas  roda karet  8 - 10 ton</v>
          </cell>
          <cell r="G2708" t="str">
            <v>jam</v>
          </cell>
          <cell r="H2708">
            <v>415000</v>
          </cell>
        </row>
        <row r="2709">
          <cell r="F2709" t="str">
            <v>Mesin kerek</v>
          </cell>
          <cell r="G2709" t="str">
            <v>unit</v>
          </cell>
          <cell r="H2709">
            <v>50000</v>
          </cell>
        </row>
        <row r="2710">
          <cell r="F2710" t="str">
            <v>Mesin poles</v>
          </cell>
          <cell r="G2710" t="str">
            <v>hari</v>
          </cell>
          <cell r="H2710">
            <v>150000</v>
          </cell>
        </row>
        <row r="2711">
          <cell r="F2711" t="str">
            <v>Mesin trowel</v>
          </cell>
          <cell r="G2711" t="str">
            <v>jam</v>
          </cell>
          <cell r="H2711">
            <v>45000</v>
          </cell>
        </row>
        <row r="2712">
          <cell r="F2712" t="str">
            <v>Mesin Gendong</v>
          </cell>
          <cell r="G2712" t="str">
            <v xml:space="preserve">Jam </v>
          </cell>
          <cell r="H2712">
            <v>150000</v>
          </cell>
        </row>
        <row r="2713">
          <cell r="F2713" t="str">
            <v>Motor grader &gt;100 HP</v>
          </cell>
          <cell r="G2713" t="str">
            <v>jam</v>
          </cell>
          <cell r="H2713">
            <v>548600</v>
          </cell>
        </row>
        <row r="2714">
          <cell r="F2714" t="str">
            <v>Pedestrian Roller</v>
          </cell>
          <cell r="G2714" t="str">
            <v>jam</v>
          </cell>
          <cell r="H2714">
            <v>99800</v>
          </cell>
        </row>
        <row r="2715">
          <cell r="F2715" t="str">
            <v>Pile driver +  hammer 2,5 ton</v>
          </cell>
          <cell r="G2715" t="str">
            <v>jam</v>
          </cell>
          <cell r="H2715">
            <v>153400</v>
          </cell>
        </row>
        <row r="2716">
          <cell r="F2716" t="str">
            <v>Pneumatic  tire roller 8-10 ton</v>
          </cell>
          <cell r="G2716" t="str">
            <v>jam</v>
          </cell>
          <cell r="H2716">
            <v>491000</v>
          </cell>
        </row>
        <row r="2717">
          <cell r="F2717" t="str">
            <v>Pompa beton ∅ 2,5", 75KW; 120 bar, T= 50 m'/H=80 m’</v>
          </cell>
          <cell r="G2717" t="str">
            <v>hari</v>
          </cell>
          <cell r="H2717">
            <v>6600000</v>
          </cell>
        </row>
        <row r="2718">
          <cell r="F2718" t="str">
            <v>Pompa beton ∅ 2,5",20 KW; 20 bar, T = 18 m'</v>
          </cell>
          <cell r="G2718" t="str">
            <v>hari</v>
          </cell>
          <cell r="H2718">
            <v>6300000</v>
          </cell>
        </row>
        <row r="2719">
          <cell r="F2719" t="str">
            <v>Pompa beton ∅ 3",140KW; 180 bar, T = 75 m' / H=150 m'</v>
          </cell>
          <cell r="G2719" t="str">
            <v>hari</v>
          </cell>
          <cell r="H2719">
            <v>8000000</v>
          </cell>
        </row>
        <row r="2720">
          <cell r="F2720" t="str">
            <v>Pompa beton φ 1,5";5 KW; 8 bar; T = 5 m'</v>
          </cell>
          <cell r="G2720" t="str">
            <v>hari</v>
          </cell>
          <cell r="H2720">
            <v>6000000</v>
          </cell>
        </row>
        <row r="2721">
          <cell r="F2721" t="str">
            <v>Pompa injeksi</v>
          </cell>
          <cell r="G2721" t="str">
            <v>unit</v>
          </cell>
          <cell r="H2721">
            <v>300000</v>
          </cell>
        </row>
        <row r="2722">
          <cell r="F2722" t="str">
            <v>Pompa tangan</v>
          </cell>
          <cell r="G2722" t="str">
            <v>unit</v>
          </cell>
          <cell r="H2722">
            <v>160000</v>
          </cell>
        </row>
        <row r="2723">
          <cell r="F2723" t="str">
            <v>Road Marking Machine</v>
          </cell>
          <cell r="G2723" t="str">
            <v>jam</v>
          </cell>
          <cell r="H2723">
            <v>491000</v>
          </cell>
        </row>
        <row r="2724">
          <cell r="F2724" t="str">
            <v>Sewa alat cutting machine</v>
          </cell>
          <cell r="G2724" t="str">
            <v>hari</v>
          </cell>
          <cell r="H2724">
            <v>25000</v>
          </cell>
        </row>
        <row r="2725">
          <cell r="F2725" t="str">
            <v>Sewa alat las</v>
          </cell>
          <cell r="G2725" t="str">
            <v>hari</v>
          </cell>
          <cell r="H2725">
            <v>25000</v>
          </cell>
        </row>
        <row r="2726">
          <cell r="F2726" t="str">
            <v xml:space="preserve">Alat las listrik </v>
          </cell>
          <cell r="G2726" t="str">
            <v xml:space="preserve">jam </v>
          </cell>
          <cell r="H2726">
            <v>3125</v>
          </cell>
        </row>
        <row r="2727">
          <cell r="F2727" t="str">
            <v>Alat las listrik 150 A</v>
          </cell>
          <cell r="G2727" t="str">
            <v xml:space="preserve">jam </v>
          </cell>
          <cell r="H2727">
            <v>3125</v>
          </cell>
        </row>
        <row r="2728">
          <cell r="F2728" t="str">
            <v>Alat las listrik 250 A</v>
          </cell>
          <cell r="G2728" t="str">
            <v xml:space="preserve">jam </v>
          </cell>
          <cell r="H2728">
            <v>3125</v>
          </cell>
        </row>
        <row r="2729">
          <cell r="F2729" t="str">
            <v>Alat las listrik 350 A</v>
          </cell>
          <cell r="G2729" t="str">
            <v xml:space="preserve">jam </v>
          </cell>
          <cell r="H2729">
            <v>3125</v>
          </cell>
        </row>
        <row r="2730">
          <cell r="F2730" t="str">
            <v>Alat las listrik 500 A</v>
          </cell>
          <cell r="G2730" t="str">
            <v xml:space="preserve">jam </v>
          </cell>
          <cell r="H2730">
            <v>3125</v>
          </cell>
        </row>
        <row r="2731">
          <cell r="F2731" t="str">
            <v>Mesin Las Gotextile</v>
          </cell>
          <cell r="G2731" t="str">
            <v xml:space="preserve">hari </v>
          </cell>
          <cell r="H2731">
            <v>25000</v>
          </cell>
        </row>
        <row r="2732">
          <cell r="F2732" t="str">
            <v xml:space="preserve">Kunci Momen </v>
          </cell>
          <cell r="G2732" t="str">
            <v>hari</v>
          </cell>
          <cell r="H2732">
            <v>20000</v>
          </cell>
        </row>
        <row r="2733">
          <cell r="F2733" t="str">
            <v>Sewa bor horisontal</v>
          </cell>
          <cell r="G2733" t="str">
            <v>hari</v>
          </cell>
          <cell r="H2733">
            <v>150000</v>
          </cell>
        </row>
        <row r="2734">
          <cell r="F2734" t="str">
            <v>Sewa Scaffolding :</v>
          </cell>
        </row>
        <row r="2735">
          <cell r="F2735" t="e">
            <v>#NAME?</v>
          </cell>
          <cell r="G2735" t="str">
            <v>bulan</v>
          </cell>
          <cell r="H2735">
            <v>8800</v>
          </cell>
        </row>
        <row r="2736">
          <cell r="F2736" t="e">
            <v>#NAME?</v>
          </cell>
          <cell r="G2736" t="str">
            <v>bulan</v>
          </cell>
          <cell r="H2736">
            <v>8300</v>
          </cell>
        </row>
        <row r="2737">
          <cell r="F2737" t="e">
            <v>#NAME?</v>
          </cell>
          <cell r="G2737" t="str">
            <v>bulan</v>
          </cell>
          <cell r="H2737">
            <v>5400</v>
          </cell>
        </row>
        <row r="2738">
          <cell r="F2738" t="e">
            <v>#NAME?</v>
          </cell>
          <cell r="G2738" t="str">
            <v>bulan</v>
          </cell>
          <cell r="H2738">
            <v>4100</v>
          </cell>
        </row>
        <row r="2739">
          <cell r="F2739" t="e">
            <v>#NAME?</v>
          </cell>
          <cell r="G2739" t="str">
            <v>bulan</v>
          </cell>
          <cell r="H2739">
            <v>3800</v>
          </cell>
        </row>
        <row r="2740">
          <cell r="F2740" t="e">
            <v>#NAME?</v>
          </cell>
          <cell r="G2740" t="str">
            <v>bulan</v>
          </cell>
          <cell r="H2740">
            <v>1500</v>
          </cell>
        </row>
        <row r="2741">
          <cell r="F2741" t="e">
            <v>#NAME?</v>
          </cell>
          <cell r="G2741" t="str">
            <v>bulan</v>
          </cell>
          <cell r="H2741">
            <v>4100</v>
          </cell>
        </row>
        <row r="2742">
          <cell r="F2742" t="e">
            <v>#NAME?</v>
          </cell>
          <cell r="G2742" t="str">
            <v>bulan</v>
          </cell>
          <cell r="H2742">
            <v>4300</v>
          </cell>
        </row>
        <row r="2743">
          <cell r="F2743" t="e">
            <v>#NAME?</v>
          </cell>
          <cell r="G2743" t="str">
            <v>bulan</v>
          </cell>
          <cell r="H2743">
            <v>4100</v>
          </cell>
        </row>
        <row r="2744">
          <cell r="F2744" t="e">
            <v>#NAME?</v>
          </cell>
          <cell r="G2744" t="str">
            <v>bulan</v>
          </cell>
          <cell r="H2744">
            <v>4300</v>
          </cell>
        </row>
        <row r="2745">
          <cell r="F2745" t="e">
            <v>#NAME?</v>
          </cell>
          <cell r="G2745" t="str">
            <v>bulan</v>
          </cell>
          <cell r="H2745">
            <v>8500</v>
          </cell>
        </row>
        <row r="2746">
          <cell r="F2746" t="e">
            <v>#NAME?</v>
          </cell>
          <cell r="G2746" t="str">
            <v>bulan</v>
          </cell>
          <cell r="H2746">
            <v>7700</v>
          </cell>
        </row>
        <row r="2747">
          <cell r="F2747" t="e">
            <v>#NAME?</v>
          </cell>
          <cell r="G2747" t="str">
            <v>bulan</v>
          </cell>
          <cell r="H2747">
            <v>26900</v>
          </cell>
        </row>
        <row r="2748">
          <cell r="F2748" t="str">
            <v>- ScaffoldingPipe brancing 3 m</v>
          </cell>
          <cell r="G2748" t="str">
            <v>bulan</v>
          </cell>
          <cell r="H2748">
            <v>8800</v>
          </cell>
        </row>
        <row r="2749">
          <cell r="F2749" t="str">
            <v>- Scaffolding Pipe brancing 6 m</v>
          </cell>
          <cell r="G2749" t="str">
            <v>bulan</v>
          </cell>
          <cell r="H2749">
            <v>17600</v>
          </cell>
        </row>
        <row r="2750">
          <cell r="F2750" t="e">
            <v>#NAME?</v>
          </cell>
          <cell r="G2750" t="str">
            <v>bulan</v>
          </cell>
          <cell r="H2750">
            <v>5100</v>
          </cell>
        </row>
        <row r="2751">
          <cell r="F2751" t="e">
            <v>#NAME?</v>
          </cell>
          <cell r="G2751" t="str">
            <v>bulan</v>
          </cell>
          <cell r="H2751">
            <v>64300</v>
          </cell>
        </row>
        <row r="2752">
          <cell r="F2752" t="str">
            <v>Sewa Scaffolding</v>
          </cell>
          <cell r="G2752" t="str">
            <v>hari</v>
          </cell>
          <cell r="H2752">
            <v>586.66666666666663</v>
          </cell>
        </row>
        <row r="2753">
          <cell r="F2753" t="str">
            <v xml:space="preserve">Sewa Gondola </v>
          </cell>
          <cell r="G2753" t="str">
            <v>hari</v>
          </cell>
          <cell r="H2753">
            <v>322000</v>
          </cell>
        </row>
        <row r="2754">
          <cell r="F2754" t="str">
            <v>Sewa Pipe Support</v>
          </cell>
          <cell r="G2754" t="str">
            <v xml:space="preserve">hari </v>
          </cell>
          <cell r="H2754">
            <v>850</v>
          </cell>
        </row>
        <row r="2755">
          <cell r="F2755" t="str">
            <v>Stamper</v>
          </cell>
          <cell r="G2755" t="str">
            <v>jam</v>
          </cell>
          <cell r="H2755">
            <v>35000</v>
          </cell>
        </row>
        <row r="2756">
          <cell r="F2756" t="str">
            <v xml:space="preserve">Sprayer Gendong </v>
          </cell>
          <cell r="G2756" t="str">
            <v xml:space="preserve">Hari </v>
          </cell>
          <cell r="H2756">
            <v>350000</v>
          </cell>
        </row>
        <row r="2757">
          <cell r="F2757" t="str">
            <v xml:space="preserve">Stamper Kodok 150 kg </v>
          </cell>
          <cell r="G2757" t="str">
            <v xml:space="preserve">Hari </v>
          </cell>
          <cell r="H2757">
            <v>350000</v>
          </cell>
        </row>
        <row r="2758">
          <cell r="F2758" t="str">
            <v xml:space="preserve">Stamper Kuda </v>
          </cell>
          <cell r="G2758" t="str">
            <v xml:space="preserve">hari </v>
          </cell>
          <cell r="H2758">
            <v>290000</v>
          </cell>
        </row>
        <row r="2759">
          <cell r="F2759" t="str">
            <v xml:space="preserve">Stamper D-Drum </v>
          </cell>
          <cell r="G2759" t="str">
            <v xml:space="preserve">hari </v>
          </cell>
          <cell r="H2759">
            <v>310000</v>
          </cell>
        </row>
        <row r="2760">
          <cell r="F2760" t="str">
            <v>Stamper Smooth_Drum</v>
          </cell>
          <cell r="G2760" t="str">
            <v xml:space="preserve">hari </v>
          </cell>
          <cell r="H2760">
            <v>350000</v>
          </cell>
        </row>
        <row r="2761">
          <cell r="F2761" t="str">
            <v>Stang bor, batang bor dia. 1-1/4"</v>
          </cell>
          <cell r="G2761" t="str">
            <v>hari</v>
          </cell>
          <cell r="H2761">
            <v>95000</v>
          </cell>
        </row>
        <row r="2762">
          <cell r="F2762" t="str">
            <v>Stone crusher</v>
          </cell>
          <cell r="G2762" t="str">
            <v>jam</v>
          </cell>
          <cell r="H2762">
            <v>799500</v>
          </cell>
        </row>
        <row r="2763">
          <cell r="F2763" t="str">
            <v>Tandem roller 6-8 ton</v>
          </cell>
          <cell r="G2763" t="str">
            <v>jam</v>
          </cell>
          <cell r="H2763">
            <v>469500</v>
          </cell>
        </row>
        <row r="2764">
          <cell r="F2764" t="str">
            <v>Theodolit</v>
          </cell>
          <cell r="G2764" t="str">
            <v>hari</v>
          </cell>
          <cell r="H2764">
            <v>150000</v>
          </cell>
        </row>
        <row r="2765">
          <cell r="F2765" t="str">
            <v>Three wheel roller</v>
          </cell>
          <cell r="G2765" t="str">
            <v>jam</v>
          </cell>
          <cell r="H2765">
            <v>262300</v>
          </cell>
        </row>
        <row r="2766">
          <cell r="F2766" t="str">
            <v xml:space="preserve">P. Tyre Roller </v>
          </cell>
          <cell r="G2766" t="str">
            <v xml:space="preserve">jam </v>
          </cell>
          <cell r="H2766">
            <v>275000</v>
          </cell>
        </row>
        <row r="2767">
          <cell r="F2767" t="str">
            <v>Tower crane arm 30 m</v>
          </cell>
          <cell r="G2767" t="str">
            <v>hari</v>
          </cell>
          <cell r="H2767">
            <v>3442900</v>
          </cell>
        </row>
        <row r="2768">
          <cell r="F2768" t="str">
            <v xml:space="preserve">Crane </v>
          </cell>
          <cell r="G2768" t="str">
            <v xml:space="preserve">hari </v>
          </cell>
          <cell r="H2768">
            <v>3442900</v>
          </cell>
        </row>
        <row r="2769">
          <cell r="F2769" t="str">
            <v xml:space="preserve">Crane </v>
          </cell>
          <cell r="G2769" t="str">
            <v xml:space="preserve">jam </v>
          </cell>
          <cell r="H2769">
            <v>430000</v>
          </cell>
        </row>
        <row r="2770">
          <cell r="F2770" t="str">
            <v xml:space="preserve">Sewa Crane kapasitas 1 ton </v>
          </cell>
          <cell r="G2770" t="str">
            <v xml:space="preserve">jam </v>
          </cell>
          <cell r="H2770">
            <v>430000</v>
          </cell>
        </row>
        <row r="2771">
          <cell r="F2771" t="str">
            <v>Transportasi peralatan drailler</v>
          </cell>
          <cell r="G2771" t="str">
            <v>unit</v>
          </cell>
          <cell r="H2771">
            <v>500000</v>
          </cell>
        </row>
        <row r="2772">
          <cell r="F2772" t="str">
            <v>Vibratory plate tamper</v>
          </cell>
          <cell r="G2772" t="str">
            <v>jam</v>
          </cell>
          <cell r="H2772">
            <v>58800</v>
          </cell>
        </row>
        <row r="2773">
          <cell r="F2773" t="str">
            <v>Vibratory roller 1 ton</v>
          </cell>
          <cell r="G2773" t="str">
            <v>jam</v>
          </cell>
          <cell r="H2773">
            <v>95000</v>
          </cell>
        </row>
        <row r="2774">
          <cell r="F2774" t="str">
            <v>Vibratory roller 5-8 ton</v>
          </cell>
          <cell r="G2774" t="str">
            <v>jam</v>
          </cell>
          <cell r="H2774">
            <v>392200</v>
          </cell>
        </row>
        <row r="2775">
          <cell r="F2775" t="str">
            <v>Water pump 70-100 mm</v>
          </cell>
          <cell r="G2775" t="str">
            <v>jam</v>
          </cell>
          <cell r="H2775">
            <v>71700</v>
          </cell>
        </row>
        <row r="2776">
          <cell r="F2776" t="str">
            <v>Water tanker truck 3000-4000 ℓ</v>
          </cell>
          <cell r="G2776" t="str">
            <v>jam</v>
          </cell>
          <cell r="H2776">
            <v>255200</v>
          </cell>
        </row>
        <row r="2777">
          <cell r="F2777" t="str">
            <v xml:space="preserve">Water Truck </v>
          </cell>
          <cell r="G2777" t="str">
            <v xml:space="preserve">hari </v>
          </cell>
          <cell r="H2777">
            <v>1550000</v>
          </cell>
        </row>
        <row r="2778">
          <cell r="F2778" t="str">
            <v>Waterpass</v>
          </cell>
          <cell r="G2778" t="str">
            <v>hari</v>
          </cell>
          <cell r="H2778">
            <v>75000</v>
          </cell>
        </row>
        <row r="2779">
          <cell r="F2779" t="str">
            <v>Wheel loader</v>
          </cell>
          <cell r="G2779" t="str">
            <v>jam</v>
          </cell>
          <cell r="H2779">
            <v>472400</v>
          </cell>
        </row>
        <row r="2780">
          <cell r="F2780" t="str">
            <v xml:space="preserve">AMP </v>
          </cell>
          <cell r="G2780" t="str">
            <v xml:space="preserve">Jam </v>
          </cell>
          <cell r="H2780">
            <v>3981125</v>
          </cell>
        </row>
        <row r="2781">
          <cell r="F2781" t="str">
            <v xml:space="preserve">Asphalt Finisher </v>
          </cell>
          <cell r="G2781" t="str">
            <v xml:space="preserve">Jam </v>
          </cell>
          <cell r="H2781">
            <v>450000</v>
          </cell>
        </row>
        <row r="2782">
          <cell r="F2782" t="str">
            <v>Wheel loader 1,0-1,6 m³</v>
          </cell>
          <cell r="G2782" t="str">
            <v>jam</v>
          </cell>
          <cell r="H2782">
            <v>472400</v>
          </cell>
        </row>
        <row r="2783">
          <cell r="F2783" t="str">
            <v>Alat  pancang Hammer 0.5 ton</v>
          </cell>
          <cell r="G2783" t="str">
            <v>hari</v>
          </cell>
          <cell r="H2783">
            <v>350000</v>
          </cell>
        </row>
        <row r="2784">
          <cell r="F2784" t="str">
            <v>Alat Pancang Mini Pile</v>
          </cell>
          <cell r="G2784" t="str">
            <v xml:space="preserve">hari </v>
          </cell>
          <cell r="H2784">
            <v>250000</v>
          </cell>
        </row>
        <row r="2785">
          <cell r="F2785" t="str">
            <v>Alat pancang Hidraulik Pile Driver</v>
          </cell>
          <cell r="G2785" t="str">
            <v xml:space="preserve">hari </v>
          </cell>
          <cell r="H2785">
            <v>487000</v>
          </cell>
        </row>
        <row r="2786">
          <cell r="F2786" t="str">
            <v>Alat  penyambung tiang pancang dolken</v>
          </cell>
          <cell r="G2786" t="str">
            <v>hari</v>
          </cell>
          <cell r="H2786">
            <v>350000</v>
          </cell>
        </row>
        <row r="2787">
          <cell r="F2787" t="str">
            <v>Alat Penyambung Balok</v>
          </cell>
          <cell r="G2787" t="str">
            <v xml:space="preserve">buah </v>
          </cell>
          <cell r="H2787">
            <v>200000</v>
          </cell>
        </row>
        <row r="2788">
          <cell r="F2788" t="str">
            <v xml:space="preserve">Alat Penyambung Beton </v>
          </cell>
          <cell r="G2788" t="str">
            <v xml:space="preserve">buah </v>
          </cell>
          <cell r="H2788">
            <v>250000</v>
          </cell>
        </row>
        <row r="2789">
          <cell r="F2789" t="str">
            <v>Alat Penyambung Beton dia. 30 cm</v>
          </cell>
          <cell r="G2789" t="str">
            <v xml:space="preserve">buah </v>
          </cell>
          <cell r="H2789">
            <v>250000</v>
          </cell>
        </row>
        <row r="2790">
          <cell r="F2790" t="str">
            <v>Alat Penyambung Beton dia. 35 cm</v>
          </cell>
          <cell r="G2790" t="str">
            <v xml:space="preserve">buah </v>
          </cell>
          <cell r="H2790">
            <v>255000</v>
          </cell>
        </row>
        <row r="2791">
          <cell r="F2791" t="str">
            <v>Alat sambung kayu terbuat dari baja</v>
          </cell>
          <cell r="G2791" t="str">
            <v xml:space="preserve">buah </v>
          </cell>
          <cell r="H2791">
            <v>250000</v>
          </cell>
        </row>
        <row r="2792">
          <cell r="F2792" t="str">
            <v>Sepatu pancang</v>
          </cell>
          <cell r="G2792" t="str">
            <v xml:space="preserve">buah </v>
          </cell>
          <cell r="H2792">
            <v>124500</v>
          </cell>
        </row>
        <row r="2793">
          <cell r="F2793" t="str">
            <v>Sepatu pancang beton</v>
          </cell>
          <cell r="G2793" t="str">
            <v xml:space="preserve">buah </v>
          </cell>
          <cell r="H2793">
            <v>124500</v>
          </cell>
        </row>
        <row r="2794">
          <cell r="F2794" t="str">
            <v>Sepatu Pancang dia. 30 cm</v>
          </cell>
          <cell r="G2794" t="str">
            <v xml:space="preserve">buah </v>
          </cell>
          <cell r="H2794">
            <v>135000</v>
          </cell>
        </row>
        <row r="2795">
          <cell r="F2795" t="str">
            <v>Sepatu Pancang dia. 35 cm</v>
          </cell>
          <cell r="G2795" t="str">
            <v xml:space="preserve">buah </v>
          </cell>
          <cell r="H2795">
            <v>140000</v>
          </cell>
        </row>
        <row r="2796">
          <cell r="F2796" t="str">
            <v>Crawler Crane 10 Ton + Ladder 14 ton</v>
          </cell>
          <cell r="G2796" t="str">
            <v xml:space="preserve">jam </v>
          </cell>
          <cell r="H2796">
            <v>500000</v>
          </cell>
        </row>
        <row r="2797">
          <cell r="F2797" t="str">
            <v>Crawler Crane 20 Ton + Ladder 14 ton</v>
          </cell>
          <cell r="G2797" t="str">
            <v xml:space="preserve">jam </v>
          </cell>
          <cell r="H2797">
            <v>550000</v>
          </cell>
        </row>
        <row r="2798">
          <cell r="F2798" t="str">
            <v>Driver Hammer</v>
          </cell>
          <cell r="G2798" t="str">
            <v xml:space="preserve">jam </v>
          </cell>
          <cell r="H2798">
            <v>50000</v>
          </cell>
        </row>
        <row r="2799">
          <cell r="F2799" t="str">
            <v>Driver Hammer 2 ton</v>
          </cell>
          <cell r="G2799" t="str">
            <v xml:space="preserve">jam </v>
          </cell>
          <cell r="H2799">
            <v>50000</v>
          </cell>
        </row>
        <row r="2800">
          <cell r="F2800" t="str">
            <v xml:space="preserve">Sewa Mesin Hydroseeding 2000L </v>
          </cell>
          <cell r="G2800" t="str">
            <v xml:space="preserve">liter </v>
          </cell>
          <cell r="H2800">
            <v>350000</v>
          </cell>
        </row>
        <row r="2801">
          <cell r="F2801" t="str">
            <v>Angkur/mur/baut</v>
          </cell>
          <cell r="G2801" t="str">
            <v>set</v>
          </cell>
          <cell r="H2801">
            <v>45000</v>
          </cell>
        </row>
        <row r="2802">
          <cell r="F2802" t="str">
            <v xml:space="preserve">Angkur M16 </v>
          </cell>
          <cell r="G2802" t="str">
            <v xml:space="preserve">buah </v>
          </cell>
          <cell r="H2802">
            <v>18500</v>
          </cell>
        </row>
        <row r="2803">
          <cell r="F2803" t="str">
            <v>Beton Neser</v>
          </cell>
          <cell r="G2803" t="str">
            <v>batang</v>
          </cell>
          <cell r="H2803">
            <v>52000</v>
          </cell>
        </row>
        <row r="2804">
          <cell r="F2804" t="str">
            <v>BP (Biaya Penyambungan)</v>
          </cell>
          <cell r="G2804" t="str">
            <v>VA</v>
          </cell>
          <cell r="H2804">
            <v>969</v>
          </cell>
        </row>
        <row r="2805">
          <cell r="F2805" t="str">
            <v>Cutting stiker +  pasang</v>
          </cell>
          <cell r="G2805" t="str">
            <v>buah</v>
          </cell>
          <cell r="H2805">
            <v>15000</v>
          </cell>
        </row>
        <row r="2806">
          <cell r="F2806" t="str">
            <v>Gergaji besi</v>
          </cell>
          <cell r="G2806" t="str">
            <v>buah</v>
          </cell>
          <cell r="H2806">
            <v>3500</v>
          </cell>
        </row>
        <row r="2807">
          <cell r="F2807" t="str">
            <v>GIL  (Gambar Instalasi Langganan), administrasi pemasangan</v>
          </cell>
          <cell r="G2807" t="str">
            <v>VA</v>
          </cell>
          <cell r="H2807">
            <v>850</v>
          </cell>
        </row>
        <row r="2808">
          <cell r="F2808" t="str">
            <v>Linggis (baja keras)</v>
          </cell>
          <cell r="G2808" t="str">
            <v>buah</v>
          </cell>
          <cell r="H2808">
            <v>30000</v>
          </cell>
        </row>
        <row r="2809">
          <cell r="F2809" t="str">
            <v>Mesin bor (jam)</v>
          </cell>
          <cell r="G2809" t="str">
            <v>jam</v>
          </cell>
          <cell r="H2809">
            <v>85000</v>
          </cell>
        </row>
        <row r="2810">
          <cell r="F2810" t="str">
            <v>Molen beton mixer 350 liter</v>
          </cell>
          <cell r="G2810" t="str">
            <v>hari</v>
          </cell>
          <cell r="H2810">
            <v>300000</v>
          </cell>
        </row>
        <row r="2811">
          <cell r="F2811" t="str">
            <v>Mesin Molen 1m3</v>
          </cell>
          <cell r="G2811" t="str">
            <v xml:space="preserve">hari </v>
          </cell>
          <cell r="H2811">
            <v>300000</v>
          </cell>
        </row>
        <row r="2812">
          <cell r="F2812" t="str">
            <v>Pahat beton (baja keras)</v>
          </cell>
          <cell r="G2812" t="str">
            <v>buah</v>
          </cell>
          <cell r="H2812">
            <v>15000</v>
          </cell>
        </row>
        <row r="2813">
          <cell r="F2813" t="str">
            <v>Palu/godam (baja keras)</v>
          </cell>
          <cell r="G2813" t="str">
            <v>buah</v>
          </cell>
          <cell r="H2813">
            <v>25000</v>
          </cell>
        </row>
        <row r="2814">
          <cell r="F2814" t="str">
            <v>Perapian lokasi kerja</v>
          </cell>
          <cell r="G2814" t="str">
            <v>ls</v>
          </cell>
          <cell r="H2814">
            <v>20000</v>
          </cell>
        </row>
        <row r="2815">
          <cell r="F2815" t="str">
            <v>Pisau Gerinda</v>
          </cell>
          <cell r="G2815" t="str">
            <v>buah</v>
          </cell>
          <cell r="H2815">
            <v>52000</v>
          </cell>
        </row>
        <row r="2816">
          <cell r="F2816" t="str">
            <v>Pompa Air,   diesel 10 KW</v>
          </cell>
          <cell r="G2816" t="str">
            <v>hari</v>
          </cell>
          <cell r="H2816">
            <v>500000</v>
          </cell>
        </row>
        <row r="2817">
          <cell r="F2817" t="str">
            <v>Pompa Air,   diesel 20 KW</v>
          </cell>
          <cell r="G2817" t="str">
            <v>hari</v>
          </cell>
          <cell r="H2817">
            <v>1000000</v>
          </cell>
        </row>
        <row r="2818">
          <cell r="F2818" t="str">
            <v>Pompa Air,   diesel 5 KW</v>
          </cell>
          <cell r="G2818" t="str">
            <v>hari</v>
          </cell>
          <cell r="H2818">
            <v>250000</v>
          </cell>
        </row>
        <row r="2819">
          <cell r="F2819" t="str">
            <v>Pompa Sedot</v>
          </cell>
          <cell r="G2819" t="str">
            <v>hari</v>
          </cell>
          <cell r="H2819">
            <v>280000</v>
          </cell>
        </row>
        <row r="2820">
          <cell r="F2820" t="str">
            <v xml:space="preserve">Pompa Sedot Pasir </v>
          </cell>
          <cell r="G2820" t="str">
            <v xml:space="preserve">hari </v>
          </cell>
          <cell r="H2820">
            <v>280000</v>
          </cell>
        </row>
        <row r="2821">
          <cell r="F2821" t="str">
            <v xml:space="preserve">Pompa Lumpur </v>
          </cell>
          <cell r="G2821" t="str">
            <v xml:space="preserve">hari </v>
          </cell>
          <cell r="H2821">
            <v>260000</v>
          </cell>
        </row>
        <row r="2822">
          <cell r="F2822" t="str">
            <v xml:space="preserve">Mobil Sedot Lumpur </v>
          </cell>
          <cell r="G2822" t="str">
            <v>Jam</v>
          </cell>
          <cell r="H2822">
            <v>67500</v>
          </cell>
        </row>
        <row r="2823">
          <cell r="F2823" t="str">
            <v xml:space="preserve">Boom Lift </v>
          </cell>
          <cell r="G2823" t="str">
            <v>hari</v>
          </cell>
          <cell r="H2823">
            <v>3300000</v>
          </cell>
        </row>
        <row r="2824">
          <cell r="F2824" t="str">
            <v>Pompa submesible</v>
          </cell>
          <cell r="G2824" t="str">
            <v>unit</v>
          </cell>
          <cell r="H2824">
            <v>1920000</v>
          </cell>
        </row>
        <row r="2825">
          <cell r="F2825" t="str">
            <v>Pressure grout machine 30 KW; 60 -75 bar (D)</v>
          </cell>
          <cell r="G2825" t="str">
            <v>jam</v>
          </cell>
          <cell r="H2825">
            <v>42000</v>
          </cell>
        </row>
        <row r="2826">
          <cell r="F2826" t="str">
            <v>Sewa alat  cutting machine</v>
          </cell>
          <cell r="G2826" t="str">
            <v>hari</v>
          </cell>
          <cell r="H2826">
            <v>44000</v>
          </cell>
        </row>
        <row r="2827">
          <cell r="F2827" t="str">
            <v>Sewa bekisting</v>
          </cell>
          <cell r="G2827" t="str">
            <v>hari</v>
          </cell>
          <cell r="H2827">
            <v>7500</v>
          </cell>
        </row>
        <row r="2828">
          <cell r="F2828" t="str">
            <v>Sewa bekisting rigid</v>
          </cell>
          <cell r="G2828" t="str">
            <v>hari</v>
          </cell>
          <cell r="H2828">
            <v>7500</v>
          </cell>
        </row>
        <row r="2829">
          <cell r="F2829" t="str">
            <v>Sewa bor horisontal</v>
          </cell>
          <cell r="G2829" t="str">
            <v>hari</v>
          </cell>
          <cell r="H2829">
            <v>150000</v>
          </cell>
        </row>
        <row r="2830">
          <cell r="F2830" t="str">
            <v>Sewa mobil crane</v>
          </cell>
          <cell r="G2830" t="str">
            <v>hari</v>
          </cell>
          <cell r="H2830">
            <v>1450000</v>
          </cell>
        </row>
        <row r="2831">
          <cell r="F2831" t="str">
            <v>Sewa mobil crane kapasitas  15 Ton</v>
          </cell>
          <cell r="G2831" t="str">
            <v>hari</v>
          </cell>
          <cell r="H2831">
            <v>3400000</v>
          </cell>
        </row>
        <row r="2832">
          <cell r="F2832" t="str">
            <v>Sewa mobil crane kapasitas  25 Ton</v>
          </cell>
          <cell r="G2832" t="str">
            <v>hari</v>
          </cell>
          <cell r="H2832">
            <v>6250000</v>
          </cell>
        </row>
        <row r="2833">
          <cell r="F2833" t="str">
            <v>Sewa mobil crane kapasitas  5 Ton</v>
          </cell>
          <cell r="G2833" t="str">
            <v>hari</v>
          </cell>
          <cell r="H2833">
            <v>1450000</v>
          </cell>
        </row>
        <row r="2834">
          <cell r="F2834" t="str">
            <v>Sewa tangga 7 meter</v>
          </cell>
          <cell r="G2834" t="str">
            <v>buah</v>
          </cell>
          <cell r="H2834">
            <v>50000</v>
          </cell>
        </row>
        <row r="2835">
          <cell r="F2835" t="str">
            <v>Sewa tangga 7 meter</v>
          </cell>
          <cell r="G2835" t="str">
            <v>hari</v>
          </cell>
          <cell r="H2835">
            <v>50000</v>
          </cell>
        </row>
        <row r="2836">
          <cell r="F2836" t="str">
            <v xml:space="preserve">Tandon Air kap. 2 m3 </v>
          </cell>
          <cell r="G2836" t="str">
            <v xml:space="preserve">hari </v>
          </cell>
          <cell r="H2836">
            <v>25000</v>
          </cell>
        </row>
        <row r="2837">
          <cell r="F2837" t="str">
            <v xml:space="preserve">Tangga Service </v>
          </cell>
          <cell r="G2837" t="str">
            <v xml:space="preserve">buah </v>
          </cell>
          <cell r="H2837">
            <v>1144000</v>
          </cell>
        </row>
        <row r="2838">
          <cell r="F2838" t="str">
            <v>SLO (Sertifikat  Laik Operasi)</v>
          </cell>
          <cell r="G2838" t="str">
            <v>VA</v>
          </cell>
          <cell r="H2838">
            <v>30</v>
          </cell>
        </row>
        <row r="2839">
          <cell r="F2839" t="str">
            <v>Tripod tinggi 5 m</v>
          </cell>
          <cell r="G2839" t="str">
            <v>hari</v>
          </cell>
          <cell r="H2839">
            <v>250000</v>
          </cell>
        </row>
        <row r="2840">
          <cell r="F2840" t="str">
            <v>Truck Crane 5 ton</v>
          </cell>
          <cell r="G2840" t="str">
            <v>jam</v>
          </cell>
          <cell r="H2840">
            <v>525000</v>
          </cell>
        </row>
        <row r="2841">
          <cell r="F2841" t="str">
            <v>UJL  (Uang Jaminan Langganan)</v>
          </cell>
          <cell r="G2841" t="str">
            <v>VA</v>
          </cell>
          <cell r="H2841">
            <v>165</v>
          </cell>
        </row>
        <row r="2842">
          <cell r="F2842" t="str">
            <v>Sewa casing PVC dia. 20 cm</v>
          </cell>
          <cell r="G2842" t="str">
            <v>m</v>
          </cell>
          <cell r="H2842">
            <v>25000</v>
          </cell>
        </row>
        <row r="2843">
          <cell r="F2843" t="str">
            <v>Sewa casing pipa baja dia. 30 cm</v>
          </cell>
          <cell r="G2843" t="str">
            <v>m</v>
          </cell>
          <cell r="H2843">
            <v>30700</v>
          </cell>
        </row>
        <row r="2844">
          <cell r="F2844" t="str">
            <v>Sewa casing pipa baja dia. 40 cm</v>
          </cell>
          <cell r="G2844" t="str">
            <v>m</v>
          </cell>
          <cell r="H2844">
            <v>43500</v>
          </cell>
        </row>
        <row r="2845">
          <cell r="F2845" t="str">
            <v>Sewa casing pipa baja dia. 50 cm</v>
          </cell>
          <cell r="G2845" t="str">
            <v>m</v>
          </cell>
          <cell r="H2845">
            <v>55800</v>
          </cell>
        </row>
        <row r="2846">
          <cell r="F2846" t="str">
            <v>Pengelasan</v>
          </cell>
          <cell r="G2846" t="str">
            <v>cm</v>
          </cell>
          <cell r="H2846">
            <v>332</v>
          </cell>
        </row>
        <row r="2847">
          <cell r="F2847" t="str">
            <v xml:space="preserve">Baja Strip </v>
          </cell>
          <cell r="G2847" t="str">
            <v xml:space="preserve">kg </v>
          </cell>
          <cell r="H2847">
            <v>28000</v>
          </cell>
        </row>
        <row r="2848">
          <cell r="F2848" t="str">
            <v>LAIN-LAIN</v>
          </cell>
        </row>
        <row r="2849">
          <cell r="F2849" t="str">
            <v>Sewa Lahan</v>
          </cell>
          <cell r="G2849" t="str">
            <v>m2</v>
          </cell>
          <cell r="H2849">
            <v>1000000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8810-C9DE-437B-BFDF-90E50B764E1A}">
  <dimension ref="C2:M9334"/>
  <sheetViews>
    <sheetView tabSelected="1" workbookViewId="0">
      <selection activeCell="G14" sqref="G14"/>
    </sheetView>
  </sheetViews>
  <sheetFormatPr defaultColWidth="8.88671875" defaultRowHeight="13.8" x14ac:dyDescent="0.3"/>
  <cols>
    <col min="1" max="2" width="4.33203125" style="5" customWidth="1"/>
    <col min="3" max="3" width="13.33203125" style="3" customWidth="1"/>
    <col min="4" max="4" width="46.5546875" style="3" customWidth="1"/>
    <col min="5" max="5" width="7.33203125" style="3" customWidth="1"/>
    <col min="6" max="6" width="10.6640625" style="3" customWidth="1"/>
    <col min="7" max="7" width="14.33203125" style="3" customWidth="1"/>
    <col min="8" max="8" width="22" style="3" customWidth="1"/>
    <col min="9" max="9" width="21.109375" style="2" customWidth="1"/>
    <col min="10" max="10" width="19.77734375" style="4" customWidth="1"/>
    <col min="11" max="11" width="14" style="4" customWidth="1"/>
    <col min="12" max="12" width="11.21875" style="5" customWidth="1"/>
    <col min="13" max="16384" width="8.88671875" style="5"/>
  </cols>
  <sheetData>
    <row r="2" spans="3:13" x14ac:dyDescent="0.3">
      <c r="C2" s="1">
        <v>5</v>
      </c>
      <c r="D2" s="2" t="s">
        <v>0</v>
      </c>
    </row>
    <row r="3" spans="3:13" x14ac:dyDescent="0.25">
      <c r="C3" s="6" t="s">
        <v>1</v>
      </c>
      <c r="D3" s="7" t="s">
        <v>2</v>
      </c>
      <c r="E3" s="7"/>
      <c r="F3" s="7"/>
      <c r="G3" s="7"/>
      <c r="H3" s="7"/>
    </row>
    <row r="4" spans="3:13" x14ac:dyDescent="0.25">
      <c r="C4" s="6" t="s">
        <v>3</v>
      </c>
      <c r="D4" s="7" t="s">
        <v>4</v>
      </c>
      <c r="E4" s="7"/>
      <c r="F4" s="7"/>
      <c r="G4" s="7"/>
      <c r="H4" s="7"/>
    </row>
    <row r="5" spans="3:13" x14ac:dyDescent="0.25">
      <c r="C5" s="6" t="s">
        <v>5</v>
      </c>
      <c r="D5" s="7" t="s">
        <v>6</v>
      </c>
      <c r="E5" s="7"/>
      <c r="F5" s="7"/>
      <c r="G5" s="7"/>
      <c r="H5" s="7"/>
    </row>
    <row r="6" spans="3:13" x14ac:dyDescent="0.3">
      <c r="C6" s="3" t="s">
        <v>7</v>
      </c>
      <c r="D6" s="8" t="s">
        <v>8</v>
      </c>
      <c r="E6" s="9"/>
      <c r="F6" s="9"/>
      <c r="G6" s="9"/>
      <c r="H6" s="9"/>
      <c r="I6" s="10">
        <f>ROUNDDOWN(H21,0)</f>
        <v>19497</v>
      </c>
    </row>
    <row r="7" spans="3:13" ht="27.6" x14ac:dyDescent="0.3"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</row>
    <row r="8" spans="3:13" x14ac:dyDescent="0.25">
      <c r="C8" s="12" t="s">
        <v>15</v>
      </c>
      <c r="D8" s="13" t="s">
        <v>16</v>
      </c>
      <c r="E8" s="14"/>
      <c r="F8" s="14"/>
      <c r="G8" s="14"/>
      <c r="H8" s="14"/>
      <c r="J8" s="15" t="s">
        <v>17</v>
      </c>
    </row>
    <row r="9" spans="3:13" x14ac:dyDescent="0.3">
      <c r="C9" s="16">
        <v>1</v>
      </c>
      <c r="D9" s="13" t="s">
        <v>18</v>
      </c>
      <c r="E9" s="17" t="s">
        <v>19</v>
      </c>
      <c r="F9" s="18">
        <v>2.4E-2</v>
      </c>
      <c r="G9" s="19">
        <f>VLOOKUP(D9,upahbahan,3,FALSE)</f>
        <v>100000</v>
      </c>
      <c r="H9" s="19">
        <f t="shared" ref="H9:H12" si="0">F9*G9</f>
        <v>2400</v>
      </c>
      <c r="J9" s="15" t="s">
        <v>20</v>
      </c>
      <c r="M9" s="20">
        <v>0.1</v>
      </c>
    </row>
    <row r="10" spans="3:13" x14ac:dyDescent="0.3">
      <c r="C10" s="16">
        <v>2</v>
      </c>
      <c r="D10" s="13" t="s">
        <v>21</v>
      </c>
      <c r="E10" s="17" t="s">
        <v>19</v>
      </c>
      <c r="F10" s="18">
        <v>0.04</v>
      </c>
      <c r="G10" s="19">
        <f>VLOOKUP(D10,upahbahan,3,FALSE)</f>
        <v>145000</v>
      </c>
      <c r="H10" s="19">
        <f t="shared" si="0"/>
        <v>5800</v>
      </c>
    </row>
    <row r="11" spans="3:13" x14ac:dyDescent="0.3">
      <c r="C11" s="16">
        <v>3</v>
      </c>
      <c r="D11" s="13" t="s">
        <v>22</v>
      </c>
      <c r="E11" s="17" t="s">
        <v>19</v>
      </c>
      <c r="F11" s="18">
        <v>4.0000000000000001E-3</v>
      </c>
      <c r="G11" s="19">
        <f>VLOOKUP(D11,upahbahan,3,FALSE)</f>
        <v>175000</v>
      </c>
      <c r="H11" s="19">
        <f t="shared" si="0"/>
        <v>700</v>
      </c>
    </row>
    <row r="12" spans="3:13" x14ac:dyDescent="0.3">
      <c r="C12" s="16">
        <v>4</v>
      </c>
      <c r="D12" s="13" t="s">
        <v>23</v>
      </c>
      <c r="E12" s="17" t="s">
        <v>19</v>
      </c>
      <c r="F12" s="18">
        <v>1E-3</v>
      </c>
      <c r="G12" s="19">
        <f>VLOOKUP(D12,upahbahan,3,FALSE)</f>
        <v>200000</v>
      </c>
      <c r="H12" s="19">
        <f t="shared" si="0"/>
        <v>200</v>
      </c>
    </row>
    <row r="13" spans="3:13" x14ac:dyDescent="0.3">
      <c r="C13" s="21" t="s">
        <v>24</v>
      </c>
      <c r="D13" s="22"/>
      <c r="E13" s="22"/>
      <c r="F13" s="23"/>
      <c r="G13" s="24"/>
      <c r="H13" s="19">
        <f>SUM(H9:H12)</f>
        <v>9100</v>
      </c>
      <c r="I13" s="25"/>
    </row>
    <row r="14" spans="3:13" x14ac:dyDescent="0.25">
      <c r="C14" s="12" t="s">
        <v>25</v>
      </c>
      <c r="D14" s="13" t="s">
        <v>26</v>
      </c>
      <c r="E14" s="14"/>
      <c r="F14" s="14"/>
      <c r="G14" s="14"/>
      <c r="H14" s="14"/>
    </row>
    <row r="15" spans="3:13" x14ac:dyDescent="0.3">
      <c r="C15" s="16">
        <v>1</v>
      </c>
      <c r="D15" s="26" t="s">
        <v>27</v>
      </c>
      <c r="E15" s="27" t="s">
        <v>28</v>
      </c>
      <c r="F15" s="18">
        <v>1.1499999999999999</v>
      </c>
      <c r="G15" s="19">
        <f>VLOOKUP(D15,upahbahan,3,FALSE)</f>
        <v>7500</v>
      </c>
      <c r="H15" s="19">
        <f t="shared" ref="H15" si="1">F15*G15</f>
        <v>8625</v>
      </c>
    </row>
    <row r="16" spans="3:13" x14ac:dyDescent="0.3">
      <c r="C16" s="21" t="s">
        <v>29</v>
      </c>
      <c r="D16" s="22"/>
      <c r="E16" s="22"/>
      <c r="F16" s="22"/>
      <c r="G16" s="28"/>
      <c r="H16" s="19">
        <f>SUM(H15:H15)</f>
        <v>8625</v>
      </c>
    </row>
    <row r="17" spans="3:11" x14ac:dyDescent="0.25">
      <c r="C17" s="12" t="s">
        <v>30</v>
      </c>
      <c r="D17" s="13" t="s">
        <v>31</v>
      </c>
      <c r="E17" s="14"/>
      <c r="F17" s="14"/>
      <c r="G17" s="14"/>
      <c r="H17" s="14"/>
    </row>
    <row r="18" spans="3:11" x14ac:dyDescent="0.3">
      <c r="C18" s="21" t="s">
        <v>32</v>
      </c>
      <c r="D18" s="22"/>
      <c r="E18" s="22"/>
      <c r="F18" s="22"/>
      <c r="G18" s="28"/>
      <c r="H18" s="29">
        <v>0</v>
      </c>
    </row>
    <row r="19" spans="3:11" x14ac:dyDescent="0.3">
      <c r="C19" s="30" t="s">
        <v>33</v>
      </c>
      <c r="D19" s="31" t="s">
        <v>34</v>
      </c>
      <c r="E19" s="32"/>
      <c r="F19" s="32"/>
      <c r="G19" s="33"/>
      <c r="H19" s="19">
        <f>H18+H16+H13</f>
        <v>17725</v>
      </c>
    </row>
    <row r="20" spans="3:11" x14ac:dyDescent="0.3">
      <c r="C20" s="30" t="s">
        <v>35</v>
      </c>
      <c r="D20" s="31" t="s">
        <v>36</v>
      </c>
      <c r="E20" s="32"/>
      <c r="F20" s="33"/>
      <c r="G20" s="34">
        <f>$M$9</f>
        <v>0.1</v>
      </c>
      <c r="H20" s="19">
        <f>H19*G20</f>
        <v>1772.5</v>
      </c>
    </row>
    <row r="21" spans="3:11" x14ac:dyDescent="0.3">
      <c r="C21" s="30" t="s">
        <v>37</v>
      </c>
      <c r="D21" s="31" t="s">
        <v>38</v>
      </c>
      <c r="E21" s="32"/>
      <c r="F21" s="32"/>
      <c r="G21" s="33"/>
      <c r="H21" s="35">
        <f>SUM(H19:H20)</f>
        <v>19497.5</v>
      </c>
    </row>
    <row r="22" spans="3:11" x14ac:dyDescent="0.3">
      <c r="C22" s="36"/>
      <c r="D22" s="37"/>
      <c r="E22" s="37"/>
      <c r="F22" s="37"/>
      <c r="G22" s="37"/>
      <c r="H22" s="38"/>
    </row>
    <row r="23" spans="3:11" x14ac:dyDescent="0.3">
      <c r="C23" s="5" t="s">
        <v>39</v>
      </c>
      <c r="D23" s="8" t="s">
        <v>40</v>
      </c>
      <c r="E23" s="9"/>
      <c r="F23" s="9"/>
      <c r="G23" s="9"/>
      <c r="H23" s="9"/>
      <c r="I23" s="10">
        <f>ROUNDDOWN(H38,0)</f>
        <v>25190</v>
      </c>
      <c r="J23" s="15"/>
      <c r="K23" s="39"/>
    </row>
    <row r="24" spans="3:11" ht="27.6" x14ac:dyDescent="0.3">
      <c r="C24" s="11" t="s">
        <v>9</v>
      </c>
      <c r="D24" s="11" t="s">
        <v>10</v>
      </c>
      <c r="E24" s="11" t="s">
        <v>11</v>
      </c>
      <c r="F24" s="11" t="s">
        <v>12</v>
      </c>
      <c r="G24" s="11" t="s">
        <v>13</v>
      </c>
      <c r="H24" s="11" t="s">
        <v>14</v>
      </c>
      <c r="J24" s="15"/>
    </row>
    <row r="25" spans="3:11" x14ac:dyDescent="0.25">
      <c r="C25" s="12" t="s">
        <v>15</v>
      </c>
      <c r="D25" s="13" t="s">
        <v>16</v>
      </c>
      <c r="E25" s="14"/>
      <c r="F25" s="14"/>
      <c r="G25" s="14"/>
      <c r="H25" s="14"/>
      <c r="J25" s="15"/>
    </row>
    <row r="26" spans="3:11" x14ac:dyDescent="0.3">
      <c r="C26" s="16">
        <v>1</v>
      </c>
      <c r="D26" s="13" t="s">
        <v>18</v>
      </c>
      <c r="E26" s="17" t="s">
        <v>19</v>
      </c>
      <c r="F26" s="18">
        <v>2.4E-2</v>
      </c>
      <c r="G26" s="19">
        <f>VLOOKUP(D26,upahbahan,3,FALSE)</f>
        <v>100000</v>
      </c>
      <c r="H26" s="19">
        <f t="shared" ref="H26:H29" si="2">F26*G26</f>
        <v>2400</v>
      </c>
      <c r="J26" s="15"/>
    </row>
    <row r="27" spans="3:11" x14ac:dyDescent="0.3">
      <c r="C27" s="16">
        <v>2</v>
      </c>
      <c r="D27" s="13" t="str">
        <f>D10</f>
        <v>Tukang listrik</v>
      </c>
      <c r="E27" s="17" t="s">
        <v>19</v>
      </c>
      <c r="F27" s="18">
        <v>0.04</v>
      </c>
      <c r="G27" s="19">
        <f>VLOOKUP(D27,upahbahan,3,FALSE)</f>
        <v>145000</v>
      </c>
      <c r="H27" s="19">
        <f t="shared" si="2"/>
        <v>5800</v>
      </c>
      <c r="J27" s="15"/>
    </row>
    <row r="28" spans="3:11" x14ac:dyDescent="0.3">
      <c r="C28" s="16">
        <v>3</v>
      </c>
      <c r="D28" s="13" t="s">
        <v>22</v>
      </c>
      <c r="E28" s="17" t="s">
        <v>19</v>
      </c>
      <c r="F28" s="18">
        <v>4.0000000000000001E-3</v>
      </c>
      <c r="G28" s="19">
        <f>VLOOKUP(D28,upahbahan,3,FALSE)</f>
        <v>175000</v>
      </c>
      <c r="H28" s="19">
        <f t="shared" si="2"/>
        <v>700</v>
      </c>
      <c r="J28" s="15"/>
    </row>
    <row r="29" spans="3:11" x14ac:dyDescent="0.3">
      <c r="C29" s="16">
        <v>4</v>
      </c>
      <c r="D29" s="13" t="s">
        <v>23</v>
      </c>
      <c r="E29" s="17" t="s">
        <v>19</v>
      </c>
      <c r="F29" s="18">
        <v>1E-3</v>
      </c>
      <c r="G29" s="19">
        <f>VLOOKUP(D29,upahbahan,3,FALSE)</f>
        <v>200000</v>
      </c>
      <c r="H29" s="19">
        <f t="shared" si="2"/>
        <v>200</v>
      </c>
      <c r="J29" s="15"/>
    </row>
    <row r="30" spans="3:11" x14ac:dyDescent="0.3">
      <c r="C30" s="21" t="s">
        <v>24</v>
      </c>
      <c r="D30" s="22"/>
      <c r="E30" s="22"/>
      <c r="F30" s="23"/>
      <c r="G30" s="24"/>
      <c r="H30" s="19">
        <f>SUM(H26:H29)</f>
        <v>9100</v>
      </c>
      <c r="I30" s="25"/>
      <c r="J30" s="15"/>
    </row>
    <row r="31" spans="3:11" x14ac:dyDescent="0.25">
      <c r="C31" s="12" t="s">
        <v>25</v>
      </c>
      <c r="D31" s="13" t="s">
        <v>26</v>
      </c>
      <c r="E31" s="14"/>
      <c r="F31" s="14"/>
      <c r="G31" s="14"/>
      <c r="H31" s="14"/>
      <c r="J31" s="15"/>
    </row>
    <row r="32" spans="3:11" x14ac:dyDescent="0.3">
      <c r="C32" s="16">
        <v>1</v>
      </c>
      <c r="D32" s="26" t="s">
        <v>41</v>
      </c>
      <c r="E32" s="27" t="s">
        <v>28</v>
      </c>
      <c r="F32" s="18">
        <v>1.1499999999999999</v>
      </c>
      <c r="G32" s="19">
        <f>VLOOKUP(D32,upahbahan,3,FALSE)</f>
        <v>12000</v>
      </c>
      <c r="H32" s="19">
        <f>F32*G32</f>
        <v>13799.999999999998</v>
      </c>
      <c r="J32" s="15"/>
    </row>
    <row r="33" spans="3:11" x14ac:dyDescent="0.3">
      <c r="C33" s="21" t="s">
        <v>29</v>
      </c>
      <c r="D33" s="22"/>
      <c r="E33" s="22"/>
      <c r="F33" s="22"/>
      <c r="G33" s="28"/>
      <c r="H33" s="19">
        <f>SUM(H32:H32)</f>
        <v>13799.999999999998</v>
      </c>
      <c r="J33" s="15"/>
    </row>
    <row r="34" spans="3:11" x14ac:dyDescent="0.25">
      <c r="C34" s="12" t="s">
        <v>30</v>
      </c>
      <c r="D34" s="13" t="s">
        <v>31</v>
      </c>
      <c r="E34" s="14"/>
      <c r="F34" s="14"/>
      <c r="G34" s="14"/>
      <c r="H34" s="14"/>
      <c r="J34" s="15"/>
    </row>
    <row r="35" spans="3:11" x14ac:dyDescent="0.3">
      <c r="C35" s="21" t="s">
        <v>32</v>
      </c>
      <c r="D35" s="22"/>
      <c r="E35" s="22"/>
      <c r="F35" s="22"/>
      <c r="G35" s="28"/>
      <c r="H35" s="29">
        <v>0</v>
      </c>
      <c r="J35" s="15"/>
    </row>
    <row r="36" spans="3:11" x14ac:dyDescent="0.3">
      <c r="C36" s="30" t="s">
        <v>33</v>
      </c>
      <c r="D36" s="31" t="s">
        <v>34</v>
      </c>
      <c r="E36" s="32"/>
      <c r="F36" s="32"/>
      <c r="G36" s="33"/>
      <c r="H36" s="19">
        <f>H35+H33+H30</f>
        <v>22900</v>
      </c>
      <c r="J36" s="15"/>
    </row>
    <row r="37" spans="3:11" x14ac:dyDescent="0.3">
      <c r="C37" s="30" t="s">
        <v>35</v>
      </c>
      <c r="D37" s="31" t="s">
        <v>36</v>
      </c>
      <c r="E37" s="32"/>
      <c r="F37" s="33"/>
      <c r="G37" s="34">
        <f>$M$9</f>
        <v>0.1</v>
      </c>
      <c r="H37" s="19">
        <f>H36*G37</f>
        <v>2290</v>
      </c>
      <c r="J37" s="15"/>
    </row>
    <row r="38" spans="3:11" x14ac:dyDescent="0.3">
      <c r="C38" s="30" t="s">
        <v>37</v>
      </c>
      <c r="D38" s="31" t="s">
        <v>38</v>
      </c>
      <c r="E38" s="32"/>
      <c r="F38" s="32"/>
      <c r="G38" s="33"/>
      <c r="H38" s="35">
        <f>SUM(H36:H37)</f>
        <v>25190</v>
      </c>
      <c r="J38" s="15"/>
    </row>
    <row r="39" spans="3:11" x14ac:dyDescent="0.3">
      <c r="C39" s="36"/>
      <c r="D39" s="37"/>
      <c r="E39" s="37"/>
      <c r="F39" s="37"/>
      <c r="G39" s="37"/>
      <c r="H39" s="38"/>
      <c r="J39" s="15"/>
    </row>
    <row r="40" spans="3:11" x14ac:dyDescent="0.3">
      <c r="C40" s="40" t="s">
        <v>42</v>
      </c>
      <c r="D40" s="8" t="s">
        <v>43</v>
      </c>
      <c r="E40" s="9"/>
      <c r="F40" s="9"/>
      <c r="G40" s="9"/>
      <c r="H40" s="9"/>
      <c r="I40" s="10">
        <f>ROUNDDOWN(H55,0)</f>
        <v>32780</v>
      </c>
      <c r="J40" s="15"/>
      <c r="K40" s="39"/>
    </row>
    <row r="41" spans="3:11" ht="27.6" x14ac:dyDescent="0.3">
      <c r="C41" s="11" t="s">
        <v>9</v>
      </c>
      <c r="D41" s="11" t="s">
        <v>10</v>
      </c>
      <c r="E41" s="11" t="s">
        <v>11</v>
      </c>
      <c r="F41" s="11" t="s">
        <v>12</v>
      </c>
      <c r="G41" s="11" t="s">
        <v>13</v>
      </c>
      <c r="H41" s="11" t="s">
        <v>14</v>
      </c>
      <c r="J41" s="15"/>
      <c r="K41" s="39"/>
    </row>
    <row r="42" spans="3:11" x14ac:dyDescent="0.25">
      <c r="C42" s="12" t="s">
        <v>15</v>
      </c>
      <c r="D42" s="13" t="s">
        <v>16</v>
      </c>
      <c r="E42" s="14"/>
      <c r="F42" s="14"/>
      <c r="G42" s="14"/>
      <c r="H42" s="14"/>
      <c r="J42" s="15"/>
      <c r="K42" s="39"/>
    </row>
    <row r="43" spans="3:11" x14ac:dyDescent="0.3">
      <c r="C43" s="16">
        <v>1</v>
      </c>
      <c r="D43" s="13" t="s">
        <v>18</v>
      </c>
      <c r="E43" s="41" t="s">
        <v>19</v>
      </c>
      <c r="F43" s="18">
        <v>2.4E-2</v>
      </c>
      <c r="G43" s="19">
        <f>VLOOKUP(D43,upahbahan,3,FALSE)</f>
        <v>100000</v>
      </c>
      <c r="H43" s="19">
        <f>F43*G43</f>
        <v>2400</v>
      </c>
      <c r="J43" s="15"/>
      <c r="K43" s="39"/>
    </row>
    <row r="44" spans="3:11" x14ac:dyDescent="0.3">
      <c r="C44" s="16">
        <v>2</v>
      </c>
      <c r="D44" s="13" t="str">
        <f>D27</f>
        <v>Tukang listrik</v>
      </c>
      <c r="E44" s="41" t="s">
        <v>19</v>
      </c>
      <c r="F44" s="18">
        <v>0.04</v>
      </c>
      <c r="G44" s="19">
        <f>VLOOKUP(D44,upahbahan,3,FALSE)</f>
        <v>145000</v>
      </c>
      <c r="H44" s="19">
        <f t="shared" ref="H44:H46" si="3">F44*G44</f>
        <v>5800</v>
      </c>
      <c r="J44" s="15"/>
      <c r="K44" s="39"/>
    </row>
    <row r="45" spans="3:11" x14ac:dyDescent="0.3">
      <c r="C45" s="16">
        <v>3</v>
      </c>
      <c r="D45" s="13" t="s">
        <v>22</v>
      </c>
      <c r="E45" s="41" t="s">
        <v>19</v>
      </c>
      <c r="F45" s="18">
        <v>4.0000000000000001E-3</v>
      </c>
      <c r="G45" s="19">
        <f>VLOOKUP(D45,upahbahan,3,FALSE)</f>
        <v>175000</v>
      </c>
      <c r="H45" s="19">
        <f t="shared" si="3"/>
        <v>700</v>
      </c>
      <c r="J45" s="15"/>
      <c r="K45" s="39"/>
    </row>
    <row r="46" spans="3:11" x14ac:dyDescent="0.3">
      <c r="C46" s="16">
        <v>4</v>
      </c>
      <c r="D46" s="13" t="s">
        <v>23</v>
      </c>
      <c r="E46" s="41" t="s">
        <v>19</v>
      </c>
      <c r="F46" s="18">
        <v>1E-3</v>
      </c>
      <c r="G46" s="19">
        <f>VLOOKUP(D46,upahbahan,3,FALSE)</f>
        <v>200000</v>
      </c>
      <c r="H46" s="19">
        <f t="shared" si="3"/>
        <v>200</v>
      </c>
      <c r="J46" s="15"/>
      <c r="K46" s="39"/>
    </row>
    <row r="47" spans="3:11" x14ac:dyDescent="0.3">
      <c r="C47" s="21" t="s">
        <v>24</v>
      </c>
      <c r="D47" s="22"/>
      <c r="E47" s="22"/>
      <c r="F47" s="23"/>
      <c r="G47" s="24"/>
      <c r="H47" s="19">
        <f>SUM(H43:H46)</f>
        <v>9100</v>
      </c>
      <c r="I47" s="25"/>
      <c r="J47" s="15"/>
      <c r="K47" s="39"/>
    </row>
    <row r="48" spans="3:11" x14ac:dyDescent="0.25">
      <c r="C48" s="12" t="s">
        <v>25</v>
      </c>
      <c r="D48" s="13" t="s">
        <v>26</v>
      </c>
      <c r="E48" s="42"/>
      <c r="F48" s="14"/>
      <c r="G48" s="14"/>
      <c r="H48" s="14"/>
      <c r="J48" s="15"/>
      <c r="K48" s="39"/>
    </row>
    <row r="49" spans="3:11" x14ac:dyDescent="0.3">
      <c r="C49" s="16">
        <v>1</v>
      </c>
      <c r="D49" s="26" t="s">
        <v>44</v>
      </c>
      <c r="E49" s="43" t="s">
        <v>28</v>
      </c>
      <c r="F49" s="18">
        <v>1.1499999999999999</v>
      </c>
      <c r="G49" s="19">
        <f>VLOOKUP(D49,upahbahan,3,FALSE)</f>
        <v>18000</v>
      </c>
      <c r="H49" s="19">
        <f>F49*G49</f>
        <v>20700</v>
      </c>
      <c r="J49" s="15"/>
      <c r="K49" s="39"/>
    </row>
    <row r="50" spans="3:11" x14ac:dyDescent="0.3">
      <c r="C50" s="21" t="s">
        <v>29</v>
      </c>
      <c r="D50" s="22"/>
      <c r="E50" s="22"/>
      <c r="F50" s="22"/>
      <c r="G50" s="28"/>
      <c r="H50" s="19">
        <f>SUM(H49:H49)</f>
        <v>20700</v>
      </c>
      <c r="J50" s="15"/>
      <c r="K50" s="39"/>
    </row>
    <row r="51" spans="3:11" x14ac:dyDescent="0.25">
      <c r="C51" s="12" t="s">
        <v>30</v>
      </c>
      <c r="D51" s="13" t="s">
        <v>31</v>
      </c>
      <c r="E51" s="14"/>
      <c r="F51" s="14"/>
      <c r="G51" s="14"/>
      <c r="H51" s="14"/>
      <c r="J51" s="15"/>
      <c r="K51" s="39"/>
    </row>
    <row r="52" spans="3:11" x14ac:dyDescent="0.3">
      <c r="C52" s="21" t="s">
        <v>32</v>
      </c>
      <c r="D52" s="22"/>
      <c r="E52" s="22"/>
      <c r="F52" s="22"/>
      <c r="G52" s="28"/>
      <c r="H52" s="29">
        <v>0</v>
      </c>
      <c r="J52" s="15"/>
      <c r="K52" s="39"/>
    </row>
    <row r="53" spans="3:11" x14ac:dyDescent="0.3">
      <c r="C53" s="30" t="s">
        <v>33</v>
      </c>
      <c r="D53" s="31" t="s">
        <v>34</v>
      </c>
      <c r="E53" s="32"/>
      <c r="F53" s="32"/>
      <c r="G53" s="33"/>
      <c r="H53" s="19">
        <f>H52+H50+H47</f>
        <v>29800</v>
      </c>
      <c r="J53" s="15"/>
      <c r="K53" s="39"/>
    </row>
    <row r="54" spans="3:11" x14ac:dyDescent="0.3">
      <c r="C54" s="30" t="s">
        <v>35</v>
      </c>
      <c r="D54" s="31" t="s">
        <v>36</v>
      </c>
      <c r="E54" s="32"/>
      <c r="F54" s="33"/>
      <c r="G54" s="34">
        <f>$M$9</f>
        <v>0.1</v>
      </c>
      <c r="H54" s="19">
        <f>H53*G54</f>
        <v>2980</v>
      </c>
      <c r="J54" s="15"/>
      <c r="K54" s="39"/>
    </row>
    <row r="55" spans="3:11" x14ac:dyDescent="0.3">
      <c r="C55" s="30" t="s">
        <v>37</v>
      </c>
      <c r="D55" s="31" t="s">
        <v>38</v>
      </c>
      <c r="E55" s="32"/>
      <c r="F55" s="32"/>
      <c r="G55" s="33"/>
      <c r="H55" s="35">
        <f>SUM(H53:H54)</f>
        <v>32780</v>
      </c>
      <c r="J55" s="15"/>
      <c r="K55" s="39"/>
    </row>
    <row r="56" spans="3:11" x14ac:dyDescent="0.3">
      <c r="J56" s="15"/>
      <c r="K56" s="39"/>
    </row>
    <row r="57" spans="3:11" x14ac:dyDescent="0.3">
      <c r="C57" s="40" t="s">
        <v>45</v>
      </c>
      <c r="D57" s="8" t="s">
        <v>46</v>
      </c>
      <c r="E57" s="44"/>
      <c r="F57" s="44"/>
      <c r="G57" s="44"/>
      <c r="H57" s="44"/>
      <c r="I57" s="10">
        <f>ROUNDDOWN(H72,0)</f>
        <v>55550</v>
      </c>
      <c r="J57" s="15"/>
      <c r="K57" s="39"/>
    </row>
    <row r="58" spans="3:11" ht="27.6" x14ac:dyDescent="0.3">
      <c r="C58" s="11" t="s">
        <v>9</v>
      </c>
      <c r="D58" s="11" t="s">
        <v>10</v>
      </c>
      <c r="E58" s="11" t="s">
        <v>11</v>
      </c>
      <c r="F58" s="11" t="s">
        <v>12</v>
      </c>
      <c r="G58" s="11" t="s">
        <v>13</v>
      </c>
      <c r="H58" s="11" t="s">
        <v>14</v>
      </c>
      <c r="J58" s="15"/>
      <c r="K58" s="39"/>
    </row>
    <row r="59" spans="3:11" x14ac:dyDescent="0.25">
      <c r="C59" s="17" t="s">
        <v>15</v>
      </c>
      <c r="D59" s="13" t="s">
        <v>16</v>
      </c>
      <c r="E59" s="14"/>
      <c r="F59" s="14"/>
      <c r="G59" s="14"/>
      <c r="H59" s="14"/>
      <c r="J59" s="15"/>
      <c r="K59" s="39"/>
    </row>
    <row r="60" spans="3:11" x14ac:dyDescent="0.3">
      <c r="C60" s="45">
        <v>1</v>
      </c>
      <c r="D60" s="13" t="s">
        <v>18</v>
      </c>
      <c r="E60" s="12" t="s">
        <v>19</v>
      </c>
      <c r="F60" s="18">
        <v>2.4E-2</v>
      </c>
      <c r="G60" s="19">
        <f>VLOOKUP(D60,upahbahan,3,FALSE)</f>
        <v>100000</v>
      </c>
      <c r="H60" s="19">
        <f t="shared" ref="H60:H63" si="4">F60*G60</f>
        <v>2400</v>
      </c>
      <c r="J60" s="15"/>
      <c r="K60" s="39"/>
    </row>
    <row r="61" spans="3:11" x14ac:dyDescent="0.3">
      <c r="C61" s="45">
        <v>2</v>
      </c>
      <c r="D61" s="13" t="str">
        <f>D44</f>
        <v>Tukang listrik</v>
      </c>
      <c r="E61" s="12" t="s">
        <v>19</v>
      </c>
      <c r="F61" s="18">
        <v>0.04</v>
      </c>
      <c r="G61" s="19">
        <f>VLOOKUP(D61,upahbahan,3,FALSE)</f>
        <v>145000</v>
      </c>
      <c r="H61" s="19">
        <f t="shared" si="4"/>
        <v>5800</v>
      </c>
      <c r="J61" s="15"/>
      <c r="K61" s="39"/>
    </row>
    <row r="62" spans="3:11" x14ac:dyDescent="0.3">
      <c r="C62" s="45">
        <v>3</v>
      </c>
      <c r="D62" s="13" t="s">
        <v>22</v>
      </c>
      <c r="E62" s="12" t="s">
        <v>19</v>
      </c>
      <c r="F62" s="18">
        <v>4.0000000000000001E-3</v>
      </c>
      <c r="G62" s="19">
        <f>VLOOKUP(D62,upahbahan,3,FALSE)</f>
        <v>175000</v>
      </c>
      <c r="H62" s="19">
        <f t="shared" si="4"/>
        <v>700</v>
      </c>
      <c r="J62" s="15"/>
      <c r="K62" s="39"/>
    </row>
    <row r="63" spans="3:11" x14ac:dyDescent="0.3">
      <c r="C63" s="45">
        <v>4</v>
      </c>
      <c r="D63" s="13" t="s">
        <v>23</v>
      </c>
      <c r="E63" s="12" t="s">
        <v>19</v>
      </c>
      <c r="F63" s="18">
        <v>1E-3</v>
      </c>
      <c r="G63" s="19">
        <f>VLOOKUP(D63,upahbahan,3,FALSE)</f>
        <v>200000</v>
      </c>
      <c r="H63" s="19">
        <f t="shared" si="4"/>
        <v>200</v>
      </c>
      <c r="J63" s="15"/>
      <c r="K63" s="39"/>
    </row>
    <row r="64" spans="3:11" x14ac:dyDescent="0.3">
      <c r="C64" s="21" t="s">
        <v>24</v>
      </c>
      <c r="D64" s="22"/>
      <c r="E64" s="22"/>
      <c r="F64" s="23"/>
      <c r="G64" s="24"/>
      <c r="H64" s="19">
        <f>SUM(H60:H63)</f>
        <v>9100</v>
      </c>
      <c r="I64" s="25"/>
      <c r="J64" s="15"/>
      <c r="K64" s="39"/>
    </row>
    <row r="65" spans="3:11" x14ac:dyDescent="0.25">
      <c r="C65" s="12" t="s">
        <v>25</v>
      </c>
      <c r="D65" s="13" t="s">
        <v>26</v>
      </c>
      <c r="E65" s="14"/>
      <c r="F65" s="14"/>
      <c r="G65" s="14"/>
      <c r="H65" s="14"/>
      <c r="J65" s="15"/>
      <c r="K65" s="39"/>
    </row>
    <row r="66" spans="3:11" x14ac:dyDescent="0.3">
      <c r="C66" s="16">
        <v>1</v>
      </c>
      <c r="D66" s="26" t="s">
        <v>47</v>
      </c>
      <c r="E66" s="12" t="s">
        <v>28</v>
      </c>
      <c r="F66" s="18">
        <v>1.1499999999999999</v>
      </c>
      <c r="G66" s="19">
        <f>VLOOKUP(D66,upahbahan,3,FALSE)</f>
        <v>36000</v>
      </c>
      <c r="H66" s="19">
        <f t="shared" ref="H66" si="5">F66*G66</f>
        <v>41400</v>
      </c>
      <c r="J66" s="15"/>
      <c r="K66" s="39"/>
    </row>
    <row r="67" spans="3:11" x14ac:dyDescent="0.3">
      <c r="C67" s="21" t="s">
        <v>29</v>
      </c>
      <c r="D67" s="22"/>
      <c r="E67" s="22"/>
      <c r="F67" s="22"/>
      <c r="G67" s="28"/>
      <c r="H67" s="19">
        <f>SUM(H66:H66)</f>
        <v>41400</v>
      </c>
      <c r="J67" s="15"/>
      <c r="K67" s="39"/>
    </row>
    <row r="68" spans="3:11" x14ac:dyDescent="0.25">
      <c r="C68" s="12" t="s">
        <v>30</v>
      </c>
      <c r="D68" s="13" t="s">
        <v>31</v>
      </c>
      <c r="E68" s="14"/>
      <c r="F68" s="14"/>
      <c r="G68" s="14"/>
      <c r="H68" s="14"/>
      <c r="J68" s="15"/>
      <c r="K68" s="39"/>
    </row>
    <row r="69" spans="3:11" x14ac:dyDescent="0.3">
      <c r="C69" s="21" t="s">
        <v>32</v>
      </c>
      <c r="D69" s="22"/>
      <c r="E69" s="22"/>
      <c r="F69" s="22"/>
      <c r="G69" s="28"/>
      <c r="H69" s="29">
        <v>0</v>
      </c>
      <c r="J69" s="15"/>
      <c r="K69" s="39"/>
    </row>
    <row r="70" spans="3:11" x14ac:dyDescent="0.3">
      <c r="C70" s="30" t="s">
        <v>33</v>
      </c>
      <c r="D70" s="31" t="s">
        <v>34</v>
      </c>
      <c r="E70" s="32"/>
      <c r="F70" s="32"/>
      <c r="G70" s="33"/>
      <c r="H70" s="46">
        <f>H69+H67+H64</f>
        <v>50500</v>
      </c>
      <c r="I70" s="47"/>
      <c r="J70" s="15"/>
      <c r="K70" s="39"/>
    </row>
    <row r="71" spans="3:11" x14ac:dyDescent="0.3">
      <c r="C71" s="30" t="s">
        <v>35</v>
      </c>
      <c r="D71" s="31" t="s">
        <v>36</v>
      </c>
      <c r="E71" s="32"/>
      <c r="F71" s="33"/>
      <c r="G71" s="34">
        <f>$M$9</f>
        <v>0.1</v>
      </c>
      <c r="H71" s="19">
        <f>H70*G71</f>
        <v>5050</v>
      </c>
      <c r="I71" s="47"/>
      <c r="J71" s="15"/>
      <c r="K71" s="39"/>
    </row>
    <row r="72" spans="3:11" x14ac:dyDescent="0.3">
      <c r="C72" s="30" t="s">
        <v>37</v>
      </c>
      <c r="D72" s="31" t="s">
        <v>38</v>
      </c>
      <c r="E72" s="32"/>
      <c r="F72" s="32"/>
      <c r="G72" s="33"/>
      <c r="H72" s="48">
        <f>SUM(H70:H71)</f>
        <v>55550</v>
      </c>
      <c r="I72" s="47"/>
      <c r="J72" s="15"/>
      <c r="K72" s="39"/>
    </row>
    <row r="73" spans="3:11" x14ac:dyDescent="0.3">
      <c r="C73" s="36"/>
      <c r="D73" s="37"/>
      <c r="E73" s="37"/>
      <c r="F73" s="37"/>
      <c r="G73" s="37"/>
      <c r="H73" s="38"/>
      <c r="J73" s="15"/>
      <c r="K73" s="39"/>
    </row>
    <row r="74" spans="3:11" x14ac:dyDescent="0.3">
      <c r="C74" s="40" t="s">
        <v>48</v>
      </c>
      <c r="D74" s="8" t="s">
        <v>49</v>
      </c>
      <c r="E74" s="44"/>
      <c r="F74" s="44"/>
      <c r="G74" s="44"/>
      <c r="H74" s="44"/>
      <c r="I74" s="10">
        <f>ROUNDDOWN(H89,0)</f>
        <v>83088</v>
      </c>
      <c r="J74" s="15"/>
      <c r="K74" s="39"/>
    </row>
    <row r="75" spans="3:11" ht="27.6" x14ac:dyDescent="0.3">
      <c r="C75" s="11" t="s">
        <v>9</v>
      </c>
      <c r="D75" s="11" t="s">
        <v>10</v>
      </c>
      <c r="E75" s="11" t="s">
        <v>11</v>
      </c>
      <c r="F75" s="11" t="s">
        <v>12</v>
      </c>
      <c r="G75" s="11" t="s">
        <v>13</v>
      </c>
      <c r="H75" s="11" t="s">
        <v>14</v>
      </c>
      <c r="J75" s="15"/>
      <c r="K75" s="39"/>
    </row>
    <row r="76" spans="3:11" x14ac:dyDescent="0.25">
      <c r="C76" s="17" t="s">
        <v>15</v>
      </c>
      <c r="D76" s="13" t="s">
        <v>16</v>
      </c>
      <c r="E76" s="14"/>
      <c r="F76" s="14"/>
      <c r="G76" s="14"/>
      <c r="H76" s="14"/>
      <c r="J76" s="15"/>
      <c r="K76" s="39"/>
    </row>
    <row r="77" spans="3:11" x14ac:dyDescent="0.3">
      <c r="C77" s="45">
        <v>1</v>
      </c>
      <c r="D77" s="13" t="s">
        <v>18</v>
      </c>
      <c r="E77" s="12" t="s">
        <v>19</v>
      </c>
      <c r="F77" s="49">
        <v>2.9000000000000001E-2</v>
      </c>
      <c r="G77" s="19">
        <f>VLOOKUP(D77,upahbahan,3,FALSE)</f>
        <v>100000</v>
      </c>
      <c r="H77" s="19">
        <f t="shared" ref="H77:H80" si="6">F77*G77</f>
        <v>2900</v>
      </c>
      <c r="J77" s="15"/>
      <c r="K77" s="39"/>
    </row>
    <row r="78" spans="3:11" x14ac:dyDescent="0.3">
      <c r="C78" s="45">
        <v>2</v>
      </c>
      <c r="D78" s="13" t="str">
        <f>D61</f>
        <v>Tukang listrik</v>
      </c>
      <c r="E78" s="12" t="s">
        <v>19</v>
      </c>
      <c r="F78" s="49">
        <v>4.8000000000000001E-2</v>
      </c>
      <c r="G78" s="19">
        <f>VLOOKUP(D78,upahbahan,3,FALSE)</f>
        <v>145000</v>
      </c>
      <c r="H78" s="19">
        <f t="shared" si="6"/>
        <v>6960</v>
      </c>
      <c r="J78" s="15"/>
      <c r="K78" s="39"/>
    </row>
    <row r="79" spans="3:11" x14ac:dyDescent="0.3">
      <c r="C79" s="45">
        <v>3</v>
      </c>
      <c r="D79" s="13" t="s">
        <v>22</v>
      </c>
      <c r="E79" s="12" t="s">
        <v>19</v>
      </c>
      <c r="F79" s="49">
        <v>5.0000000000000001E-3</v>
      </c>
      <c r="G79" s="19">
        <f>VLOOKUP(D79,upahbahan,3,FALSE)</f>
        <v>175000</v>
      </c>
      <c r="H79" s="19">
        <f t="shared" si="6"/>
        <v>875</v>
      </c>
      <c r="J79" s="15"/>
      <c r="K79" s="39"/>
    </row>
    <row r="80" spans="3:11" x14ac:dyDescent="0.3">
      <c r="C80" s="45">
        <v>4</v>
      </c>
      <c r="D80" s="13" t="s">
        <v>23</v>
      </c>
      <c r="E80" s="12" t="s">
        <v>19</v>
      </c>
      <c r="F80" s="49">
        <v>2E-3</v>
      </c>
      <c r="G80" s="19">
        <f>VLOOKUP(D80,upahbahan,3,FALSE)</f>
        <v>200000</v>
      </c>
      <c r="H80" s="19">
        <f t="shared" si="6"/>
        <v>400</v>
      </c>
      <c r="J80" s="15"/>
      <c r="K80" s="39"/>
    </row>
    <row r="81" spans="3:11" x14ac:dyDescent="0.3">
      <c r="C81" s="21" t="s">
        <v>24</v>
      </c>
      <c r="D81" s="22"/>
      <c r="E81" s="22"/>
      <c r="F81" s="23"/>
      <c r="G81" s="24"/>
      <c r="H81" s="19">
        <f>SUM(H77:H80)</f>
        <v>11135</v>
      </c>
      <c r="I81" s="25"/>
      <c r="J81" s="15"/>
      <c r="K81" s="39"/>
    </row>
    <row r="82" spans="3:11" x14ac:dyDescent="0.25">
      <c r="C82" s="12" t="s">
        <v>25</v>
      </c>
      <c r="D82" s="13" t="s">
        <v>26</v>
      </c>
      <c r="E82" s="14"/>
      <c r="F82" s="14"/>
      <c r="G82" s="14"/>
      <c r="H82" s="14"/>
      <c r="J82" s="15"/>
      <c r="K82" s="39"/>
    </row>
    <row r="83" spans="3:11" x14ac:dyDescent="0.3">
      <c r="C83" s="16">
        <v>1</v>
      </c>
      <c r="D83" s="26" t="s">
        <v>50</v>
      </c>
      <c r="E83" s="12" t="s">
        <v>28</v>
      </c>
      <c r="F83" s="18">
        <v>1.1499999999999999</v>
      </c>
      <c r="G83" s="19">
        <f>VLOOKUP(D83,upahbahan,3,FALSE)</f>
        <v>56000</v>
      </c>
      <c r="H83" s="19">
        <f t="shared" ref="H83" si="7">F83*G83</f>
        <v>64399.999999999993</v>
      </c>
      <c r="J83" s="15"/>
      <c r="K83" s="39"/>
    </row>
    <row r="84" spans="3:11" x14ac:dyDescent="0.3">
      <c r="C84" s="21" t="s">
        <v>29</v>
      </c>
      <c r="D84" s="22"/>
      <c r="E84" s="22"/>
      <c r="F84" s="22"/>
      <c r="G84" s="28"/>
      <c r="H84" s="19">
        <f>SUM(H83:H83)</f>
        <v>64399.999999999993</v>
      </c>
      <c r="J84" s="15"/>
      <c r="K84" s="39"/>
    </row>
    <row r="85" spans="3:11" x14ac:dyDescent="0.25">
      <c r="C85" s="12" t="s">
        <v>30</v>
      </c>
      <c r="D85" s="13" t="s">
        <v>31</v>
      </c>
      <c r="E85" s="14"/>
      <c r="F85" s="14"/>
      <c r="G85" s="14"/>
      <c r="H85" s="14"/>
      <c r="J85" s="15"/>
      <c r="K85" s="39"/>
    </row>
    <row r="86" spans="3:11" x14ac:dyDescent="0.3">
      <c r="C86" s="21" t="s">
        <v>32</v>
      </c>
      <c r="D86" s="22"/>
      <c r="E86" s="22"/>
      <c r="F86" s="22"/>
      <c r="G86" s="28"/>
      <c r="H86" s="29">
        <v>0</v>
      </c>
      <c r="J86" s="15"/>
      <c r="K86" s="39"/>
    </row>
    <row r="87" spans="3:11" x14ac:dyDescent="0.3">
      <c r="C87" s="30" t="s">
        <v>33</v>
      </c>
      <c r="D87" s="31" t="s">
        <v>34</v>
      </c>
      <c r="E87" s="32"/>
      <c r="F87" s="32"/>
      <c r="G87" s="33"/>
      <c r="H87" s="46">
        <f>H86+H84+H81</f>
        <v>75535</v>
      </c>
      <c r="I87" s="47"/>
      <c r="J87" s="15"/>
      <c r="K87" s="39"/>
    </row>
    <row r="88" spans="3:11" x14ac:dyDescent="0.3">
      <c r="C88" s="30" t="s">
        <v>35</v>
      </c>
      <c r="D88" s="31" t="s">
        <v>36</v>
      </c>
      <c r="E88" s="32"/>
      <c r="F88" s="33"/>
      <c r="G88" s="34">
        <f>$M$9</f>
        <v>0.1</v>
      </c>
      <c r="H88" s="19">
        <f>H87*G88</f>
        <v>7553.5</v>
      </c>
      <c r="I88" s="47"/>
      <c r="J88" s="15"/>
      <c r="K88" s="39"/>
    </row>
    <row r="89" spans="3:11" x14ac:dyDescent="0.3">
      <c r="C89" s="30" t="s">
        <v>37</v>
      </c>
      <c r="D89" s="31" t="s">
        <v>38</v>
      </c>
      <c r="E89" s="32"/>
      <c r="F89" s="32"/>
      <c r="G89" s="33"/>
      <c r="H89" s="48">
        <f>SUM(H87:H88)</f>
        <v>83088.5</v>
      </c>
      <c r="I89" s="47"/>
      <c r="J89" s="15"/>
      <c r="K89" s="39"/>
    </row>
    <row r="90" spans="3:11" x14ac:dyDescent="0.3">
      <c r="C90" s="50"/>
      <c r="D90" s="51"/>
      <c r="E90" s="51"/>
      <c r="F90" s="51"/>
      <c r="G90" s="51"/>
      <c r="H90" s="52"/>
      <c r="J90" s="15"/>
      <c r="K90" s="39"/>
    </row>
    <row r="91" spans="3:11" x14ac:dyDescent="0.3">
      <c r="C91" s="5" t="s">
        <v>51</v>
      </c>
      <c r="D91" s="8" t="s">
        <v>52</v>
      </c>
      <c r="E91" s="44"/>
      <c r="F91" s="44"/>
      <c r="G91" s="44"/>
      <c r="H91" s="44"/>
      <c r="I91" s="10">
        <f>ROUNDDOWN(H106,0)</f>
        <v>110000</v>
      </c>
      <c r="J91" s="15"/>
      <c r="K91" s="39"/>
    </row>
    <row r="92" spans="3:11" ht="27.6" x14ac:dyDescent="0.3">
      <c r="C92" s="11" t="s">
        <v>9</v>
      </c>
      <c r="D92" s="11" t="s">
        <v>10</v>
      </c>
      <c r="E92" s="11" t="s">
        <v>11</v>
      </c>
      <c r="F92" s="11" t="s">
        <v>12</v>
      </c>
      <c r="G92" s="11" t="s">
        <v>13</v>
      </c>
      <c r="H92" s="11" t="s">
        <v>14</v>
      </c>
      <c r="J92" s="15"/>
      <c r="K92" s="39"/>
    </row>
    <row r="93" spans="3:11" x14ac:dyDescent="0.25">
      <c r="C93" s="17" t="s">
        <v>15</v>
      </c>
      <c r="D93" s="13" t="s">
        <v>16</v>
      </c>
      <c r="E93" s="53"/>
      <c r="F93" s="14"/>
      <c r="G93" s="14"/>
      <c r="H93" s="14"/>
      <c r="J93" s="15"/>
      <c r="K93" s="39"/>
    </row>
    <row r="94" spans="3:11" x14ac:dyDescent="0.3">
      <c r="C94" s="45">
        <v>1</v>
      </c>
      <c r="D94" s="13" t="s">
        <v>18</v>
      </c>
      <c r="E94" s="12" t="s">
        <v>19</v>
      </c>
      <c r="F94" s="18">
        <v>3.5999999999999997E-2</v>
      </c>
      <c r="G94" s="19">
        <f>VLOOKUP(D94,upahbahan,3,FALSE)</f>
        <v>100000</v>
      </c>
      <c r="H94" s="19">
        <f t="shared" ref="H94:H97" si="8">F94*G94</f>
        <v>3599.9999999999995</v>
      </c>
      <c r="J94" s="15"/>
      <c r="K94" s="39"/>
    </row>
    <row r="95" spans="3:11" x14ac:dyDescent="0.3">
      <c r="C95" s="45">
        <v>2</v>
      </c>
      <c r="D95" s="13" t="str">
        <f>D78</f>
        <v>Tukang listrik</v>
      </c>
      <c r="E95" s="12" t="s">
        <v>19</v>
      </c>
      <c r="F95" s="18">
        <v>0.06</v>
      </c>
      <c r="G95" s="19">
        <f>VLOOKUP(D95,upahbahan,3,FALSE)</f>
        <v>145000</v>
      </c>
      <c r="H95" s="19">
        <f t="shared" si="8"/>
        <v>8700</v>
      </c>
      <c r="J95" s="15"/>
      <c r="K95" s="39"/>
    </row>
    <row r="96" spans="3:11" x14ac:dyDescent="0.3">
      <c r="C96" s="45">
        <v>3</v>
      </c>
      <c r="D96" s="13" t="s">
        <v>22</v>
      </c>
      <c r="E96" s="12" t="s">
        <v>19</v>
      </c>
      <c r="F96" s="18">
        <v>6.0000000000000001E-3</v>
      </c>
      <c r="G96" s="19">
        <f>VLOOKUP(D96,upahbahan,3,FALSE)</f>
        <v>175000</v>
      </c>
      <c r="H96" s="19">
        <f t="shared" si="8"/>
        <v>1050</v>
      </c>
      <c r="J96" s="15"/>
      <c r="K96" s="39"/>
    </row>
    <row r="97" spans="3:11" x14ac:dyDescent="0.3">
      <c r="C97" s="45">
        <v>4</v>
      </c>
      <c r="D97" s="13" t="s">
        <v>23</v>
      </c>
      <c r="E97" s="12" t="s">
        <v>19</v>
      </c>
      <c r="F97" s="18">
        <v>2E-3</v>
      </c>
      <c r="G97" s="19">
        <f>VLOOKUP(D97,upahbahan,3,FALSE)</f>
        <v>200000</v>
      </c>
      <c r="H97" s="19">
        <f t="shared" si="8"/>
        <v>400</v>
      </c>
      <c r="J97" s="15"/>
      <c r="K97" s="39"/>
    </row>
    <row r="98" spans="3:11" x14ac:dyDescent="0.3">
      <c r="C98" s="21" t="s">
        <v>24</v>
      </c>
      <c r="D98" s="22"/>
      <c r="E98" s="22"/>
      <c r="F98" s="23"/>
      <c r="G98" s="24"/>
      <c r="H98" s="19">
        <f>SUM(H94:H97)</f>
        <v>13750</v>
      </c>
      <c r="I98" s="25"/>
      <c r="J98" s="15"/>
      <c r="K98" s="39"/>
    </row>
    <row r="99" spans="3:11" x14ac:dyDescent="0.25">
      <c r="C99" s="12" t="s">
        <v>25</v>
      </c>
      <c r="D99" s="13" t="s">
        <v>26</v>
      </c>
      <c r="E99" s="14"/>
      <c r="F99" s="14"/>
      <c r="G99" s="14"/>
      <c r="H99" s="14"/>
      <c r="J99" s="15"/>
      <c r="K99" s="39"/>
    </row>
    <row r="100" spans="3:11" x14ac:dyDescent="0.3">
      <c r="C100" s="16">
        <v>1</v>
      </c>
      <c r="D100" s="26" t="s">
        <v>53</v>
      </c>
      <c r="E100" s="12" t="s">
        <v>28</v>
      </c>
      <c r="F100" s="18">
        <f>F83</f>
        <v>1.1499999999999999</v>
      </c>
      <c r="G100" s="19">
        <f>VLOOKUP(D100,upahbahan,3,FALSE)</f>
        <v>75000</v>
      </c>
      <c r="H100" s="19">
        <f t="shared" ref="H100" si="9">F100*G100</f>
        <v>86250</v>
      </c>
      <c r="J100" s="15"/>
      <c r="K100" s="39"/>
    </row>
    <row r="101" spans="3:11" x14ac:dyDescent="0.3">
      <c r="C101" s="21" t="s">
        <v>29</v>
      </c>
      <c r="D101" s="22"/>
      <c r="E101" s="22"/>
      <c r="F101" s="22"/>
      <c r="G101" s="28"/>
      <c r="H101" s="19">
        <f>SUM(H100:H100)</f>
        <v>86250</v>
      </c>
      <c r="J101" s="15"/>
      <c r="K101" s="39"/>
    </row>
    <row r="102" spans="3:11" x14ac:dyDescent="0.25">
      <c r="C102" s="12" t="s">
        <v>30</v>
      </c>
      <c r="D102" s="13" t="s">
        <v>31</v>
      </c>
      <c r="E102" s="14"/>
      <c r="F102" s="14"/>
      <c r="G102" s="14"/>
      <c r="H102" s="14"/>
      <c r="J102" s="15"/>
      <c r="K102" s="39"/>
    </row>
    <row r="103" spans="3:11" x14ac:dyDescent="0.3">
      <c r="C103" s="21" t="s">
        <v>32</v>
      </c>
      <c r="D103" s="22"/>
      <c r="E103" s="22"/>
      <c r="F103" s="22"/>
      <c r="G103" s="28"/>
      <c r="H103" s="29">
        <v>0</v>
      </c>
      <c r="J103" s="15"/>
      <c r="K103" s="39"/>
    </row>
    <row r="104" spans="3:11" x14ac:dyDescent="0.3">
      <c r="C104" s="30" t="s">
        <v>33</v>
      </c>
      <c r="D104" s="31" t="s">
        <v>34</v>
      </c>
      <c r="E104" s="32"/>
      <c r="F104" s="32"/>
      <c r="G104" s="33"/>
      <c r="H104" s="46">
        <f>H103+H101+H98</f>
        <v>100000</v>
      </c>
      <c r="I104" s="47"/>
      <c r="J104" s="15"/>
      <c r="K104" s="39"/>
    </row>
    <row r="105" spans="3:11" x14ac:dyDescent="0.3">
      <c r="C105" s="30" t="s">
        <v>35</v>
      </c>
      <c r="D105" s="31" t="s">
        <v>36</v>
      </c>
      <c r="E105" s="32"/>
      <c r="F105" s="33"/>
      <c r="G105" s="34">
        <f>$M$9</f>
        <v>0.1</v>
      </c>
      <c r="H105" s="19">
        <f>H104*G105</f>
        <v>10000</v>
      </c>
      <c r="I105" s="47"/>
      <c r="J105" s="15"/>
      <c r="K105" s="39"/>
    </row>
    <row r="106" spans="3:11" x14ac:dyDescent="0.3">
      <c r="C106" s="30" t="s">
        <v>37</v>
      </c>
      <c r="D106" s="31" t="s">
        <v>38</v>
      </c>
      <c r="E106" s="32"/>
      <c r="F106" s="32"/>
      <c r="G106" s="33"/>
      <c r="H106" s="48">
        <f>SUM(H104:H105)</f>
        <v>110000</v>
      </c>
      <c r="I106" s="47"/>
      <c r="J106" s="15"/>
      <c r="K106" s="39"/>
    </row>
    <row r="107" spans="3:11" x14ac:dyDescent="0.3">
      <c r="C107" s="50"/>
      <c r="D107" s="51"/>
      <c r="E107" s="51"/>
      <c r="F107" s="51"/>
      <c r="G107" s="51"/>
      <c r="H107" s="52"/>
      <c r="J107" s="15"/>
      <c r="K107" s="39"/>
    </row>
    <row r="108" spans="3:11" x14ac:dyDescent="0.3">
      <c r="C108" s="40" t="s">
        <v>54</v>
      </c>
      <c r="D108" s="8" t="s">
        <v>55</v>
      </c>
      <c r="E108" s="44"/>
      <c r="F108" s="44"/>
      <c r="G108" s="44"/>
      <c r="H108" s="44"/>
      <c r="I108" s="10">
        <f>ROUNDDOWN(H123,0)</f>
        <v>141119</v>
      </c>
      <c r="J108" s="15"/>
      <c r="K108" s="39"/>
    </row>
    <row r="109" spans="3:11" ht="27.6" x14ac:dyDescent="0.3">
      <c r="C109" s="11" t="s">
        <v>9</v>
      </c>
      <c r="D109" s="11" t="s">
        <v>10</v>
      </c>
      <c r="E109" s="11" t="s">
        <v>11</v>
      </c>
      <c r="F109" s="11" t="s">
        <v>12</v>
      </c>
      <c r="G109" s="11" t="s">
        <v>13</v>
      </c>
      <c r="H109" s="11" t="s">
        <v>14</v>
      </c>
      <c r="J109" s="15"/>
      <c r="K109" s="39"/>
    </row>
    <row r="110" spans="3:11" x14ac:dyDescent="0.25">
      <c r="C110" s="17" t="s">
        <v>15</v>
      </c>
      <c r="D110" s="13" t="s">
        <v>16</v>
      </c>
      <c r="E110" s="53"/>
      <c r="F110" s="14"/>
      <c r="G110" s="14"/>
      <c r="H110" s="14"/>
      <c r="J110" s="15"/>
      <c r="K110" s="39"/>
    </row>
    <row r="111" spans="3:11" x14ac:dyDescent="0.3">
      <c r="C111" s="45">
        <v>1</v>
      </c>
      <c r="D111" s="13" t="s">
        <v>18</v>
      </c>
      <c r="E111" s="12" t="s">
        <v>19</v>
      </c>
      <c r="F111" s="18">
        <v>3.5999999999999997E-2</v>
      </c>
      <c r="G111" s="19">
        <f>VLOOKUP(D111,upahbahan,3,FALSE)</f>
        <v>100000</v>
      </c>
      <c r="H111" s="19">
        <f t="shared" ref="H111:H114" si="10">F111*G111</f>
        <v>3599.9999999999995</v>
      </c>
      <c r="J111" s="15"/>
      <c r="K111" s="39"/>
    </row>
    <row r="112" spans="3:11" x14ac:dyDescent="0.3">
      <c r="C112" s="45">
        <v>2</v>
      </c>
      <c r="D112" s="13" t="str">
        <f>D95</f>
        <v>Tukang listrik</v>
      </c>
      <c r="E112" s="12" t="s">
        <v>19</v>
      </c>
      <c r="F112" s="18">
        <v>0.06</v>
      </c>
      <c r="G112" s="19">
        <f>VLOOKUP(D112,upahbahan,3,FALSE)</f>
        <v>145000</v>
      </c>
      <c r="H112" s="19">
        <f t="shared" si="10"/>
        <v>8700</v>
      </c>
      <c r="J112" s="15"/>
      <c r="K112" s="39"/>
    </row>
    <row r="113" spans="3:11" x14ac:dyDescent="0.3">
      <c r="C113" s="45">
        <v>3</v>
      </c>
      <c r="D113" s="13" t="s">
        <v>22</v>
      </c>
      <c r="E113" s="12" t="s">
        <v>19</v>
      </c>
      <c r="F113" s="18">
        <v>6.0000000000000001E-3</v>
      </c>
      <c r="G113" s="19">
        <f>VLOOKUP(D113,upahbahan,3,FALSE)</f>
        <v>175000</v>
      </c>
      <c r="H113" s="19">
        <f t="shared" si="10"/>
        <v>1050</v>
      </c>
      <c r="J113" s="15"/>
      <c r="K113" s="39"/>
    </row>
    <row r="114" spans="3:11" x14ac:dyDescent="0.3">
      <c r="C114" s="45">
        <v>4</v>
      </c>
      <c r="D114" s="13" t="s">
        <v>23</v>
      </c>
      <c r="E114" s="12" t="s">
        <v>19</v>
      </c>
      <c r="F114" s="18">
        <v>2E-3</v>
      </c>
      <c r="G114" s="19">
        <f>VLOOKUP(D114,upahbahan,3,FALSE)</f>
        <v>200000</v>
      </c>
      <c r="H114" s="19">
        <f t="shared" si="10"/>
        <v>400</v>
      </c>
      <c r="J114" s="15"/>
      <c r="K114" s="39"/>
    </row>
    <row r="115" spans="3:11" x14ac:dyDescent="0.3">
      <c r="C115" s="21" t="s">
        <v>24</v>
      </c>
      <c r="D115" s="22"/>
      <c r="E115" s="22"/>
      <c r="F115" s="23"/>
      <c r="G115" s="24"/>
      <c r="H115" s="19">
        <f>SUM(H111:H114)</f>
        <v>13750</v>
      </c>
      <c r="I115" s="25"/>
      <c r="J115" s="15"/>
      <c r="K115" s="39"/>
    </row>
    <row r="116" spans="3:11" x14ac:dyDescent="0.25">
      <c r="C116" s="12" t="s">
        <v>25</v>
      </c>
      <c r="D116" s="13" t="s">
        <v>26</v>
      </c>
      <c r="E116" s="14"/>
      <c r="F116" s="14"/>
      <c r="G116" s="14"/>
      <c r="H116" s="14"/>
      <c r="J116" s="15"/>
      <c r="K116" s="39"/>
    </row>
    <row r="117" spans="3:11" x14ac:dyDescent="0.3">
      <c r="C117" s="16">
        <v>1</v>
      </c>
      <c r="D117" s="26" t="s">
        <v>56</v>
      </c>
      <c r="E117" s="12" t="s">
        <v>28</v>
      </c>
      <c r="F117" s="18">
        <f>F100</f>
        <v>1.1499999999999999</v>
      </c>
      <c r="G117" s="19">
        <f>VLOOKUP(D117,upahbahan,3,FALSE)</f>
        <v>99600</v>
      </c>
      <c r="H117" s="19">
        <f t="shared" ref="H117" si="11">F117*G117</f>
        <v>114539.99999999999</v>
      </c>
      <c r="J117" s="15"/>
      <c r="K117" s="39"/>
    </row>
    <row r="118" spans="3:11" x14ac:dyDescent="0.3">
      <c r="C118" s="21" t="s">
        <v>29</v>
      </c>
      <c r="D118" s="22"/>
      <c r="E118" s="22"/>
      <c r="F118" s="22"/>
      <c r="G118" s="28"/>
      <c r="H118" s="19">
        <f>SUM(H117:H117)</f>
        <v>114539.99999999999</v>
      </c>
      <c r="J118" s="15"/>
      <c r="K118" s="39"/>
    </row>
    <row r="119" spans="3:11" x14ac:dyDescent="0.25">
      <c r="C119" s="12" t="s">
        <v>30</v>
      </c>
      <c r="D119" s="13" t="s">
        <v>31</v>
      </c>
      <c r="E119" s="14"/>
      <c r="F119" s="14"/>
      <c r="G119" s="14"/>
      <c r="H119" s="14"/>
      <c r="J119" s="15"/>
      <c r="K119" s="39"/>
    </row>
    <row r="120" spans="3:11" x14ac:dyDescent="0.3">
      <c r="C120" s="21" t="s">
        <v>32</v>
      </c>
      <c r="D120" s="22"/>
      <c r="E120" s="22"/>
      <c r="F120" s="22"/>
      <c r="G120" s="28"/>
      <c r="H120" s="29">
        <v>0</v>
      </c>
      <c r="J120" s="15"/>
      <c r="K120" s="39"/>
    </row>
    <row r="121" spans="3:11" x14ac:dyDescent="0.3">
      <c r="C121" s="30" t="s">
        <v>33</v>
      </c>
      <c r="D121" s="31" t="s">
        <v>34</v>
      </c>
      <c r="E121" s="32"/>
      <c r="F121" s="32"/>
      <c r="G121" s="33"/>
      <c r="H121" s="46">
        <f>H120+H118+H115</f>
        <v>128289.99999999999</v>
      </c>
      <c r="I121" s="47"/>
      <c r="J121" s="15"/>
      <c r="K121" s="39"/>
    </row>
    <row r="122" spans="3:11" x14ac:dyDescent="0.3">
      <c r="C122" s="30" t="s">
        <v>35</v>
      </c>
      <c r="D122" s="31" t="s">
        <v>36</v>
      </c>
      <c r="E122" s="32"/>
      <c r="F122" s="33"/>
      <c r="G122" s="34">
        <f>$M$9</f>
        <v>0.1</v>
      </c>
      <c r="H122" s="19">
        <f>H121*G122</f>
        <v>12829</v>
      </c>
      <c r="I122" s="47"/>
      <c r="J122" s="15"/>
      <c r="K122" s="39"/>
    </row>
    <row r="123" spans="3:11" x14ac:dyDescent="0.3">
      <c r="C123" s="30" t="s">
        <v>37</v>
      </c>
      <c r="D123" s="31" t="s">
        <v>38</v>
      </c>
      <c r="E123" s="32"/>
      <c r="F123" s="32"/>
      <c r="G123" s="33"/>
      <c r="H123" s="48">
        <f>SUM(H121:H122)</f>
        <v>141119</v>
      </c>
      <c r="I123" s="47"/>
      <c r="J123" s="15"/>
      <c r="K123" s="39"/>
    </row>
    <row r="124" spans="3:11" x14ac:dyDescent="0.3">
      <c r="C124" s="50"/>
      <c r="D124" s="51"/>
      <c r="E124" s="51"/>
      <c r="F124" s="51"/>
      <c r="G124" s="51"/>
      <c r="H124" s="52"/>
      <c r="J124" s="15"/>
      <c r="K124" s="39"/>
    </row>
    <row r="125" spans="3:11" x14ac:dyDescent="0.3">
      <c r="C125" s="40" t="s">
        <v>57</v>
      </c>
      <c r="D125" s="8" t="s">
        <v>58</v>
      </c>
      <c r="E125" s="44"/>
      <c r="F125" s="44"/>
      <c r="G125" s="44"/>
      <c r="H125" s="44"/>
      <c r="I125" s="10">
        <f>ROUNDDOWN(H140,0)</f>
        <v>204605</v>
      </c>
      <c r="J125" s="15"/>
      <c r="K125" s="39"/>
    </row>
    <row r="126" spans="3:11" ht="27.6" x14ac:dyDescent="0.3">
      <c r="C126" s="11" t="s">
        <v>9</v>
      </c>
      <c r="D126" s="11" t="s">
        <v>10</v>
      </c>
      <c r="E126" s="11" t="s">
        <v>11</v>
      </c>
      <c r="F126" s="11" t="s">
        <v>12</v>
      </c>
      <c r="G126" s="11" t="s">
        <v>13</v>
      </c>
      <c r="H126" s="11" t="s">
        <v>14</v>
      </c>
      <c r="J126" s="15"/>
      <c r="K126" s="39"/>
    </row>
    <row r="127" spans="3:11" x14ac:dyDescent="0.25">
      <c r="C127" s="17" t="s">
        <v>15</v>
      </c>
      <c r="D127" s="13" t="s">
        <v>16</v>
      </c>
      <c r="E127" s="53"/>
      <c r="F127" s="14"/>
      <c r="G127" s="14"/>
      <c r="H127" s="14"/>
      <c r="J127" s="15"/>
      <c r="K127" s="39"/>
    </row>
    <row r="128" spans="3:11" x14ac:dyDescent="0.3">
      <c r="C128" s="45">
        <v>1</v>
      </c>
      <c r="D128" s="13" t="s">
        <v>18</v>
      </c>
      <c r="E128" s="12" t="s">
        <v>19</v>
      </c>
      <c r="F128" s="18">
        <v>0.06</v>
      </c>
      <c r="G128" s="19">
        <f>VLOOKUP(D128,upahbahan,3,FALSE)</f>
        <v>100000</v>
      </c>
      <c r="H128" s="19">
        <f t="shared" ref="H128:H131" si="12">F128*G128</f>
        <v>6000</v>
      </c>
      <c r="J128" s="15"/>
      <c r="K128" s="39"/>
    </row>
    <row r="129" spans="3:11" x14ac:dyDescent="0.3">
      <c r="C129" s="45">
        <v>2</v>
      </c>
      <c r="D129" s="13" t="str">
        <f>D112</f>
        <v>Tukang listrik</v>
      </c>
      <c r="E129" s="12" t="s">
        <v>19</v>
      </c>
      <c r="F129" s="18">
        <v>9.9000000000000005E-2</v>
      </c>
      <c r="G129" s="19">
        <f>VLOOKUP(D129,upahbahan,3,FALSE)</f>
        <v>145000</v>
      </c>
      <c r="H129" s="19">
        <f t="shared" si="12"/>
        <v>14355</v>
      </c>
      <c r="J129" s="15"/>
      <c r="K129" s="39"/>
    </row>
    <row r="130" spans="3:11" x14ac:dyDescent="0.3">
      <c r="C130" s="45">
        <v>3</v>
      </c>
      <c r="D130" s="13" t="s">
        <v>22</v>
      </c>
      <c r="E130" s="12" t="s">
        <v>19</v>
      </c>
      <c r="F130" s="18">
        <v>0.01</v>
      </c>
      <c r="G130" s="19">
        <f>VLOOKUP(D130,upahbahan,3,FALSE)</f>
        <v>175000</v>
      </c>
      <c r="H130" s="19">
        <f t="shared" si="12"/>
        <v>1750</v>
      </c>
      <c r="J130" s="15"/>
      <c r="K130" s="39"/>
    </row>
    <row r="131" spans="3:11" x14ac:dyDescent="0.3">
      <c r="C131" s="45">
        <v>4</v>
      </c>
      <c r="D131" s="13" t="s">
        <v>23</v>
      </c>
      <c r="E131" s="12" t="s">
        <v>19</v>
      </c>
      <c r="F131" s="18">
        <v>3.0000000000000001E-3</v>
      </c>
      <c r="G131" s="19">
        <f>VLOOKUP(D131,upahbahan,3,FALSE)</f>
        <v>200000</v>
      </c>
      <c r="H131" s="19">
        <f t="shared" si="12"/>
        <v>600</v>
      </c>
      <c r="J131" s="15"/>
      <c r="K131" s="39"/>
    </row>
    <row r="132" spans="3:11" x14ac:dyDescent="0.3">
      <c r="C132" s="21" t="s">
        <v>24</v>
      </c>
      <c r="D132" s="22"/>
      <c r="E132" s="22"/>
      <c r="F132" s="54"/>
      <c r="G132" s="24"/>
      <c r="H132" s="19">
        <f>SUM(H128:H131)</f>
        <v>22705</v>
      </c>
      <c r="I132" s="25"/>
      <c r="J132" s="15"/>
      <c r="K132" s="39"/>
    </row>
    <row r="133" spans="3:11" x14ac:dyDescent="0.25">
      <c r="C133" s="12" t="s">
        <v>25</v>
      </c>
      <c r="D133" s="13" t="s">
        <v>26</v>
      </c>
      <c r="E133" s="14"/>
      <c r="F133" s="55"/>
      <c r="G133" s="14"/>
      <c r="H133" s="14"/>
      <c r="J133" s="15"/>
      <c r="K133" s="39"/>
    </row>
    <row r="134" spans="3:11" x14ac:dyDescent="0.3">
      <c r="C134" s="16">
        <v>1</v>
      </c>
      <c r="D134" s="26" t="s">
        <v>59</v>
      </c>
      <c r="E134" s="12" t="s">
        <v>28</v>
      </c>
      <c r="F134" s="18">
        <v>1.1499999999999999</v>
      </c>
      <c r="G134" s="19">
        <f>VLOOKUP(D134,upahbahan,3,FALSE)</f>
        <v>142000</v>
      </c>
      <c r="H134" s="19">
        <f t="shared" ref="H134" si="13">F134*G134</f>
        <v>163300</v>
      </c>
      <c r="J134" s="15"/>
      <c r="K134" s="39"/>
    </row>
    <row r="135" spans="3:11" x14ac:dyDescent="0.3">
      <c r="C135" s="21" t="s">
        <v>29</v>
      </c>
      <c r="D135" s="22"/>
      <c r="E135" s="22"/>
      <c r="F135" s="22"/>
      <c r="G135" s="28"/>
      <c r="H135" s="19">
        <f>SUM(H134:H134)</f>
        <v>163300</v>
      </c>
      <c r="J135" s="15"/>
      <c r="K135" s="39"/>
    </row>
    <row r="136" spans="3:11" x14ac:dyDescent="0.25">
      <c r="C136" s="12" t="s">
        <v>30</v>
      </c>
      <c r="D136" s="13" t="s">
        <v>31</v>
      </c>
      <c r="E136" s="14"/>
      <c r="F136" s="14"/>
      <c r="G136" s="14"/>
      <c r="H136" s="14"/>
      <c r="J136" s="15"/>
      <c r="K136" s="39"/>
    </row>
    <row r="137" spans="3:11" x14ac:dyDescent="0.3">
      <c r="C137" s="21" t="s">
        <v>32</v>
      </c>
      <c r="D137" s="22"/>
      <c r="E137" s="22"/>
      <c r="F137" s="22"/>
      <c r="G137" s="28"/>
      <c r="H137" s="29">
        <v>0</v>
      </c>
      <c r="J137" s="15"/>
      <c r="K137" s="39"/>
    </row>
    <row r="138" spans="3:11" x14ac:dyDescent="0.3">
      <c r="C138" s="30" t="s">
        <v>33</v>
      </c>
      <c r="D138" s="31" t="s">
        <v>34</v>
      </c>
      <c r="E138" s="32"/>
      <c r="F138" s="32"/>
      <c r="G138" s="33"/>
      <c r="H138" s="46">
        <f>H137+H135+H132</f>
        <v>186005</v>
      </c>
      <c r="I138" s="47"/>
      <c r="J138" s="15"/>
      <c r="K138" s="39"/>
    </row>
    <row r="139" spans="3:11" x14ac:dyDescent="0.3">
      <c r="C139" s="30" t="s">
        <v>35</v>
      </c>
      <c r="D139" s="31" t="s">
        <v>36</v>
      </c>
      <c r="E139" s="32"/>
      <c r="F139" s="33"/>
      <c r="G139" s="34">
        <f>$M$9</f>
        <v>0.1</v>
      </c>
      <c r="H139" s="19">
        <f>H138*G139</f>
        <v>18600.5</v>
      </c>
      <c r="I139" s="47"/>
      <c r="J139" s="15"/>
      <c r="K139" s="39"/>
    </row>
    <row r="140" spans="3:11" x14ac:dyDescent="0.3">
      <c r="C140" s="30" t="s">
        <v>37</v>
      </c>
      <c r="D140" s="31" t="s">
        <v>38</v>
      </c>
      <c r="E140" s="32"/>
      <c r="F140" s="32"/>
      <c r="G140" s="33"/>
      <c r="H140" s="48">
        <f>SUM(H138:H139)</f>
        <v>204605.5</v>
      </c>
      <c r="I140" s="47"/>
      <c r="J140" s="15"/>
      <c r="K140" s="39"/>
    </row>
    <row r="141" spans="3:11" x14ac:dyDescent="0.3">
      <c r="C141" s="50"/>
      <c r="D141" s="51"/>
      <c r="E141" s="51"/>
      <c r="F141" s="51"/>
      <c r="G141" s="51"/>
      <c r="H141" s="52"/>
      <c r="J141" s="15"/>
      <c r="K141" s="39"/>
    </row>
    <row r="142" spans="3:11" x14ac:dyDescent="0.3">
      <c r="C142" s="40" t="s">
        <v>60</v>
      </c>
      <c r="D142" s="8" t="s">
        <v>61</v>
      </c>
      <c r="E142" s="44"/>
      <c r="F142" s="44"/>
      <c r="G142" s="44"/>
      <c r="H142" s="44"/>
      <c r="I142" s="10">
        <f>ROUNDDOWN(H157,0)</f>
        <v>273548</v>
      </c>
      <c r="J142" s="15"/>
      <c r="K142" s="39"/>
    </row>
    <row r="143" spans="3:11" ht="27.6" x14ac:dyDescent="0.3">
      <c r="C143" s="11" t="s">
        <v>9</v>
      </c>
      <c r="D143" s="11" t="s">
        <v>10</v>
      </c>
      <c r="E143" s="11" t="s">
        <v>11</v>
      </c>
      <c r="F143" s="11" t="s">
        <v>12</v>
      </c>
      <c r="G143" s="11" t="s">
        <v>13</v>
      </c>
      <c r="H143" s="11" t="s">
        <v>14</v>
      </c>
      <c r="J143" s="15"/>
      <c r="K143" s="39"/>
    </row>
    <row r="144" spans="3:11" x14ac:dyDescent="0.25">
      <c r="C144" s="17" t="s">
        <v>15</v>
      </c>
      <c r="D144" s="13" t="s">
        <v>16</v>
      </c>
      <c r="E144" s="53"/>
      <c r="F144" s="14"/>
      <c r="G144" s="14"/>
      <c r="H144" s="14"/>
      <c r="J144" s="15"/>
      <c r="K144" s="39"/>
    </row>
    <row r="145" spans="3:11" x14ac:dyDescent="0.3">
      <c r="C145" s="45">
        <v>1</v>
      </c>
      <c r="D145" s="13" t="s">
        <v>18</v>
      </c>
      <c r="E145" s="12" t="s">
        <v>19</v>
      </c>
      <c r="F145" s="18">
        <v>0.06</v>
      </c>
      <c r="G145" s="19">
        <f>VLOOKUP(D145,upahbahan,3,FALSE)</f>
        <v>100000</v>
      </c>
      <c r="H145" s="19">
        <f t="shared" ref="H145:H148" si="14">F145*G145</f>
        <v>6000</v>
      </c>
      <c r="J145" s="15"/>
      <c r="K145" s="39"/>
    </row>
    <row r="146" spans="3:11" x14ac:dyDescent="0.3">
      <c r="C146" s="45">
        <v>2</v>
      </c>
      <c r="D146" s="13" t="str">
        <f>D129</f>
        <v>Tukang listrik</v>
      </c>
      <c r="E146" s="12" t="s">
        <v>19</v>
      </c>
      <c r="F146" s="18">
        <v>9.9000000000000005E-2</v>
      </c>
      <c r="G146" s="19">
        <f>VLOOKUP(D146,upahbahan,3,FALSE)</f>
        <v>145000</v>
      </c>
      <c r="H146" s="19">
        <f t="shared" si="14"/>
        <v>14355</v>
      </c>
      <c r="J146" s="15"/>
      <c r="K146" s="39"/>
    </row>
    <row r="147" spans="3:11" x14ac:dyDescent="0.3">
      <c r="C147" s="45">
        <v>3</v>
      </c>
      <c r="D147" s="13" t="s">
        <v>22</v>
      </c>
      <c r="E147" s="12" t="s">
        <v>19</v>
      </c>
      <c r="F147" s="18">
        <v>0.01</v>
      </c>
      <c r="G147" s="19">
        <f>VLOOKUP(D147,upahbahan,3,FALSE)</f>
        <v>175000</v>
      </c>
      <c r="H147" s="19">
        <f t="shared" si="14"/>
        <v>1750</v>
      </c>
      <c r="J147" s="15"/>
      <c r="K147" s="39"/>
    </row>
    <row r="148" spans="3:11" x14ac:dyDescent="0.3">
      <c r="C148" s="45">
        <v>4</v>
      </c>
      <c r="D148" s="13" t="s">
        <v>23</v>
      </c>
      <c r="E148" s="12" t="s">
        <v>19</v>
      </c>
      <c r="F148" s="18">
        <v>3.0000000000000001E-3</v>
      </c>
      <c r="G148" s="19">
        <f>VLOOKUP(D148,upahbahan,3,FALSE)</f>
        <v>200000</v>
      </c>
      <c r="H148" s="19">
        <f t="shared" si="14"/>
        <v>600</v>
      </c>
      <c r="J148" s="15"/>
      <c r="K148" s="39"/>
    </row>
    <row r="149" spans="3:11" x14ac:dyDescent="0.3">
      <c r="C149" s="21" t="s">
        <v>24</v>
      </c>
      <c r="D149" s="22"/>
      <c r="E149" s="22"/>
      <c r="F149" s="54"/>
      <c r="G149" s="24"/>
      <c r="H149" s="19">
        <f>SUM(H145:H148)</f>
        <v>22705</v>
      </c>
      <c r="I149" s="25"/>
      <c r="J149" s="15"/>
      <c r="K149" s="39"/>
    </row>
    <row r="150" spans="3:11" x14ac:dyDescent="0.25">
      <c r="C150" s="12" t="s">
        <v>25</v>
      </c>
      <c r="D150" s="13" t="s">
        <v>26</v>
      </c>
      <c r="E150" s="14"/>
      <c r="F150" s="55"/>
      <c r="G150" s="14"/>
      <c r="H150" s="14"/>
      <c r="J150" s="15"/>
      <c r="K150" s="39"/>
    </row>
    <row r="151" spans="3:11" x14ac:dyDescent="0.3">
      <c r="C151" s="16">
        <v>1</v>
      </c>
      <c r="D151" s="26" t="s">
        <v>62</v>
      </c>
      <c r="E151" s="12" t="s">
        <v>28</v>
      </c>
      <c r="F151" s="18">
        <v>1.1499999999999999</v>
      </c>
      <c r="G151" s="19">
        <f>VLOOKUP(D151,upahbahan,3,FALSE)</f>
        <v>196500</v>
      </c>
      <c r="H151" s="19">
        <f t="shared" ref="H151" si="15">F151*G151</f>
        <v>225974.99999999997</v>
      </c>
      <c r="J151" s="15"/>
      <c r="K151" s="39"/>
    </row>
    <row r="152" spans="3:11" x14ac:dyDescent="0.3">
      <c r="C152" s="21" t="s">
        <v>29</v>
      </c>
      <c r="D152" s="22"/>
      <c r="E152" s="22"/>
      <c r="F152" s="22"/>
      <c r="G152" s="28"/>
      <c r="H152" s="19">
        <f>SUM(H151:H151)</f>
        <v>225974.99999999997</v>
      </c>
      <c r="J152" s="15"/>
      <c r="K152" s="39"/>
    </row>
    <row r="153" spans="3:11" x14ac:dyDescent="0.25">
      <c r="C153" s="12" t="s">
        <v>30</v>
      </c>
      <c r="D153" s="13" t="s">
        <v>31</v>
      </c>
      <c r="E153" s="14"/>
      <c r="F153" s="14"/>
      <c r="G153" s="14"/>
      <c r="H153" s="14"/>
      <c r="J153" s="15"/>
      <c r="K153" s="39"/>
    </row>
    <row r="154" spans="3:11" x14ac:dyDescent="0.3">
      <c r="C154" s="21" t="s">
        <v>32</v>
      </c>
      <c r="D154" s="22"/>
      <c r="E154" s="22"/>
      <c r="F154" s="22"/>
      <c r="G154" s="28"/>
      <c r="H154" s="29">
        <v>0</v>
      </c>
      <c r="J154" s="15"/>
      <c r="K154" s="39"/>
    </row>
    <row r="155" spans="3:11" x14ac:dyDescent="0.3">
      <c r="C155" s="30" t="s">
        <v>33</v>
      </c>
      <c r="D155" s="31" t="s">
        <v>34</v>
      </c>
      <c r="E155" s="32"/>
      <c r="F155" s="32"/>
      <c r="G155" s="33"/>
      <c r="H155" s="46">
        <f>H154+H152+H149</f>
        <v>248679.99999999997</v>
      </c>
      <c r="I155" s="47"/>
      <c r="J155" s="15"/>
      <c r="K155" s="39"/>
    </row>
    <row r="156" spans="3:11" x14ac:dyDescent="0.3">
      <c r="C156" s="30" t="s">
        <v>35</v>
      </c>
      <c r="D156" s="31" t="s">
        <v>36</v>
      </c>
      <c r="E156" s="32"/>
      <c r="F156" s="33"/>
      <c r="G156" s="34">
        <f>$M$9</f>
        <v>0.1</v>
      </c>
      <c r="H156" s="19">
        <f>H155*G156</f>
        <v>24868</v>
      </c>
      <c r="I156" s="47"/>
      <c r="J156" s="15"/>
      <c r="K156" s="39"/>
    </row>
    <row r="157" spans="3:11" x14ac:dyDescent="0.3">
      <c r="C157" s="30" t="s">
        <v>37</v>
      </c>
      <c r="D157" s="31" t="s">
        <v>38</v>
      </c>
      <c r="E157" s="32"/>
      <c r="F157" s="32"/>
      <c r="G157" s="33"/>
      <c r="H157" s="48">
        <f>SUM(H155:H156)</f>
        <v>273548</v>
      </c>
      <c r="I157" s="47"/>
      <c r="J157" s="15"/>
      <c r="K157" s="39"/>
    </row>
    <row r="158" spans="3:11" x14ac:dyDescent="0.3">
      <c r="C158" s="50"/>
      <c r="D158" s="51"/>
      <c r="E158" s="51"/>
      <c r="F158" s="51"/>
      <c r="G158" s="51"/>
      <c r="H158" s="52"/>
      <c r="J158" s="15"/>
      <c r="K158" s="39"/>
    </row>
    <row r="159" spans="3:11" x14ac:dyDescent="0.3">
      <c r="C159" s="40" t="s">
        <v>63</v>
      </c>
      <c r="D159" s="8" t="s">
        <v>64</v>
      </c>
      <c r="E159" s="44"/>
      <c r="F159" s="44"/>
      <c r="G159" s="44"/>
      <c r="H159" s="44"/>
      <c r="I159" s="10">
        <f>ROUNDDOWN(H174,0)</f>
        <v>336798</v>
      </c>
      <c r="J159" s="15"/>
      <c r="K159" s="39"/>
    </row>
    <row r="160" spans="3:11" ht="27.6" x14ac:dyDescent="0.3">
      <c r="C160" s="11" t="s">
        <v>9</v>
      </c>
      <c r="D160" s="11" t="s">
        <v>10</v>
      </c>
      <c r="E160" s="11" t="s">
        <v>11</v>
      </c>
      <c r="F160" s="11" t="s">
        <v>12</v>
      </c>
      <c r="G160" s="11" t="s">
        <v>13</v>
      </c>
      <c r="H160" s="11" t="s">
        <v>14</v>
      </c>
      <c r="J160" s="15"/>
      <c r="K160" s="39"/>
    </row>
    <row r="161" spans="3:11" x14ac:dyDescent="0.25">
      <c r="C161" s="17" t="s">
        <v>15</v>
      </c>
      <c r="D161" s="13" t="s">
        <v>16</v>
      </c>
      <c r="E161" s="53"/>
      <c r="F161" s="14"/>
      <c r="G161" s="14"/>
      <c r="H161" s="14"/>
      <c r="J161" s="15"/>
      <c r="K161" s="39"/>
    </row>
    <row r="162" spans="3:11" x14ac:dyDescent="0.3">
      <c r="C162" s="45">
        <v>1</v>
      </c>
      <c r="D162" s="13" t="s">
        <v>18</v>
      </c>
      <c r="E162" s="12" t="s">
        <v>19</v>
      </c>
      <c r="F162" s="18">
        <v>0.06</v>
      </c>
      <c r="G162" s="19">
        <f>VLOOKUP(D162,upahbahan,3,FALSE)</f>
        <v>100000</v>
      </c>
      <c r="H162" s="19">
        <f t="shared" ref="H162:H165" si="16">F162*G162</f>
        <v>6000</v>
      </c>
      <c r="J162" s="15"/>
      <c r="K162" s="39"/>
    </row>
    <row r="163" spans="3:11" x14ac:dyDescent="0.3">
      <c r="C163" s="45">
        <v>2</v>
      </c>
      <c r="D163" s="13" t="str">
        <f>D146</f>
        <v>Tukang listrik</v>
      </c>
      <c r="E163" s="12" t="s">
        <v>19</v>
      </c>
      <c r="F163" s="18">
        <v>9.9000000000000005E-2</v>
      </c>
      <c r="G163" s="19">
        <f>VLOOKUP(D163,upahbahan,3,FALSE)</f>
        <v>145000</v>
      </c>
      <c r="H163" s="19">
        <f t="shared" si="16"/>
        <v>14355</v>
      </c>
      <c r="J163" s="15"/>
      <c r="K163" s="39"/>
    </row>
    <row r="164" spans="3:11" x14ac:dyDescent="0.3">
      <c r="C164" s="45">
        <v>3</v>
      </c>
      <c r="D164" s="13" t="s">
        <v>22</v>
      </c>
      <c r="E164" s="12" t="s">
        <v>19</v>
      </c>
      <c r="F164" s="18">
        <v>0.01</v>
      </c>
      <c r="G164" s="19">
        <f>VLOOKUP(D164,upahbahan,3,FALSE)</f>
        <v>175000</v>
      </c>
      <c r="H164" s="19">
        <f t="shared" si="16"/>
        <v>1750</v>
      </c>
      <c r="J164" s="15"/>
      <c r="K164" s="39"/>
    </row>
    <row r="165" spans="3:11" x14ac:dyDescent="0.3">
      <c r="C165" s="45">
        <v>4</v>
      </c>
      <c r="D165" s="13" t="s">
        <v>23</v>
      </c>
      <c r="E165" s="12" t="s">
        <v>19</v>
      </c>
      <c r="F165" s="18">
        <v>3.0000000000000001E-3</v>
      </c>
      <c r="G165" s="19">
        <f>VLOOKUP(D165,upahbahan,3,FALSE)</f>
        <v>200000</v>
      </c>
      <c r="H165" s="19">
        <f t="shared" si="16"/>
        <v>600</v>
      </c>
      <c r="J165" s="15"/>
      <c r="K165" s="39"/>
    </row>
    <row r="166" spans="3:11" x14ac:dyDescent="0.3">
      <c r="C166" s="21" t="s">
        <v>24</v>
      </c>
      <c r="D166" s="22"/>
      <c r="E166" s="22"/>
      <c r="F166" s="54"/>
      <c r="G166" s="24"/>
      <c r="H166" s="19">
        <f>SUM(H162:H165)</f>
        <v>22705</v>
      </c>
      <c r="I166" s="25"/>
      <c r="J166" s="15"/>
      <c r="K166" s="39"/>
    </row>
    <row r="167" spans="3:11" x14ac:dyDescent="0.25">
      <c r="C167" s="12" t="s">
        <v>25</v>
      </c>
      <c r="D167" s="13" t="s">
        <v>26</v>
      </c>
      <c r="E167" s="14"/>
      <c r="F167" s="55"/>
      <c r="G167" s="14"/>
      <c r="H167" s="14"/>
      <c r="J167" s="15"/>
      <c r="K167" s="39"/>
    </row>
    <row r="168" spans="3:11" x14ac:dyDescent="0.3">
      <c r="C168" s="16">
        <v>1</v>
      </c>
      <c r="D168" s="26" t="s">
        <v>65</v>
      </c>
      <c r="E168" s="12" t="s">
        <v>28</v>
      </c>
      <c r="F168" s="18">
        <v>1.1499999999999999</v>
      </c>
      <c r="G168" s="19">
        <f>VLOOKUP(D168,upahbahan,3,FALSE)</f>
        <v>246500</v>
      </c>
      <c r="H168" s="19">
        <f t="shared" ref="H168" si="17">F168*G168</f>
        <v>283475</v>
      </c>
      <c r="J168" s="15"/>
      <c r="K168" s="39"/>
    </row>
    <row r="169" spans="3:11" x14ac:dyDescent="0.3">
      <c r="C169" s="21" t="s">
        <v>29</v>
      </c>
      <c r="D169" s="22"/>
      <c r="E169" s="22"/>
      <c r="F169" s="22"/>
      <c r="G169" s="28"/>
      <c r="H169" s="19">
        <f>SUM(H168:H168)</f>
        <v>283475</v>
      </c>
      <c r="J169" s="15"/>
      <c r="K169" s="39"/>
    </row>
    <row r="170" spans="3:11" x14ac:dyDescent="0.25">
      <c r="C170" s="12" t="s">
        <v>30</v>
      </c>
      <c r="D170" s="13" t="s">
        <v>31</v>
      </c>
      <c r="E170" s="14"/>
      <c r="F170" s="14"/>
      <c r="G170" s="14"/>
      <c r="H170" s="14"/>
      <c r="J170" s="15"/>
      <c r="K170" s="39"/>
    </row>
    <row r="171" spans="3:11" x14ac:dyDescent="0.3">
      <c r="C171" s="21" t="s">
        <v>32</v>
      </c>
      <c r="D171" s="22"/>
      <c r="E171" s="22"/>
      <c r="F171" s="22"/>
      <c r="G171" s="28"/>
      <c r="H171" s="29">
        <v>0</v>
      </c>
      <c r="J171" s="15"/>
      <c r="K171" s="39"/>
    </row>
    <row r="172" spans="3:11" x14ac:dyDescent="0.3">
      <c r="C172" s="30" t="s">
        <v>33</v>
      </c>
      <c r="D172" s="31" t="s">
        <v>34</v>
      </c>
      <c r="E172" s="32"/>
      <c r="F172" s="32"/>
      <c r="G172" s="33"/>
      <c r="H172" s="46">
        <f>H171+H169+H166</f>
        <v>306180</v>
      </c>
      <c r="I172" s="47"/>
      <c r="J172" s="15"/>
      <c r="K172" s="39"/>
    </row>
    <row r="173" spans="3:11" x14ac:dyDescent="0.3">
      <c r="C173" s="30" t="s">
        <v>35</v>
      </c>
      <c r="D173" s="31" t="s">
        <v>36</v>
      </c>
      <c r="E173" s="32"/>
      <c r="F173" s="33"/>
      <c r="G173" s="34">
        <f>$M$9</f>
        <v>0.1</v>
      </c>
      <c r="H173" s="19">
        <f>H172*G173</f>
        <v>30618</v>
      </c>
      <c r="I173" s="47"/>
      <c r="J173" s="15"/>
      <c r="K173" s="39"/>
    </row>
    <row r="174" spans="3:11" x14ac:dyDescent="0.3">
      <c r="C174" s="30" t="s">
        <v>37</v>
      </c>
      <c r="D174" s="31" t="s">
        <v>38</v>
      </c>
      <c r="E174" s="32"/>
      <c r="F174" s="32"/>
      <c r="G174" s="33"/>
      <c r="H174" s="48">
        <f>SUM(H172:H173)</f>
        <v>336798</v>
      </c>
      <c r="I174" s="47"/>
      <c r="J174" s="15"/>
      <c r="K174" s="39"/>
    </row>
    <row r="175" spans="3:11" x14ac:dyDescent="0.3">
      <c r="C175" s="50"/>
      <c r="D175" s="51"/>
      <c r="E175" s="51"/>
      <c r="F175" s="51"/>
      <c r="G175" s="51"/>
      <c r="H175" s="52"/>
      <c r="J175" s="15"/>
      <c r="K175" s="39"/>
    </row>
    <row r="176" spans="3:11" x14ac:dyDescent="0.3">
      <c r="C176" s="40" t="s">
        <v>66</v>
      </c>
      <c r="D176" s="8" t="s">
        <v>67</v>
      </c>
      <c r="E176" s="44"/>
      <c r="F176" s="44"/>
      <c r="G176" s="44"/>
      <c r="H176" s="44"/>
      <c r="I176" s="10">
        <f>ROUNDDOWN(H191,0)</f>
        <v>408270</v>
      </c>
      <c r="J176" s="15"/>
      <c r="K176" s="39"/>
    </row>
    <row r="177" spans="3:11" ht="27.6" x14ac:dyDescent="0.3">
      <c r="C177" s="11" t="s">
        <v>9</v>
      </c>
      <c r="D177" s="11" t="s">
        <v>10</v>
      </c>
      <c r="E177" s="11" t="s">
        <v>11</v>
      </c>
      <c r="F177" s="11" t="s">
        <v>12</v>
      </c>
      <c r="G177" s="11" t="s">
        <v>13</v>
      </c>
      <c r="H177" s="11" t="s">
        <v>14</v>
      </c>
      <c r="J177" s="15"/>
      <c r="K177" s="39"/>
    </row>
    <row r="178" spans="3:11" x14ac:dyDescent="0.25">
      <c r="C178" s="17" t="s">
        <v>15</v>
      </c>
      <c r="D178" s="13" t="s">
        <v>16</v>
      </c>
      <c r="E178" s="53"/>
      <c r="F178" s="14"/>
      <c r="G178" s="14"/>
      <c r="H178" s="14"/>
      <c r="J178" s="15"/>
      <c r="K178" s="39"/>
    </row>
    <row r="179" spans="3:11" x14ac:dyDescent="0.3">
      <c r="C179" s="45">
        <v>1</v>
      </c>
      <c r="D179" s="13" t="s">
        <v>18</v>
      </c>
      <c r="E179" s="12" t="s">
        <v>19</v>
      </c>
      <c r="F179" s="18">
        <v>0.06</v>
      </c>
      <c r="G179" s="19">
        <f>VLOOKUP(D179,upahbahan,3,FALSE)</f>
        <v>100000</v>
      </c>
      <c r="H179" s="19">
        <f t="shared" ref="H179:H182" si="18">F179*G179</f>
        <v>6000</v>
      </c>
      <c r="J179" s="15"/>
      <c r="K179" s="39"/>
    </row>
    <row r="180" spans="3:11" x14ac:dyDescent="0.3">
      <c r="C180" s="45">
        <v>2</v>
      </c>
      <c r="D180" s="13" t="str">
        <f>D163</f>
        <v>Tukang listrik</v>
      </c>
      <c r="E180" s="12" t="s">
        <v>19</v>
      </c>
      <c r="F180" s="18">
        <v>9.9000000000000005E-2</v>
      </c>
      <c r="G180" s="19">
        <f>VLOOKUP(D180,upahbahan,3,FALSE)</f>
        <v>145000</v>
      </c>
      <c r="H180" s="19">
        <f t="shared" si="18"/>
        <v>14355</v>
      </c>
      <c r="J180" s="15"/>
      <c r="K180" s="39"/>
    </row>
    <row r="181" spans="3:11" x14ac:dyDescent="0.3">
      <c r="C181" s="45">
        <v>3</v>
      </c>
      <c r="D181" s="13" t="s">
        <v>22</v>
      </c>
      <c r="E181" s="12" t="s">
        <v>19</v>
      </c>
      <c r="F181" s="18">
        <v>0.01</v>
      </c>
      <c r="G181" s="19">
        <f>VLOOKUP(D181,upahbahan,3,FALSE)</f>
        <v>175000</v>
      </c>
      <c r="H181" s="19">
        <f t="shared" si="18"/>
        <v>1750</v>
      </c>
      <c r="J181" s="15"/>
      <c r="K181" s="39"/>
    </row>
    <row r="182" spans="3:11" x14ac:dyDescent="0.3">
      <c r="C182" s="45">
        <v>4</v>
      </c>
      <c r="D182" s="13" t="s">
        <v>23</v>
      </c>
      <c r="E182" s="12" t="s">
        <v>19</v>
      </c>
      <c r="F182" s="18">
        <v>3.0000000000000001E-3</v>
      </c>
      <c r="G182" s="19">
        <f>VLOOKUP(D182,upahbahan,3,FALSE)</f>
        <v>200000</v>
      </c>
      <c r="H182" s="19">
        <f t="shared" si="18"/>
        <v>600</v>
      </c>
      <c r="J182" s="15"/>
      <c r="K182" s="39"/>
    </row>
    <row r="183" spans="3:11" x14ac:dyDescent="0.3">
      <c r="C183" s="21" t="s">
        <v>24</v>
      </c>
      <c r="D183" s="22"/>
      <c r="E183" s="22"/>
      <c r="F183" s="54"/>
      <c r="G183" s="24"/>
      <c r="H183" s="19">
        <f>SUM(H179:H182)</f>
        <v>22705</v>
      </c>
      <c r="I183" s="25"/>
      <c r="J183" s="15"/>
      <c r="K183" s="39"/>
    </row>
    <row r="184" spans="3:11" x14ac:dyDescent="0.25">
      <c r="C184" s="12" t="s">
        <v>25</v>
      </c>
      <c r="D184" s="13" t="s">
        <v>26</v>
      </c>
      <c r="E184" s="14"/>
      <c r="F184" s="55"/>
      <c r="G184" s="14"/>
      <c r="H184" s="14"/>
      <c r="J184" s="15"/>
      <c r="K184" s="39"/>
    </row>
    <row r="185" spans="3:11" x14ac:dyDescent="0.3">
      <c r="C185" s="16">
        <v>1</v>
      </c>
      <c r="D185" s="26" t="s">
        <v>68</v>
      </c>
      <c r="E185" s="12" t="s">
        <v>28</v>
      </c>
      <c r="F185" s="18">
        <v>1.1499999999999999</v>
      </c>
      <c r="G185" s="19">
        <f>VLOOKUP(D185,upahbahan,3,FALSE)</f>
        <v>303000</v>
      </c>
      <c r="H185" s="19">
        <f t="shared" ref="H185" si="19">F185*G185</f>
        <v>348450</v>
      </c>
      <c r="J185" s="15"/>
      <c r="K185" s="39"/>
    </row>
    <row r="186" spans="3:11" x14ac:dyDescent="0.3">
      <c r="C186" s="21" t="s">
        <v>29</v>
      </c>
      <c r="D186" s="22"/>
      <c r="E186" s="22"/>
      <c r="F186" s="22"/>
      <c r="G186" s="28"/>
      <c r="H186" s="19">
        <f>SUM(H185:H185)</f>
        <v>348450</v>
      </c>
      <c r="J186" s="15"/>
      <c r="K186" s="39"/>
    </row>
    <row r="187" spans="3:11" x14ac:dyDescent="0.25">
      <c r="C187" s="12" t="s">
        <v>30</v>
      </c>
      <c r="D187" s="13" t="s">
        <v>31</v>
      </c>
      <c r="E187" s="14"/>
      <c r="F187" s="14"/>
      <c r="G187" s="14"/>
      <c r="H187" s="14"/>
      <c r="J187" s="15"/>
      <c r="K187" s="39"/>
    </row>
    <row r="188" spans="3:11" x14ac:dyDescent="0.3">
      <c r="C188" s="21" t="s">
        <v>32</v>
      </c>
      <c r="D188" s="22"/>
      <c r="E188" s="22"/>
      <c r="F188" s="22"/>
      <c r="G188" s="28"/>
      <c r="H188" s="29">
        <v>0</v>
      </c>
      <c r="J188" s="15"/>
      <c r="K188" s="39"/>
    </row>
    <row r="189" spans="3:11" x14ac:dyDescent="0.3">
      <c r="C189" s="30" t="s">
        <v>33</v>
      </c>
      <c r="D189" s="31" t="s">
        <v>34</v>
      </c>
      <c r="E189" s="32"/>
      <c r="F189" s="32"/>
      <c r="G189" s="33"/>
      <c r="H189" s="46">
        <f>H188+H186+H183</f>
        <v>371155</v>
      </c>
      <c r="I189" s="47"/>
      <c r="J189" s="15"/>
      <c r="K189" s="39"/>
    </row>
    <row r="190" spans="3:11" x14ac:dyDescent="0.3">
      <c r="C190" s="30" t="s">
        <v>35</v>
      </c>
      <c r="D190" s="31" t="s">
        <v>36</v>
      </c>
      <c r="E190" s="32"/>
      <c r="F190" s="33"/>
      <c r="G190" s="34">
        <f>$M$9</f>
        <v>0.1</v>
      </c>
      <c r="H190" s="19">
        <f>H189*G190</f>
        <v>37115.5</v>
      </c>
      <c r="I190" s="47"/>
      <c r="J190" s="15"/>
      <c r="K190" s="39"/>
    </row>
    <row r="191" spans="3:11" x14ac:dyDescent="0.3">
      <c r="C191" s="30" t="s">
        <v>37</v>
      </c>
      <c r="D191" s="31" t="s">
        <v>38</v>
      </c>
      <c r="E191" s="32"/>
      <c r="F191" s="32"/>
      <c r="G191" s="33"/>
      <c r="H191" s="48">
        <f>SUM(H189:H190)</f>
        <v>408270.5</v>
      </c>
      <c r="I191" s="47"/>
      <c r="J191" s="15"/>
      <c r="K191" s="39"/>
    </row>
    <row r="192" spans="3:11" x14ac:dyDescent="0.3">
      <c r="C192" s="50"/>
      <c r="D192" s="51"/>
      <c r="E192" s="51"/>
      <c r="F192" s="51"/>
      <c r="G192" s="51"/>
      <c r="H192" s="52"/>
      <c r="J192" s="15"/>
      <c r="K192" s="39"/>
    </row>
    <row r="193" spans="3:11" x14ac:dyDescent="0.3">
      <c r="C193" s="40" t="s">
        <v>69</v>
      </c>
      <c r="D193" s="8" t="s">
        <v>70</v>
      </c>
      <c r="E193" s="44"/>
      <c r="F193" s="44"/>
      <c r="G193" s="44"/>
      <c r="H193" s="44"/>
      <c r="I193" s="10">
        <f>ROUNDDOWN(H208,0)</f>
        <v>506885</v>
      </c>
      <c r="J193" s="15"/>
      <c r="K193" s="39"/>
    </row>
    <row r="194" spans="3:11" ht="27.6" x14ac:dyDescent="0.3">
      <c r="C194" s="11" t="s">
        <v>9</v>
      </c>
      <c r="D194" s="11" t="s">
        <v>10</v>
      </c>
      <c r="E194" s="11" t="s">
        <v>11</v>
      </c>
      <c r="F194" s="11" t="s">
        <v>12</v>
      </c>
      <c r="G194" s="11" t="s">
        <v>13</v>
      </c>
      <c r="H194" s="11" t="s">
        <v>14</v>
      </c>
      <c r="J194" s="15"/>
      <c r="K194" s="39"/>
    </row>
    <row r="195" spans="3:11" x14ac:dyDescent="0.25">
      <c r="C195" s="17" t="s">
        <v>15</v>
      </c>
      <c r="D195" s="13" t="s">
        <v>16</v>
      </c>
      <c r="E195" s="53"/>
      <c r="F195" s="14"/>
      <c r="G195" s="14"/>
      <c r="H195" s="14"/>
      <c r="J195" s="15"/>
      <c r="K195" s="39"/>
    </row>
    <row r="196" spans="3:11" x14ac:dyDescent="0.3">
      <c r="C196" s="45">
        <v>1</v>
      </c>
      <c r="D196" s="13" t="s">
        <v>18</v>
      </c>
      <c r="E196" s="12" t="s">
        <v>19</v>
      </c>
      <c r="F196" s="49">
        <v>7.0999999999999994E-2</v>
      </c>
      <c r="G196" s="19">
        <f>VLOOKUP(D196,upahbahan,3,FALSE)</f>
        <v>100000</v>
      </c>
      <c r="H196" s="19">
        <f t="shared" ref="H196:H199" si="20">F196*G196</f>
        <v>7099.9999999999991</v>
      </c>
      <c r="J196" s="15"/>
      <c r="K196" s="39"/>
    </row>
    <row r="197" spans="3:11" x14ac:dyDescent="0.3">
      <c r="C197" s="45">
        <v>2</v>
      </c>
      <c r="D197" s="13" t="str">
        <f>D180</f>
        <v>Tukang listrik</v>
      </c>
      <c r="E197" s="12" t="s">
        <v>19</v>
      </c>
      <c r="F197" s="49">
        <v>0.11899999999999999</v>
      </c>
      <c r="G197" s="19">
        <f>VLOOKUP(D197,upahbahan,3,FALSE)</f>
        <v>145000</v>
      </c>
      <c r="H197" s="19">
        <f t="shared" si="20"/>
        <v>17255</v>
      </c>
      <c r="J197" s="15"/>
      <c r="K197" s="39"/>
    </row>
    <row r="198" spans="3:11" x14ac:dyDescent="0.3">
      <c r="C198" s="45">
        <v>3</v>
      </c>
      <c r="D198" s="13" t="s">
        <v>22</v>
      </c>
      <c r="E198" s="12" t="s">
        <v>19</v>
      </c>
      <c r="F198" s="49">
        <v>1.2E-2</v>
      </c>
      <c r="G198" s="19">
        <f>VLOOKUP(D198,upahbahan,3,FALSE)</f>
        <v>175000</v>
      </c>
      <c r="H198" s="19">
        <f t="shared" si="20"/>
        <v>2100</v>
      </c>
      <c r="J198" s="15"/>
      <c r="K198" s="39"/>
    </row>
    <row r="199" spans="3:11" x14ac:dyDescent="0.3">
      <c r="C199" s="45">
        <v>4</v>
      </c>
      <c r="D199" s="13" t="s">
        <v>23</v>
      </c>
      <c r="E199" s="12" t="s">
        <v>19</v>
      </c>
      <c r="F199" s="49">
        <v>4.0000000000000001E-3</v>
      </c>
      <c r="G199" s="19">
        <f>VLOOKUP(D199,upahbahan,3,FALSE)</f>
        <v>200000</v>
      </c>
      <c r="H199" s="19">
        <f t="shared" si="20"/>
        <v>800</v>
      </c>
      <c r="J199" s="15"/>
      <c r="K199" s="39"/>
    </row>
    <row r="200" spans="3:11" x14ac:dyDescent="0.3">
      <c r="C200" s="21" t="s">
        <v>24</v>
      </c>
      <c r="D200" s="22"/>
      <c r="E200" s="22"/>
      <c r="F200" s="23"/>
      <c r="G200" s="24"/>
      <c r="H200" s="19">
        <f>SUM(H196:H199)</f>
        <v>27255</v>
      </c>
      <c r="I200" s="25"/>
      <c r="J200" s="15"/>
      <c r="K200" s="39"/>
    </row>
    <row r="201" spans="3:11" x14ac:dyDescent="0.25">
      <c r="C201" s="12" t="s">
        <v>25</v>
      </c>
      <c r="D201" s="13" t="s">
        <v>26</v>
      </c>
      <c r="E201" s="14"/>
      <c r="F201" s="14"/>
      <c r="G201" s="14"/>
      <c r="H201" s="14"/>
      <c r="J201" s="15"/>
      <c r="K201" s="39"/>
    </row>
    <row r="202" spans="3:11" x14ac:dyDescent="0.3">
      <c r="C202" s="16">
        <v>1</v>
      </c>
      <c r="D202" s="26" t="s">
        <v>71</v>
      </c>
      <c r="E202" s="12" t="s">
        <v>28</v>
      </c>
      <c r="F202" s="18">
        <v>1.1499999999999999</v>
      </c>
      <c r="G202" s="19">
        <f>VLOOKUP(D202,upahbahan,3,FALSE)</f>
        <v>377000</v>
      </c>
      <c r="H202" s="19">
        <f t="shared" ref="H202" si="21">F202*G202</f>
        <v>433549.99999999994</v>
      </c>
      <c r="J202" s="15"/>
      <c r="K202" s="39"/>
    </row>
    <row r="203" spans="3:11" x14ac:dyDescent="0.3">
      <c r="C203" s="21" t="s">
        <v>29</v>
      </c>
      <c r="D203" s="22"/>
      <c r="E203" s="22"/>
      <c r="F203" s="22"/>
      <c r="G203" s="28"/>
      <c r="H203" s="19">
        <f>SUM(H202:H202)</f>
        <v>433549.99999999994</v>
      </c>
      <c r="J203" s="15"/>
      <c r="K203" s="39"/>
    </row>
    <row r="204" spans="3:11" x14ac:dyDescent="0.25">
      <c r="C204" s="12" t="s">
        <v>30</v>
      </c>
      <c r="D204" s="13" t="s">
        <v>31</v>
      </c>
      <c r="E204" s="14"/>
      <c r="F204" s="14"/>
      <c r="G204" s="14"/>
      <c r="H204" s="14"/>
      <c r="J204" s="15"/>
      <c r="K204" s="39"/>
    </row>
    <row r="205" spans="3:11" x14ac:dyDescent="0.3">
      <c r="C205" s="21" t="s">
        <v>32</v>
      </c>
      <c r="D205" s="22"/>
      <c r="E205" s="22"/>
      <c r="F205" s="22"/>
      <c r="G205" s="28"/>
      <c r="H205" s="29">
        <v>0</v>
      </c>
      <c r="J205" s="15"/>
      <c r="K205" s="39"/>
    </row>
    <row r="206" spans="3:11" x14ac:dyDescent="0.3">
      <c r="C206" s="30" t="s">
        <v>33</v>
      </c>
      <c r="D206" s="31" t="s">
        <v>34</v>
      </c>
      <c r="E206" s="32"/>
      <c r="F206" s="32"/>
      <c r="G206" s="33"/>
      <c r="H206" s="46">
        <f>H205+H203+H200</f>
        <v>460804.99999999994</v>
      </c>
      <c r="I206" s="47"/>
      <c r="J206" s="15"/>
      <c r="K206" s="39"/>
    </row>
    <row r="207" spans="3:11" x14ac:dyDescent="0.3">
      <c r="C207" s="30" t="s">
        <v>35</v>
      </c>
      <c r="D207" s="31" t="s">
        <v>36</v>
      </c>
      <c r="E207" s="32"/>
      <c r="F207" s="33"/>
      <c r="G207" s="34">
        <f>$M$9</f>
        <v>0.1</v>
      </c>
      <c r="H207" s="19">
        <f>H206*G207</f>
        <v>46080.5</v>
      </c>
      <c r="I207" s="47"/>
      <c r="J207" s="15"/>
      <c r="K207" s="39"/>
    </row>
    <row r="208" spans="3:11" x14ac:dyDescent="0.3">
      <c r="C208" s="30" t="s">
        <v>37</v>
      </c>
      <c r="D208" s="31" t="s">
        <v>38</v>
      </c>
      <c r="E208" s="32"/>
      <c r="F208" s="32"/>
      <c r="G208" s="33"/>
      <c r="H208" s="48">
        <f>SUM(H206:H207)</f>
        <v>506885.49999999994</v>
      </c>
      <c r="I208" s="47"/>
      <c r="J208" s="15"/>
      <c r="K208" s="39"/>
    </row>
    <row r="209" spans="3:11" x14ac:dyDescent="0.3">
      <c r="C209" s="50"/>
      <c r="D209" s="51"/>
      <c r="E209" s="51"/>
      <c r="F209" s="51"/>
      <c r="G209" s="51"/>
      <c r="H209" s="52"/>
      <c r="J209" s="15"/>
      <c r="K209" s="39"/>
    </row>
    <row r="210" spans="3:11" x14ac:dyDescent="0.3">
      <c r="C210" s="40" t="s">
        <v>72</v>
      </c>
      <c r="D210" s="8" t="s">
        <v>73</v>
      </c>
      <c r="E210" s="44"/>
      <c r="F210" s="44"/>
      <c r="G210" s="44"/>
      <c r="H210" s="44"/>
      <c r="I210" s="10">
        <f>ROUNDDOWN(H225,0)</f>
        <v>657420</v>
      </c>
      <c r="J210" s="15"/>
      <c r="K210" s="39"/>
    </row>
    <row r="211" spans="3:11" ht="27.6" x14ac:dyDescent="0.3">
      <c r="C211" s="11" t="s">
        <v>9</v>
      </c>
      <c r="D211" s="11" t="s">
        <v>10</v>
      </c>
      <c r="E211" s="11" t="s">
        <v>11</v>
      </c>
      <c r="F211" s="11" t="s">
        <v>12</v>
      </c>
      <c r="G211" s="11" t="s">
        <v>13</v>
      </c>
      <c r="H211" s="11" t="s">
        <v>14</v>
      </c>
      <c r="J211" s="15"/>
      <c r="K211" s="39"/>
    </row>
    <row r="212" spans="3:11" x14ac:dyDescent="0.25">
      <c r="C212" s="17" t="s">
        <v>15</v>
      </c>
      <c r="D212" s="13" t="s">
        <v>16</v>
      </c>
      <c r="E212" s="53"/>
      <c r="F212" s="14"/>
      <c r="G212" s="14"/>
      <c r="H212" s="14"/>
      <c r="J212" s="15"/>
      <c r="K212" s="39"/>
    </row>
    <row r="213" spans="3:11" x14ac:dyDescent="0.3">
      <c r="C213" s="45">
        <v>1</v>
      </c>
      <c r="D213" s="13" t="s">
        <v>18</v>
      </c>
      <c r="E213" s="12" t="s">
        <v>19</v>
      </c>
      <c r="F213" s="49">
        <v>7.0999999999999994E-2</v>
      </c>
      <c r="G213" s="19">
        <f>VLOOKUP(D213,upahbahan,3,FALSE)</f>
        <v>100000</v>
      </c>
      <c r="H213" s="19">
        <f t="shared" ref="H213:H216" si="22">F213*G213</f>
        <v>7099.9999999999991</v>
      </c>
      <c r="J213" s="15"/>
      <c r="K213" s="39"/>
    </row>
    <row r="214" spans="3:11" x14ac:dyDescent="0.3">
      <c r="C214" s="45">
        <v>2</v>
      </c>
      <c r="D214" s="13" t="str">
        <f>D197</f>
        <v>Tukang listrik</v>
      </c>
      <c r="E214" s="12" t="s">
        <v>19</v>
      </c>
      <c r="F214" s="49">
        <v>0.11899999999999999</v>
      </c>
      <c r="G214" s="19">
        <f>VLOOKUP(D214,upahbahan,3,FALSE)</f>
        <v>145000</v>
      </c>
      <c r="H214" s="19">
        <f t="shared" si="22"/>
        <v>17255</v>
      </c>
      <c r="J214" s="15"/>
      <c r="K214" s="39"/>
    </row>
    <row r="215" spans="3:11" x14ac:dyDescent="0.3">
      <c r="C215" s="45">
        <v>3</v>
      </c>
      <c r="D215" s="13" t="s">
        <v>22</v>
      </c>
      <c r="E215" s="12" t="s">
        <v>19</v>
      </c>
      <c r="F215" s="49">
        <v>1.2E-2</v>
      </c>
      <c r="G215" s="19">
        <f>VLOOKUP(D215,upahbahan,3,FALSE)</f>
        <v>175000</v>
      </c>
      <c r="H215" s="19">
        <f t="shared" si="22"/>
        <v>2100</v>
      </c>
      <c r="J215" s="15"/>
      <c r="K215" s="39"/>
    </row>
    <row r="216" spans="3:11" x14ac:dyDescent="0.3">
      <c r="C216" s="45">
        <v>4</v>
      </c>
      <c r="D216" s="13" t="s">
        <v>23</v>
      </c>
      <c r="E216" s="12" t="s">
        <v>19</v>
      </c>
      <c r="F216" s="49">
        <v>4.0000000000000001E-3</v>
      </c>
      <c r="G216" s="19">
        <f>VLOOKUP(D216,upahbahan,3,FALSE)</f>
        <v>200000</v>
      </c>
      <c r="H216" s="19">
        <f t="shared" si="22"/>
        <v>800</v>
      </c>
      <c r="J216" s="15"/>
      <c r="K216" s="39"/>
    </row>
    <row r="217" spans="3:11" x14ac:dyDescent="0.3">
      <c r="C217" s="21" t="s">
        <v>24</v>
      </c>
      <c r="D217" s="22"/>
      <c r="E217" s="22"/>
      <c r="F217" s="23"/>
      <c r="G217" s="24"/>
      <c r="H217" s="19">
        <f>SUM(H213:H216)</f>
        <v>27255</v>
      </c>
      <c r="I217" s="25"/>
      <c r="J217" s="15"/>
      <c r="K217" s="39"/>
    </row>
    <row r="218" spans="3:11" x14ac:dyDescent="0.25">
      <c r="C218" s="12" t="s">
        <v>25</v>
      </c>
      <c r="D218" s="13" t="s">
        <v>26</v>
      </c>
      <c r="E218" s="14"/>
      <c r="F218" s="14"/>
      <c r="G218" s="14"/>
      <c r="H218" s="14"/>
      <c r="J218" s="15"/>
      <c r="K218" s="39"/>
    </row>
    <row r="219" spans="3:11" x14ac:dyDescent="0.3">
      <c r="C219" s="16">
        <v>1</v>
      </c>
      <c r="D219" s="26" t="s">
        <v>74</v>
      </c>
      <c r="E219" s="12" t="s">
        <v>28</v>
      </c>
      <c r="F219" s="18">
        <v>1.1499999999999999</v>
      </c>
      <c r="G219" s="19">
        <f>VLOOKUP(D219,upahbahan,3,FALSE)</f>
        <v>496000</v>
      </c>
      <c r="H219" s="19">
        <f t="shared" ref="H219" si="23">F219*G219</f>
        <v>570400</v>
      </c>
      <c r="J219" s="15"/>
      <c r="K219" s="39"/>
    </row>
    <row r="220" spans="3:11" x14ac:dyDescent="0.3">
      <c r="C220" s="21" t="s">
        <v>29</v>
      </c>
      <c r="D220" s="22"/>
      <c r="E220" s="22"/>
      <c r="F220" s="22"/>
      <c r="G220" s="28"/>
      <c r="H220" s="19">
        <f>SUM(H219:H219)</f>
        <v>570400</v>
      </c>
      <c r="J220" s="15"/>
      <c r="K220" s="39"/>
    </row>
    <row r="221" spans="3:11" x14ac:dyDescent="0.25">
      <c r="C221" s="12" t="s">
        <v>30</v>
      </c>
      <c r="D221" s="13" t="s">
        <v>31</v>
      </c>
      <c r="E221" s="14"/>
      <c r="F221" s="14"/>
      <c r="G221" s="14"/>
      <c r="H221" s="14"/>
      <c r="J221" s="15"/>
      <c r="K221" s="39"/>
    </row>
    <row r="222" spans="3:11" x14ac:dyDescent="0.3">
      <c r="C222" s="21" t="s">
        <v>32</v>
      </c>
      <c r="D222" s="22"/>
      <c r="E222" s="22"/>
      <c r="F222" s="22"/>
      <c r="G222" s="28"/>
      <c r="H222" s="29">
        <v>0</v>
      </c>
      <c r="J222" s="15"/>
      <c r="K222" s="39"/>
    </row>
    <row r="223" spans="3:11" x14ac:dyDescent="0.3">
      <c r="C223" s="30" t="s">
        <v>33</v>
      </c>
      <c r="D223" s="31" t="s">
        <v>34</v>
      </c>
      <c r="E223" s="32"/>
      <c r="F223" s="32"/>
      <c r="G223" s="33"/>
      <c r="H223" s="46">
        <f>H222+H220+H217</f>
        <v>597655</v>
      </c>
      <c r="I223" s="47"/>
      <c r="J223" s="15"/>
      <c r="K223" s="39"/>
    </row>
    <row r="224" spans="3:11" x14ac:dyDescent="0.3">
      <c r="C224" s="30" t="s">
        <v>35</v>
      </c>
      <c r="D224" s="31" t="s">
        <v>36</v>
      </c>
      <c r="E224" s="32"/>
      <c r="F224" s="33"/>
      <c r="G224" s="34">
        <f>$M$9</f>
        <v>0.1</v>
      </c>
      <c r="H224" s="19">
        <f>H223*G224</f>
        <v>59765.5</v>
      </c>
      <c r="I224" s="47"/>
      <c r="J224" s="15"/>
      <c r="K224" s="39"/>
    </row>
    <row r="225" spans="3:11" x14ac:dyDescent="0.3">
      <c r="C225" s="30" t="s">
        <v>37</v>
      </c>
      <c r="D225" s="31" t="s">
        <v>38</v>
      </c>
      <c r="E225" s="32"/>
      <c r="F225" s="32"/>
      <c r="G225" s="33"/>
      <c r="H225" s="48">
        <f>SUM(H223:H224)</f>
        <v>657420.5</v>
      </c>
      <c r="I225" s="47"/>
      <c r="J225" s="15"/>
      <c r="K225" s="39"/>
    </row>
    <row r="226" spans="3:11" x14ac:dyDescent="0.3">
      <c r="C226" s="50"/>
      <c r="D226" s="51"/>
      <c r="E226" s="51"/>
      <c r="F226" s="51"/>
      <c r="G226" s="51"/>
      <c r="H226" s="52"/>
      <c r="J226" s="15"/>
      <c r="K226" s="39"/>
    </row>
    <row r="227" spans="3:11" x14ac:dyDescent="0.3">
      <c r="C227" s="40" t="s">
        <v>75</v>
      </c>
      <c r="D227" s="8" t="s">
        <v>76</v>
      </c>
      <c r="E227" s="44"/>
      <c r="F227" s="44"/>
      <c r="G227" s="44"/>
      <c r="H227" s="44"/>
      <c r="I227" s="10">
        <f>ROUNDDOWN(H242,0)</f>
        <v>818130</v>
      </c>
      <c r="J227" s="15"/>
      <c r="K227" s="39"/>
    </row>
    <row r="228" spans="3:11" ht="27.6" x14ac:dyDescent="0.3">
      <c r="C228" s="11" t="s">
        <v>9</v>
      </c>
      <c r="D228" s="11" t="s">
        <v>10</v>
      </c>
      <c r="E228" s="11" t="s">
        <v>11</v>
      </c>
      <c r="F228" s="11" t="s">
        <v>12</v>
      </c>
      <c r="G228" s="11" t="s">
        <v>13</v>
      </c>
      <c r="H228" s="11" t="s">
        <v>14</v>
      </c>
      <c r="J228" s="15"/>
      <c r="K228" s="39"/>
    </row>
    <row r="229" spans="3:11" x14ac:dyDescent="0.25">
      <c r="C229" s="17" t="s">
        <v>15</v>
      </c>
      <c r="D229" s="13" t="s">
        <v>16</v>
      </c>
      <c r="E229" s="53"/>
      <c r="F229" s="14"/>
      <c r="G229" s="14"/>
      <c r="H229" s="14"/>
      <c r="J229" s="15"/>
      <c r="K229" s="39"/>
    </row>
    <row r="230" spans="3:11" x14ac:dyDescent="0.3">
      <c r="C230" s="45">
        <v>1</v>
      </c>
      <c r="D230" s="13" t="s">
        <v>18</v>
      </c>
      <c r="E230" s="12" t="s">
        <v>19</v>
      </c>
      <c r="F230" s="18">
        <v>8.3000000000000004E-2</v>
      </c>
      <c r="G230" s="19">
        <f>VLOOKUP(D230,upahbahan,3,FALSE)</f>
        <v>100000</v>
      </c>
      <c r="H230" s="19">
        <f t="shared" ref="H230:H233" si="24">F230*G230</f>
        <v>8300</v>
      </c>
      <c r="J230" s="15"/>
      <c r="K230" s="39"/>
    </row>
    <row r="231" spans="3:11" x14ac:dyDescent="0.3">
      <c r="C231" s="45">
        <v>2</v>
      </c>
      <c r="D231" s="13" t="str">
        <f>D214</f>
        <v>Tukang listrik</v>
      </c>
      <c r="E231" s="12" t="s">
        <v>19</v>
      </c>
      <c r="F231" s="18">
        <v>0.13900000000000001</v>
      </c>
      <c r="G231" s="19">
        <f>VLOOKUP(D231,upahbahan,3,FALSE)</f>
        <v>145000</v>
      </c>
      <c r="H231" s="19">
        <f t="shared" si="24"/>
        <v>20155</v>
      </c>
      <c r="J231" s="15"/>
      <c r="K231" s="39"/>
    </row>
    <row r="232" spans="3:11" x14ac:dyDescent="0.3">
      <c r="C232" s="45">
        <v>3</v>
      </c>
      <c r="D232" s="13" t="s">
        <v>22</v>
      </c>
      <c r="E232" s="12" t="s">
        <v>19</v>
      </c>
      <c r="F232" s="18">
        <v>1.4E-2</v>
      </c>
      <c r="G232" s="19">
        <f>VLOOKUP(D232,upahbahan,3,FALSE)</f>
        <v>175000</v>
      </c>
      <c r="H232" s="19">
        <f t="shared" si="24"/>
        <v>2450</v>
      </c>
      <c r="J232" s="15"/>
      <c r="K232" s="39"/>
    </row>
    <row r="233" spans="3:11" x14ac:dyDescent="0.3">
      <c r="C233" s="45">
        <v>4</v>
      </c>
      <c r="D233" s="13" t="s">
        <v>23</v>
      </c>
      <c r="E233" s="12" t="s">
        <v>19</v>
      </c>
      <c r="F233" s="18">
        <v>5.0000000000000001E-3</v>
      </c>
      <c r="G233" s="19">
        <f>VLOOKUP(D233,upahbahan,3,FALSE)</f>
        <v>200000</v>
      </c>
      <c r="H233" s="19">
        <f t="shared" si="24"/>
        <v>1000</v>
      </c>
      <c r="J233" s="15"/>
      <c r="K233" s="39"/>
    </row>
    <row r="234" spans="3:11" x14ac:dyDescent="0.3">
      <c r="C234" s="21" t="s">
        <v>24</v>
      </c>
      <c r="D234" s="22"/>
      <c r="E234" s="22"/>
      <c r="F234" s="54"/>
      <c r="G234" s="24"/>
      <c r="H234" s="19">
        <f>SUM(H230:H233)</f>
        <v>31905</v>
      </c>
      <c r="I234" s="25"/>
      <c r="J234" s="15"/>
      <c r="K234" s="39"/>
    </row>
    <row r="235" spans="3:11" x14ac:dyDescent="0.25">
      <c r="C235" s="12" t="s">
        <v>25</v>
      </c>
      <c r="D235" s="13" t="s">
        <v>26</v>
      </c>
      <c r="E235" s="14"/>
      <c r="F235" s="55"/>
      <c r="G235" s="14"/>
      <c r="H235" s="14"/>
      <c r="J235" s="15"/>
      <c r="K235" s="39"/>
    </row>
    <row r="236" spans="3:11" x14ac:dyDescent="0.3">
      <c r="C236" s="16">
        <v>1</v>
      </c>
      <c r="D236" s="26" t="s">
        <v>77</v>
      </c>
      <c r="E236" s="12" t="s">
        <v>28</v>
      </c>
      <c r="F236" s="18">
        <v>1.1499999999999999</v>
      </c>
      <c r="G236" s="19">
        <f>VLOOKUP(D236,upahbahan,3,FALSE)</f>
        <v>619000</v>
      </c>
      <c r="H236" s="19">
        <f>F236*G236</f>
        <v>711850</v>
      </c>
      <c r="J236" s="15"/>
      <c r="K236" s="39"/>
    </row>
    <row r="237" spans="3:11" x14ac:dyDescent="0.3">
      <c r="C237" s="21" t="s">
        <v>29</v>
      </c>
      <c r="D237" s="22"/>
      <c r="E237" s="22"/>
      <c r="F237" s="22"/>
      <c r="G237" s="28"/>
      <c r="H237" s="19">
        <f>SUM(H236:H236)</f>
        <v>711850</v>
      </c>
      <c r="J237" s="15"/>
      <c r="K237" s="39"/>
    </row>
    <row r="238" spans="3:11" x14ac:dyDescent="0.25">
      <c r="C238" s="12" t="s">
        <v>30</v>
      </c>
      <c r="D238" s="13" t="s">
        <v>31</v>
      </c>
      <c r="E238" s="14"/>
      <c r="F238" s="14"/>
      <c r="G238" s="14"/>
      <c r="H238" s="14"/>
      <c r="J238" s="15"/>
      <c r="K238" s="39"/>
    </row>
    <row r="239" spans="3:11" x14ac:dyDescent="0.3">
      <c r="C239" s="21" t="s">
        <v>32</v>
      </c>
      <c r="D239" s="22"/>
      <c r="E239" s="22"/>
      <c r="F239" s="22"/>
      <c r="G239" s="28"/>
      <c r="H239" s="29">
        <v>0</v>
      </c>
      <c r="J239" s="15"/>
      <c r="K239" s="39"/>
    </row>
    <row r="240" spans="3:11" x14ac:dyDescent="0.3">
      <c r="C240" s="30" t="s">
        <v>33</v>
      </c>
      <c r="D240" s="31" t="s">
        <v>34</v>
      </c>
      <c r="E240" s="32"/>
      <c r="F240" s="32"/>
      <c r="G240" s="33"/>
      <c r="H240" s="46">
        <f>H239+H237+H234</f>
        <v>743755</v>
      </c>
      <c r="I240" s="47"/>
      <c r="J240" s="15"/>
      <c r="K240" s="39"/>
    </row>
    <row r="241" spans="3:11" x14ac:dyDescent="0.3">
      <c r="C241" s="30" t="s">
        <v>35</v>
      </c>
      <c r="D241" s="31" t="s">
        <v>36</v>
      </c>
      <c r="E241" s="32"/>
      <c r="F241" s="33"/>
      <c r="G241" s="34">
        <f>$M$9</f>
        <v>0.1</v>
      </c>
      <c r="H241" s="19">
        <f>H240*G241</f>
        <v>74375.5</v>
      </c>
      <c r="I241" s="47"/>
      <c r="J241" s="15"/>
      <c r="K241" s="39"/>
    </row>
    <row r="242" spans="3:11" x14ac:dyDescent="0.3">
      <c r="C242" s="30" t="s">
        <v>37</v>
      </c>
      <c r="D242" s="31" t="s">
        <v>38</v>
      </c>
      <c r="E242" s="32"/>
      <c r="F242" s="32"/>
      <c r="G242" s="33"/>
      <c r="H242" s="48">
        <f>SUM(H240:H241)</f>
        <v>818130.5</v>
      </c>
      <c r="I242" s="47"/>
      <c r="J242" s="15"/>
      <c r="K242" s="39"/>
    </row>
    <row r="243" spans="3:11" x14ac:dyDescent="0.3">
      <c r="C243" s="50"/>
      <c r="D243" s="51"/>
      <c r="E243" s="51"/>
      <c r="F243" s="51"/>
      <c r="G243" s="51"/>
      <c r="H243" s="52"/>
      <c r="J243" s="15"/>
      <c r="K243" s="39"/>
    </row>
    <row r="244" spans="3:11" x14ac:dyDescent="0.3">
      <c r="C244" s="40" t="s">
        <v>78</v>
      </c>
      <c r="D244" s="8" t="s">
        <v>79</v>
      </c>
      <c r="E244" s="44"/>
      <c r="F244" s="44"/>
      <c r="G244" s="44"/>
      <c r="H244" s="44"/>
      <c r="I244" s="10">
        <f>ROUNDDOWN(H259,0)</f>
        <v>1034280</v>
      </c>
      <c r="J244" s="15"/>
      <c r="K244" s="39"/>
    </row>
    <row r="245" spans="3:11" ht="27.6" x14ac:dyDescent="0.3">
      <c r="C245" s="11" t="s">
        <v>9</v>
      </c>
      <c r="D245" s="11" t="s">
        <v>10</v>
      </c>
      <c r="E245" s="11" t="s">
        <v>11</v>
      </c>
      <c r="F245" s="11" t="s">
        <v>12</v>
      </c>
      <c r="G245" s="11" t="s">
        <v>13</v>
      </c>
      <c r="H245" s="11" t="s">
        <v>14</v>
      </c>
      <c r="J245" s="15"/>
      <c r="K245" s="39"/>
    </row>
    <row r="246" spans="3:11" x14ac:dyDescent="0.25">
      <c r="C246" s="17" t="s">
        <v>15</v>
      </c>
      <c r="D246" s="13" t="s">
        <v>16</v>
      </c>
      <c r="E246" s="53"/>
      <c r="F246" s="14"/>
      <c r="G246" s="14"/>
      <c r="H246" s="14"/>
      <c r="J246" s="15"/>
      <c r="K246" s="39"/>
    </row>
    <row r="247" spans="3:11" x14ac:dyDescent="0.3">
      <c r="C247" s="45">
        <v>1</v>
      </c>
      <c r="D247" s="13" t="s">
        <v>18</v>
      </c>
      <c r="E247" s="12" t="s">
        <v>19</v>
      </c>
      <c r="F247" s="49">
        <v>9.5000000000000001E-2</v>
      </c>
      <c r="G247" s="19">
        <f>VLOOKUP(D247,upahbahan,3,FALSE)</f>
        <v>100000</v>
      </c>
      <c r="H247" s="19">
        <f t="shared" ref="H247:H250" si="25">F247*G247</f>
        <v>9500</v>
      </c>
      <c r="J247" s="15"/>
      <c r="K247" s="39"/>
    </row>
    <row r="248" spans="3:11" x14ac:dyDescent="0.3">
      <c r="C248" s="45">
        <v>2</v>
      </c>
      <c r="D248" s="13" t="str">
        <f>D231</f>
        <v>Tukang listrik</v>
      </c>
      <c r="E248" s="12" t="s">
        <v>19</v>
      </c>
      <c r="F248" s="49">
        <v>0.159</v>
      </c>
      <c r="G248" s="19">
        <f>VLOOKUP(D248,upahbahan,3,FALSE)</f>
        <v>145000</v>
      </c>
      <c r="H248" s="19">
        <f t="shared" si="25"/>
        <v>23055</v>
      </c>
      <c r="J248" s="15"/>
      <c r="K248" s="39"/>
    </row>
    <row r="249" spans="3:11" x14ac:dyDescent="0.3">
      <c r="C249" s="45">
        <v>3</v>
      </c>
      <c r="D249" s="13" t="s">
        <v>22</v>
      </c>
      <c r="E249" s="12" t="s">
        <v>19</v>
      </c>
      <c r="F249" s="49">
        <v>1.6E-2</v>
      </c>
      <c r="G249" s="19">
        <f>VLOOKUP(D249,upahbahan,3,FALSE)</f>
        <v>175000</v>
      </c>
      <c r="H249" s="19">
        <f t="shared" si="25"/>
        <v>2800</v>
      </c>
      <c r="J249" s="15"/>
      <c r="K249" s="39"/>
    </row>
    <row r="250" spans="3:11" x14ac:dyDescent="0.3">
      <c r="C250" s="45">
        <v>4</v>
      </c>
      <c r="D250" s="13" t="s">
        <v>23</v>
      </c>
      <c r="E250" s="12" t="s">
        <v>19</v>
      </c>
      <c r="F250" s="49">
        <v>5.0000000000000001E-3</v>
      </c>
      <c r="G250" s="19">
        <f>VLOOKUP(D250,upahbahan,3,FALSE)</f>
        <v>200000</v>
      </c>
      <c r="H250" s="19">
        <f t="shared" si="25"/>
        <v>1000</v>
      </c>
      <c r="J250" s="15"/>
      <c r="K250" s="39"/>
    </row>
    <row r="251" spans="3:11" x14ac:dyDescent="0.3">
      <c r="C251" s="21" t="s">
        <v>24</v>
      </c>
      <c r="D251" s="22"/>
      <c r="E251" s="22"/>
      <c r="F251" s="23"/>
      <c r="G251" s="24"/>
      <c r="H251" s="19">
        <f>SUM(H247:H250)</f>
        <v>36355</v>
      </c>
      <c r="I251" s="25"/>
      <c r="J251" s="15"/>
      <c r="K251" s="39"/>
    </row>
    <row r="252" spans="3:11" x14ac:dyDescent="0.25">
      <c r="C252" s="12" t="s">
        <v>25</v>
      </c>
      <c r="D252" s="13" t="s">
        <v>26</v>
      </c>
      <c r="E252" s="14"/>
      <c r="F252" s="14"/>
      <c r="G252" s="14"/>
      <c r="H252" s="14"/>
      <c r="J252" s="15"/>
      <c r="K252" s="39"/>
    </row>
    <row r="253" spans="3:11" x14ac:dyDescent="0.3">
      <c r="C253" s="16">
        <v>1</v>
      </c>
      <c r="D253" s="26" t="s">
        <v>80</v>
      </c>
      <c r="E253" s="12" t="s">
        <v>28</v>
      </c>
      <c r="F253" s="18">
        <v>1.1499999999999999</v>
      </c>
      <c r="G253" s="19">
        <f>VLOOKUP(D253,upahbahan,3,FALSE)</f>
        <v>786000</v>
      </c>
      <c r="H253" s="19">
        <f t="shared" ref="H253" si="26">F253*G253</f>
        <v>903899.99999999988</v>
      </c>
      <c r="J253" s="15"/>
      <c r="K253" s="39"/>
    </row>
    <row r="254" spans="3:11" x14ac:dyDescent="0.3">
      <c r="C254" s="21" t="s">
        <v>29</v>
      </c>
      <c r="D254" s="22"/>
      <c r="E254" s="22"/>
      <c r="F254" s="22"/>
      <c r="G254" s="28"/>
      <c r="H254" s="19">
        <f>SUM(H253:H253)</f>
        <v>903899.99999999988</v>
      </c>
      <c r="J254" s="15"/>
      <c r="K254" s="39"/>
    </row>
    <row r="255" spans="3:11" x14ac:dyDescent="0.25">
      <c r="C255" s="12" t="s">
        <v>30</v>
      </c>
      <c r="D255" s="13" t="s">
        <v>31</v>
      </c>
      <c r="E255" s="14"/>
      <c r="F255" s="14"/>
      <c r="G255" s="14"/>
      <c r="H255" s="14"/>
      <c r="J255" s="15"/>
      <c r="K255" s="39"/>
    </row>
    <row r="256" spans="3:11" x14ac:dyDescent="0.3">
      <c r="C256" s="21" t="s">
        <v>32</v>
      </c>
      <c r="D256" s="22"/>
      <c r="E256" s="22"/>
      <c r="F256" s="22"/>
      <c r="G256" s="28"/>
      <c r="H256" s="29">
        <v>0</v>
      </c>
      <c r="J256" s="15"/>
      <c r="K256" s="39"/>
    </row>
    <row r="257" spans="3:11" x14ac:dyDescent="0.3">
      <c r="C257" s="30" t="s">
        <v>33</v>
      </c>
      <c r="D257" s="31" t="s">
        <v>34</v>
      </c>
      <c r="E257" s="32"/>
      <c r="F257" s="32"/>
      <c r="G257" s="33"/>
      <c r="H257" s="46">
        <f>H256+H254+H251</f>
        <v>940254.99999999988</v>
      </c>
      <c r="I257" s="47"/>
      <c r="J257" s="15"/>
      <c r="K257" s="39"/>
    </row>
    <row r="258" spans="3:11" x14ac:dyDescent="0.3">
      <c r="C258" s="30" t="s">
        <v>35</v>
      </c>
      <c r="D258" s="31" t="s">
        <v>36</v>
      </c>
      <c r="E258" s="32"/>
      <c r="F258" s="33"/>
      <c r="G258" s="34">
        <f>$M$9</f>
        <v>0.1</v>
      </c>
      <c r="H258" s="19">
        <f>H257*G258</f>
        <v>94025.5</v>
      </c>
      <c r="I258" s="47"/>
      <c r="J258" s="15"/>
      <c r="K258" s="39"/>
    </row>
    <row r="259" spans="3:11" x14ac:dyDescent="0.3">
      <c r="C259" s="30" t="s">
        <v>37</v>
      </c>
      <c r="D259" s="31" t="s">
        <v>38</v>
      </c>
      <c r="E259" s="32"/>
      <c r="F259" s="32"/>
      <c r="G259" s="33"/>
      <c r="H259" s="48">
        <f>SUM(H257:H258)</f>
        <v>1034280.4999999999</v>
      </c>
      <c r="I259" s="47"/>
      <c r="J259" s="15"/>
      <c r="K259" s="39"/>
    </row>
    <row r="260" spans="3:11" x14ac:dyDescent="0.3">
      <c r="C260" s="50"/>
      <c r="D260" s="51"/>
      <c r="E260" s="51"/>
      <c r="F260" s="51"/>
      <c r="G260" s="51"/>
      <c r="H260" s="52"/>
      <c r="J260" s="15"/>
      <c r="K260" s="39"/>
    </row>
    <row r="261" spans="3:11" x14ac:dyDescent="0.3">
      <c r="C261" s="40" t="s">
        <v>81</v>
      </c>
      <c r="D261" s="8" t="s">
        <v>82</v>
      </c>
      <c r="E261" s="44"/>
      <c r="F261" s="44"/>
      <c r="G261" s="44"/>
      <c r="H261" s="44"/>
      <c r="I261" s="10">
        <f>ROUNDDOWN(H276,0)</f>
        <v>1320786</v>
      </c>
      <c r="J261" s="15"/>
      <c r="K261" s="39"/>
    </row>
    <row r="262" spans="3:11" ht="27.6" x14ac:dyDescent="0.3">
      <c r="C262" s="11" t="s">
        <v>9</v>
      </c>
      <c r="D262" s="11" t="s">
        <v>10</v>
      </c>
      <c r="E262" s="11" t="s">
        <v>11</v>
      </c>
      <c r="F262" s="11" t="s">
        <v>12</v>
      </c>
      <c r="G262" s="11" t="s">
        <v>13</v>
      </c>
      <c r="H262" s="11" t="s">
        <v>14</v>
      </c>
      <c r="J262" s="15"/>
      <c r="K262" s="39"/>
    </row>
    <row r="263" spans="3:11" x14ac:dyDescent="0.25">
      <c r="C263" s="17" t="s">
        <v>15</v>
      </c>
      <c r="D263" s="13" t="s">
        <v>16</v>
      </c>
      <c r="E263" s="53"/>
      <c r="F263" s="14"/>
      <c r="G263" s="14"/>
      <c r="H263" s="14"/>
      <c r="J263" s="15"/>
      <c r="K263" s="39"/>
    </row>
    <row r="264" spans="3:11" x14ac:dyDescent="0.3">
      <c r="C264" s="45">
        <v>1</v>
      </c>
      <c r="D264" s="13" t="s">
        <v>18</v>
      </c>
      <c r="E264" s="12" t="s">
        <v>19</v>
      </c>
      <c r="F264" s="18">
        <v>0.11899999999999999</v>
      </c>
      <c r="G264" s="19">
        <f>VLOOKUP(D264,upahbahan,3,FALSE)</f>
        <v>100000</v>
      </c>
      <c r="H264" s="19">
        <f t="shared" ref="H264:H267" si="27">F264*G264</f>
        <v>11900</v>
      </c>
      <c r="J264" s="15"/>
      <c r="K264" s="39"/>
    </row>
    <row r="265" spans="3:11" x14ac:dyDescent="0.3">
      <c r="C265" s="45">
        <v>2</v>
      </c>
      <c r="D265" s="13" t="str">
        <f>D248</f>
        <v>Tukang listrik</v>
      </c>
      <c r="E265" s="12" t="s">
        <v>19</v>
      </c>
      <c r="F265" s="18">
        <v>0.19900000000000001</v>
      </c>
      <c r="G265" s="19">
        <f>VLOOKUP(D265,upahbahan,3,FALSE)</f>
        <v>145000</v>
      </c>
      <c r="H265" s="19">
        <f t="shared" si="27"/>
        <v>28855</v>
      </c>
      <c r="J265" s="15"/>
      <c r="K265" s="39"/>
    </row>
    <row r="266" spans="3:11" x14ac:dyDescent="0.3">
      <c r="C266" s="45">
        <v>3</v>
      </c>
      <c r="D266" s="13" t="s">
        <v>22</v>
      </c>
      <c r="E266" s="12" t="s">
        <v>19</v>
      </c>
      <c r="F266" s="18">
        <v>0.02</v>
      </c>
      <c r="G266" s="19">
        <f>VLOOKUP(D266,upahbahan,3,FALSE)</f>
        <v>175000</v>
      </c>
      <c r="H266" s="19">
        <f t="shared" si="27"/>
        <v>3500</v>
      </c>
      <c r="J266" s="15"/>
      <c r="K266" s="39"/>
    </row>
    <row r="267" spans="3:11" x14ac:dyDescent="0.3">
      <c r="C267" s="45">
        <v>4</v>
      </c>
      <c r="D267" s="13" t="s">
        <v>23</v>
      </c>
      <c r="E267" s="12" t="s">
        <v>19</v>
      </c>
      <c r="F267" s="18">
        <v>7.0000000000000001E-3</v>
      </c>
      <c r="G267" s="19">
        <f>VLOOKUP(D267,upahbahan,3,FALSE)</f>
        <v>200000</v>
      </c>
      <c r="H267" s="19">
        <f t="shared" si="27"/>
        <v>1400</v>
      </c>
      <c r="J267" s="15"/>
      <c r="K267" s="39"/>
    </row>
    <row r="268" spans="3:11" x14ac:dyDescent="0.3">
      <c r="C268" s="21" t="s">
        <v>24</v>
      </c>
      <c r="D268" s="22"/>
      <c r="E268" s="22"/>
      <c r="F268" s="54"/>
      <c r="G268" s="24"/>
      <c r="H268" s="19">
        <f>SUM(H264:H267)</f>
        <v>45655</v>
      </c>
      <c r="I268" s="25"/>
      <c r="J268" s="15"/>
      <c r="K268" s="39"/>
    </row>
    <row r="269" spans="3:11" x14ac:dyDescent="0.25">
      <c r="C269" s="12" t="s">
        <v>25</v>
      </c>
      <c r="D269" s="13" t="s">
        <v>26</v>
      </c>
      <c r="E269" s="14"/>
      <c r="F269" s="55"/>
      <c r="G269" s="14"/>
      <c r="H269" s="14"/>
      <c r="J269" s="15"/>
      <c r="K269" s="39"/>
    </row>
    <row r="270" spans="3:11" x14ac:dyDescent="0.3">
      <c r="C270" s="16">
        <v>1</v>
      </c>
      <c r="D270" s="26" t="s">
        <v>83</v>
      </c>
      <c r="E270" s="12" t="s">
        <v>28</v>
      </c>
      <c r="F270" s="18">
        <v>1.1499999999999999</v>
      </c>
      <c r="G270" s="19">
        <f>VLOOKUP(D270,upahbahan,3,FALSE)</f>
        <v>1004400</v>
      </c>
      <c r="H270" s="19">
        <f t="shared" ref="H270" si="28">F270*G270</f>
        <v>1155060</v>
      </c>
      <c r="J270" s="15"/>
      <c r="K270" s="39"/>
    </row>
    <row r="271" spans="3:11" x14ac:dyDescent="0.3">
      <c r="C271" s="21" t="s">
        <v>29</v>
      </c>
      <c r="D271" s="22"/>
      <c r="E271" s="22"/>
      <c r="F271" s="22"/>
      <c r="G271" s="28"/>
      <c r="H271" s="19">
        <f>SUM(H270:H270)</f>
        <v>1155060</v>
      </c>
      <c r="J271" s="15"/>
      <c r="K271" s="39"/>
    </row>
    <row r="272" spans="3:11" x14ac:dyDescent="0.25">
      <c r="C272" s="12" t="s">
        <v>30</v>
      </c>
      <c r="D272" s="13" t="s">
        <v>31</v>
      </c>
      <c r="E272" s="14"/>
      <c r="F272" s="14"/>
      <c r="G272" s="14"/>
      <c r="H272" s="14"/>
      <c r="J272" s="15"/>
      <c r="K272" s="39"/>
    </row>
    <row r="273" spans="3:11" x14ac:dyDescent="0.3">
      <c r="C273" s="21" t="s">
        <v>32</v>
      </c>
      <c r="D273" s="22"/>
      <c r="E273" s="22"/>
      <c r="F273" s="22"/>
      <c r="G273" s="28"/>
      <c r="H273" s="29">
        <v>0</v>
      </c>
      <c r="J273" s="15"/>
      <c r="K273" s="39"/>
    </row>
    <row r="274" spans="3:11" x14ac:dyDescent="0.3">
      <c r="C274" s="30" t="s">
        <v>33</v>
      </c>
      <c r="D274" s="31" t="s">
        <v>34</v>
      </c>
      <c r="E274" s="32"/>
      <c r="F274" s="32"/>
      <c r="G274" s="33"/>
      <c r="H274" s="46">
        <f>H273+H271+H268</f>
        <v>1200715</v>
      </c>
      <c r="I274" s="47"/>
      <c r="J274" s="15"/>
      <c r="K274" s="39"/>
    </row>
    <row r="275" spans="3:11" x14ac:dyDescent="0.3">
      <c r="C275" s="30" t="s">
        <v>35</v>
      </c>
      <c r="D275" s="31" t="s">
        <v>36</v>
      </c>
      <c r="E275" s="32"/>
      <c r="F275" s="33"/>
      <c r="G275" s="34">
        <f>$M$9</f>
        <v>0.1</v>
      </c>
      <c r="H275" s="19">
        <f>H274*G275</f>
        <v>120071.5</v>
      </c>
      <c r="I275" s="47"/>
      <c r="J275" s="15"/>
      <c r="K275" s="39"/>
    </row>
    <row r="276" spans="3:11" x14ac:dyDescent="0.3">
      <c r="C276" s="30" t="s">
        <v>37</v>
      </c>
      <c r="D276" s="31" t="s">
        <v>38</v>
      </c>
      <c r="E276" s="32"/>
      <c r="F276" s="32"/>
      <c r="G276" s="33"/>
      <c r="H276" s="48">
        <f>SUM(H274:H275)</f>
        <v>1320786.5</v>
      </c>
      <c r="I276" s="47"/>
      <c r="J276" s="15"/>
      <c r="K276" s="39"/>
    </row>
    <row r="277" spans="3:11" x14ac:dyDescent="0.3">
      <c r="C277" s="50"/>
      <c r="D277" s="51"/>
      <c r="E277" s="51"/>
      <c r="F277" s="51"/>
      <c r="G277" s="51"/>
      <c r="H277" s="52"/>
      <c r="J277" s="15"/>
      <c r="K277" s="39"/>
    </row>
    <row r="278" spans="3:11" x14ac:dyDescent="0.3">
      <c r="C278" s="40" t="s">
        <v>84</v>
      </c>
      <c r="D278" s="8" t="s">
        <v>85</v>
      </c>
      <c r="E278" s="44"/>
      <c r="F278" s="44"/>
      <c r="G278" s="44"/>
      <c r="H278" s="44"/>
      <c r="I278" s="10">
        <f>ROUNDDOWN(H293,0)</f>
        <v>1635155</v>
      </c>
      <c r="J278" s="15"/>
      <c r="K278" s="39"/>
    </row>
    <row r="279" spans="3:11" ht="27.6" x14ac:dyDescent="0.3">
      <c r="C279" s="11" t="s">
        <v>9</v>
      </c>
      <c r="D279" s="11" t="s">
        <v>10</v>
      </c>
      <c r="E279" s="11" t="s">
        <v>11</v>
      </c>
      <c r="F279" s="11" t="s">
        <v>12</v>
      </c>
      <c r="G279" s="11" t="s">
        <v>13</v>
      </c>
      <c r="H279" s="11" t="s">
        <v>14</v>
      </c>
      <c r="J279" s="15"/>
      <c r="K279" s="39"/>
    </row>
    <row r="280" spans="3:11" x14ac:dyDescent="0.25">
      <c r="C280" s="17" t="s">
        <v>15</v>
      </c>
      <c r="D280" s="13" t="s">
        <v>16</v>
      </c>
      <c r="E280" s="53"/>
      <c r="F280" s="14"/>
      <c r="G280" s="14"/>
      <c r="H280" s="14"/>
      <c r="J280" s="15"/>
      <c r="K280" s="39"/>
    </row>
    <row r="281" spans="3:11" x14ac:dyDescent="0.3">
      <c r="C281" s="45">
        <v>1</v>
      </c>
      <c r="D281" s="13" t="s">
        <v>18</v>
      </c>
      <c r="E281" s="12" t="s">
        <v>19</v>
      </c>
      <c r="F281" s="49">
        <v>0.14299999999999999</v>
      </c>
      <c r="G281" s="19">
        <f>VLOOKUP(D281,upahbahan,3,FALSE)</f>
        <v>100000</v>
      </c>
      <c r="H281" s="19">
        <f t="shared" ref="H281:H284" si="29">F281*G281</f>
        <v>14299.999999999998</v>
      </c>
      <c r="J281" s="15"/>
      <c r="K281" s="39"/>
    </row>
    <row r="282" spans="3:11" x14ac:dyDescent="0.3">
      <c r="C282" s="45">
        <v>2</v>
      </c>
      <c r="D282" s="13" t="str">
        <f>D265</f>
        <v>Tukang listrik</v>
      </c>
      <c r="E282" s="12" t="s">
        <v>19</v>
      </c>
      <c r="F282" s="49">
        <v>0.23899999999999999</v>
      </c>
      <c r="G282" s="19">
        <f>VLOOKUP(D282,upahbahan,3,FALSE)</f>
        <v>145000</v>
      </c>
      <c r="H282" s="19">
        <f t="shared" si="29"/>
        <v>34655</v>
      </c>
      <c r="J282" s="15"/>
      <c r="K282" s="39"/>
    </row>
    <row r="283" spans="3:11" x14ac:dyDescent="0.3">
      <c r="C283" s="45">
        <v>3</v>
      </c>
      <c r="D283" s="13" t="s">
        <v>22</v>
      </c>
      <c r="E283" s="12" t="s">
        <v>19</v>
      </c>
      <c r="F283" s="49">
        <v>2.4E-2</v>
      </c>
      <c r="G283" s="19">
        <f>VLOOKUP(D283,upahbahan,3,FALSE)</f>
        <v>175000</v>
      </c>
      <c r="H283" s="19">
        <f t="shared" si="29"/>
        <v>4200</v>
      </c>
      <c r="J283" s="15"/>
      <c r="K283" s="39"/>
    </row>
    <row r="284" spans="3:11" x14ac:dyDescent="0.3">
      <c r="C284" s="45">
        <v>4</v>
      </c>
      <c r="D284" s="13" t="s">
        <v>23</v>
      </c>
      <c r="E284" s="12" t="s">
        <v>19</v>
      </c>
      <c r="F284" s="49">
        <v>8.0000000000000002E-3</v>
      </c>
      <c r="G284" s="19">
        <f>VLOOKUP(D284,upahbahan,3,FALSE)</f>
        <v>200000</v>
      </c>
      <c r="H284" s="19">
        <f t="shared" si="29"/>
        <v>1600</v>
      </c>
      <c r="J284" s="15"/>
      <c r="K284" s="39"/>
    </row>
    <row r="285" spans="3:11" x14ac:dyDescent="0.3">
      <c r="C285" s="21" t="s">
        <v>24</v>
      </c>
      <c r="D285" s="22"/>
      <c r="E285" s="22"/>
      <c r="F285" s="23"/>
      <c r="G285" s="24"/>
      <c r="H285" s="19">
        <f>SUM(H281:H284)</f>
        <v>54755</v>
      </c>
      <c r="I285" s="25"/>
      <c r="J285" s="15"/>
      <c r="K285" s="39"/>
    </row>
    <row r="286" spans="3:11" x14ac:dyDescent="0.25">
      <c r="C286" s="12" t="s">
        <v>25</v>
      </c>
      <c r="D286" s="13" t="s">
        <v>26</v>
      </c>
      <c r="E286" s="14"/>
      <c r="F286" s="14"/>
      <c r="G286" s="14"/>
      <c r="H286" s="14"/>
      <c r="J286" s="15"/>
      <c r="K286" s="39"/>
    </row>
    <row r="287" spans="3:11" x14ac:dyDescent="0.3">
      <c r="C287" s="16">
        <v>1</v>
      </c>
      <c r="D287" s="26" t="s">
        <v>86</v>
      </c>
      <c r="E287" s="12" t="s">
        <v>28</v>
      </c>
      <c r="F287" s="18">
        <f>F270</f>
        <v>1.1499999999999999</v>
      </c>
      <c r="G287" s="19">
        <f>VLOOKUP(D287,upahbahan,3,FALSE)</f>
        <v>1245000</v>
      </c>
      <c r="H287" s="19">
        <f t="shared" ref="H287" si="30">F287*G287</f>
        <v>1431750</v>
      </c>
      <c r="J287" s="15"/>
      <c r="K287" s="39"/>
    </row>
    <row r="288" spans="3:11" x14ac:dyDescent="0.3">
      <c r="C288" s="21" t="s">
        <v>29</v>
      </c>
      <c r="D288" s="22"/>
      <c r="E288" s="22"/>
      <c r="F288" s="22"/>
      <c r="G288" s="28"/>
      <c r="H288" s="19">
        <f>SUM(H287:H287)</f>
        <v>1431750</v>
      </c>
      <c r="J288" s="15"/>
      <c r="K288" s="39"/>
    </row>
    <row r="289" spans="3:11" x14ac:dyDescent="0.25">
      <c r="C289" s="12" t="s">
        <v>30</v>
      </c>
      <c r="D289" s="13" t="s">
        <v>31</v>
      </c>
      <c r="E289" s="14"/>
      <c r="F289" s="14"/>
      <c r="G289" s="14"/>
      <c r="H289" s="14"/>
      <c r="J289" s="15"/>
      <c r="K289" s="39"/>
    </row>
    <row r="290" spans="3:11" x14ac:dyDescent="0.3">
      <c r="C290" s="21" t="s">
        <v>32</v>
      </c>
      <c r="D290" s="22"/>
      <c r="E290" s="22"/>
      <c r="F290" s="22"/>
      <c r="G290" s="28"/>
      <c r="H290" s="29">
        <v>0</v>
      </c>
      <c r="J290" s="15"/>
      <c r="K290" s="39"/>
    </row>
    <row r="291" spans="3:11" x14ac:dyDescent="0.3">
      <c r="C291" s="30" t="s">
        <v>33</v>
      </c>
      <c r="D291" s="31" t="s">
        <v>34</v>
      </c>
      <c r="E291" s="32"/>
      <c r="F291" s="32"/>
      <c r="G291" s="33"/>
      <c r="H291" s="46">
        <f>H290+H288+H285</f>
        <v>1486505</v>
      </c>
      <c r="I291" s="47"/>
      <c r="J291" s="15"/>
      <c r="K291" s="39"/>
    </row>
    <row r="292" spans="3:11" x14ac:dyDescent="0.3">
      <c r="C292" s="30" t="s">
        <v>35</v>
      </c>
      <c r="D292" s="31" t="s">
        <v>36</v>
      </c>
      <c r="E292" s="32"/>
      <c r="F292" s="33"/>
      <c r="G292" s="34">
        <f>$M$9</f>
        <v>0.1</v>
      </c>
      <c r="H292" s="19">
        <f>H291*G292</f>
        <v>148650.5</v>
      </c>
      <c r="I292" s="47"/>
      <c r="J292" s="15"/>
      <c r="K292" s="39"/>
    </row>
    <row r="293" spans="3:11" x14ac:dyDescent="0.3">
      <c r="C293" s="30" t="s">
        <v>37</v>
      </c>
      <c r="D293" s="31" t="s">
        <v>38</v>
      </c>
      <c r="E293" s="32"/>
      <c r="F293" s="32"/>
      <c r="G293" s="33"/>
      <c r="H293" s="48">
        <f>SUM(H291:H292)</f>
        <v>1635155.5</v>
      </c>
      <c r="I293" s="47"/>
      <c r="J293" s="15"/>
      <c r="K293" s="39"/>
    </row>
    <row r="294" spans="3:11" x14ac:dyDescent="0.3">
      <c r="C294" s="50"/>
      <c r="D294" s="51"/>
      <c r="E294" s="51"/>
      <c r="F294" s="51"/>
      <c r="G294" s="51"/>
      <c r="H294" s="52"/>
      <c r="J294" s="15"/>
      <c r="K294" s="39"/>
    </row>
    <row r="295" spans="3:11" x14ac:dyDescent="0.3">
      <c r="C295" s="40" t="s">
        <v>87</v>
      </c>
      <c r="D295" s="8" t="s">
        <v>88</v>
      </c>
      <c r="E295" s="44"/>
      <c r="F295" s="44"/>
      <c r="G295" s="44"/>
      <c r="H295" s="44"/>
      <c r="I295" s="10">
        <f>ROUNDDOWN(H310,0)</f>
        <v>25190</v>
      </c>
      <c r="J295" s="15"/>
      <c r="K295" s="39"/>
    </row>
    <row r="296" spans="3:11" ht="27.6" x14ac:dyDescent="0.3">
      <c r="C296" s="11" t="s">
        <v>9</v>
      </c>
      <c r="D296" s="11" t="s">
        <v>10</v>
      </c>
      <c r="E296" s="11" t="s">
        <v>11</v>
      </c>
      <c r="F296" s="11" t="s">
        <v>12</v>
      </c>
      <c r="G296" s="11" t="s">
        <v>13</v>
      </c>
      <c r="H296" s="11" t="s">
        <v>14</v>
      </c>
      <c r="J296" s="15"/>
      <c r="K296" s="39"/>
    </row>
    <row r="297" spans="3:11" x14ac:dyDescent="0.25">
      <c r="C297" s="17" t="s">
        <v>15</v>
      </c>
      <c r="D297" s="13" t="s">
        <v>16</v>
      </c>
      <c r="E297" s="14"/>
      <c r="F297" s="14"/>
      <c r="G297" s="14"/>
      <c r="H297" s="14"/>
      <c r="J297" s="15"/>
      <c r="K297" s="39"/>
    </row>
    <row r="298" spans="3:11" x14ac:dyDescent="0.3">
      <c r="C298" s="45">
        <v>1</v>
      </c>
      <c r="D298" s="13" t="s">
        <v>18</v>
      </c>
      <c r="E298" s="17" t="s">
        <v>19</v>
      </c>
      <c r="F298" s="18">
        <v>2.4E-2</v>
      </c>
      <c r="G298" s="19">
        <f>VLOOKUP(D298,upahbahan,3,FALSE)</f>
        <v>100000</v>
      </c>
      <c r="H298" s="19">
        <f t="shared" ref="H298:H301" si="31">F298*G298</f>
        <v>2400</v>
      </c>
      <c r="J298" s="15"/>
      <c r="K298" s="39"/>
    </row>
    <row r="299" spans="3:11" x14ac:dyDescent="0.3">
      <c r="C299" s="45">
        <v>2</v>
      </c>
      <c r="D299" s="13" t="str">
        <f>D282</f>
        <v>Tukang listrik</v>
      </c>
      <c r="E299" s="17" t="s">
        <v>19</v>
      </c>
      <c r="F299" s="18">
        <v>0.04</v>
      </c>
      <c r="G299" s="19">
        <f>VLOOKUP(D299,upahbahan,3,FALSE)</f>
        <v>145000</v>
      </c>
      <c r="H299" s="19">
        <f t="shared" si="31"/>
        <v>5800</v>
      </c>
      <c r="J299" s="15"/>
      <c r="K299" s="39"/>
    </row>
    <row r="300" spans="3:11" x14ac:dyDescent="0.3">
      <c r="C300" s="45">
        <v>3</v>
      </c>
      <c r="D300" s="13" t="s">
        <v>22</v>
      </c>
      <c r="E300" s="17" t="s">
        <v>19</v>
      </c>
      <c r="F300" s="18">
        <v>4.0000000000000001E-3</v>
      </c>
      <c r="G300" s="19">
        <f>VLOOKUP(D300,upahbahan,3,FALSE)</f>
        <v>175000</v>
      </c>
      <c r="H300" s="19">
        <f t="shared" si="31"/>
        <v>700</v>
      </c>
      <c r="J300" s="15"/>
      <c r="K300" s="39"/>
    </row>
    <row r="301" spans="3:11" x14ac:dyDescent="0.3">
      <c r="C301" s="45">
        <v>4</v>
      </c>
      <c r="D301" s="13" t="s">
        <v>23</v>
      </c>
      <c r="E301" s="17" t="s">
        <v>19</v>
      </c>
      <c r="F301" s="18">
        <v>1E-3</v>
      </c>
      <c r="G301" s="19">
        <f>VLOOKUP(D301,upahbahan,3,FALSE)</f>
        <v>200000</v>
      </c>
      <c r="H301" s="19">
        <f t="shared" si="31"/>
        <v>200</v>
      </c>
      <c r="J301" s="15"/>
      <c r="K301" s="39"/>
    </row>
    <row r="302" spans="3:11" x14ac:dyDescent="0.3">
      <c r="C302" s="21" t="s">
        <v>24</v>
      </c>
      <c r="D302" s="22"/>
      <c r="E302" s="22"/>
      <c r="F302" s="54"/>
      <c r="G302" s="24"/>
      <c r="H302" s="19">
        <f>SUM(H298:H301)</f>
        <v>9100</v>
      </c>
      <c r="I302" s="25"/>
      <c r="J302" s="15"/>
      <c r="K302" s="39"/>
    </row>
    <row r="303" spans="3:11" x14ac:dyDescent="0.25">
      <c r="C303" s="17" t="s">
        <v>25</v>
      </c>
      <c r="D303" s="13" t="s">
        <v>26</v>
      </c>
      <c r="E303" s="14"/>
      <c r="F303" s="55"/>
      <c r="G303" s="14"/>
      <c r="H303" s="14"/>
      <c r="J303" s="15"/>
      <c r="K303" s="39"/>
    </row>
    <row r="304" spans="3:11" x14ac:dyDescent="0.3">
      <c r="C304" s="45">
        <v>1</v>
      </c>
      <c r="D304" s="26" t="s">
        <v>89</v>
      </c>
      <c r="E304" s="27" t="s">
        <v>28</v>
      </c>
      <c r="F304" s="18">
        <v>1.1499999999999999</v>
      </c>
      <c r="G304" s="19">
        <f>VLOOKUP(D304,upahbahan,3,FALSE)</f>
        <v>12000</v>
      </c>
      <c r="H304" s="19">
        <f t="shared" ref="H304" si="32">F304*G304</f>
        <v>13799.999999999998</v>
      </c>
      <c r="J304" s="15"/>
      <c r="K304" s="39"/>
    </row>
    <row r="305" spans="3:11" x14ac:dyDescent="0.3">
      <c r="C305" s="21" t="s">
        <v>29</v>
      </c>
      <c r="D305" s="22"/>
      <c r="E305" s="22"/>
      <c r="F305" s="22"/>
      <c r="G305" s="28"/>
      <c r="H305" s="19">
        <f>SUM(H304:H304)</f>
        <v>13799.999999999998</v>
      </c>
      <c r="J305" s="15"/>
      <c r="K305" s="39"/>
    </row>
    <row r="306" spans="3:11" x14ac:dyDescent="0.25">
      <c r="C306" s="12" t="s">
        <v>30</v>
      </c>
      <c r="D306" s="13" t="s">
        <v>31</v>
      </c>
      <c r="E306" s="14"/>
      <c r="F306" s="14"/>
      <c r="G306" s="14"/>
      <c r="H306" s="14"/>
      <c r="J306" s="15"/>
      <c r="K306" s="39"/>
    </row>
    <row r="307" spans="3:11" x14ac:dyDescent="0.3">
      <c r="C307" s="21" t="s">
        <v>32</v>
      </c>
      <c r="D307" s="22"/>
      <c r="E307" s="22"/>
      <c r="F307" s="22"/>
      <c r="G307" s="28"/>
      <c r="H307" s="29">
        <v>0</v>
      </c>
      <c r="J307" s="15"/>
      <c r="K307" s="39"/>
    </row>
    <row r="308" spans="3:11" x14ac:dyDescent="0.3">
      <c r="C308" s="30" t="s">
        <v>33</v>
      </c>
      <c r="D308" s="31" t="s">
        <v>34</v>
      </c>
      <c r="E308" s="32"/>
      <c r="F308" s="32"/>
      <c r="G308" s="33"/>
      <c r="H308" s="46">
        <f>H307+H305+H302</f>
        <v>22900</v>
      </c>
      <c r="I308" s="47"/>
      <c r="J308" s="15"/>
      <c r="K308" s="39"/>
    </row>
    <row r="309" spans="3:11" x14ac:dyDescent="0.3">
      <c r="C309" s="30" t="s">
        <v>35</v>
      </c>
      <c r="D309" s="31" t="s">
        <v>36</v>
      </c>
      <c r="E309" s="32"/>
      <c r="F309" s="33"/>
      <c r="G309" s="34">
        <f>$M$9</f>
        <v>0.1</v>
      </c>
      <c r="H309" s="19">
        <f>H308*G309</f>
        <v>2290</v>
      </c>
      <c r="I309" s="47"/>
      <c r="J309" s="15"/>
      <c r="K309" s="39"/>
    </row>
    <row r="310" spans="3:11" x14ac:dyDescent="0.3">
      <c r="C310" s="30" t="s">
        <v>37</v>
      </c>
      <c r="D310" s="31" t="s">
        <v>38</v>
      </c>
      <c r="E310" s="32"/>
      <c r="F310" s="32"/>
      <c r="G310" s="33"/>
      <c r="H310" s="48">
        <f>SUM(H308:H309)</f>
        <v>25190</v>
      </c>
      <c r="I310" s="47"/>
      <c r="J310" s="15"/>
      <c r="K310" s="39"/>
    </row>
    <row r="311" spans="3:11" x14ac:dyDescent="0.3">
      <c r="C311" s="36"/>
      <c r="D311" s="37"/>
      <c r="E311" s="37"/>
      <c r="F311" s="37"/>
      <c r="G311" s="37"/>
      <c r="H311" s="38"/>
      <c r="J311" s="15"/>
      <c r="K311" s="39"/>
    </row>
    <row r="312" spans="3:11" x14ac:dyDescent="0.3">
      <c r="C312" s="40" t="s">
        <v>90</v>
      </c>
      <c r="D312" s="8" t="s">
        <v>91</v>
      </c>
      <c r="E312" s="44"/>
      <c r="F312" s="44"/>
      <c r="G312" s="44"/>
      <c r="H312" s="44"/>
      <c r="I312" s="10">
        <f>ROUNDDOWN(H327,0)</f>
        <v>30958</v>
      </c>
      <c r="J312" s="15"/>
      <c r="K312" s="39"/>
    </row>
    <row r="313" spans="3:11" ht="27.6" x14ac:dyDescent="0.3">
      <c r="C313" s="11" t="s">
        <v>9</v>
      </c>
      <c r="D313" s="11" t="s">
        <v>10</v>
      </c>
      <c r="E313" s="11" t="s">
        <v>11</v>
      </c>
      <c r="F313" s="11" t="s">
        <v>12</v>
      </c>
      <c r="G313" s="11" t="s">
        <v>13</v>
      </c>
      <c r="H313" s="11" t="s">
        <v>14</v>
      </c>
      <c r="J313" s="15"/>
      <c r="K313" s="39"/>
    </row>
    <row r="314" spans="3:11" x14ac:dyDescent="0.25">
      <c r="C314" s="17" t="s">
        <v>15</v>
      </c>
      <c r="D314" s="13" t="s">
        <v>16</v>
      </c>
      <c r="E314" s="14"/>
      <c r="F314" s="14"/>
      <c r="G314" s="14"/>
      <c r="H314" s="14"/>
      <c r="J314" s="15"/>
      <c r="K314" s="39"/>
    </row>
    <row r="315" spans="3:11" x14ac:dyDescent="0.3">
      <c r="C315" s="45">
        <v>1</v>
      </c>
      <c r="D315" s="13" t="s">
        <v>18</v>
      </c>
      <c r="E315" s="17" t="s">
        <v>19</v>
      </c>
      <c r="F315" s="18">
        <v>2.4E-2</v>
      </c>
      <c r="G315" s="19">
        <f>VLOOKUP(D315,upahbahan,3,FALSE)</f>
        <v>100000</v>
      </c>
      <c r="H315" s="19">
        <f t="shared" ref="H315:H318" si="33">F315*G315</f>
        <v>2400</v>
      </c>
      <c r="J315" s="15"/>
      <c r="K315" s="39"/>
    </row>
    <row r="316" spans="3:11" x14ac:dyDescent="0.3">
      <c r="C316" s="45">
        <v>2</v>
      </c>
      <c r="D316" s="13" t="str">
        <f>D299</f>
        <v>Tukang listrik</v>
      </c>
      <c r="E316" s="17" t="s">
        <v>19</v>
      </c>
      <c r="F316" s="18">
        <v>0.04</v>
      </c>
      <c r="G316" s="19">
        <f>VLOOKUP(D316,upahbahan,3,FALSE)</f>
        <v>145000</v>
      </c>
      <c r="H316" s="19">
        <f t="shared" si="33"/>
        <v>5800</v>
      </c>
      <c r="J316" s="15"/>
      <c r="K316" s="39"/>
    </row>
    <row r="317" spans="3:11" x14ac:dyDescent="0.3">
      <c r="C317" s="45">
        <v>3</v>
      </c>
      <c r="D317" s="13" t="s">
        <v>22</v>
      </c>
      <c r="E317" s="17" t="s">
        <v>19</v>
      </c>
      <c r="F317" s="18">
        <v>4.0000000000000001E-3</v>
      </c>
      <c r="G317" s="19">
        <f>VLOOKUP(D317,upahbahan,3,FALSE)</f>
        <v>175000</v>
      </c>
      <c r="H317" s="19">
        <f t="shared" si="33"/>
        <v>700</v>
      </c>
      <c r="J317" s="15"/>
      <c r="K317" s="39"/>
    </row>
    <row r="318" spans="3:11" x14ac:dyDescent="0.3">
      <c r="C318" s="45">
        <v>4</v>
      </c>
      <c r="D318" s="13" t="s">
        <v>23</v>
      </c>
      <c r="E318" s="17" t="s">
        <v>19</v>
      </c>
      <c r="F318" s="18">
        <v>1E-3</v>
      </c>
      <c r="G318" s="19">
        <f>VLOOKUP(D318,upahbahan,3,FALSE)</f>
        <v>200000</v>
      </c>
      <c r="H318" s="19">
        <f t="shared" si="33"/>
        <v>200</v>
      </c>
      <c r="J318" s="15"/>
      <c r="K318" s="39"/>
    </row>
    <row r="319" spans="3:11" x14ac:dyDescent="0.3">
      <c r="C319" s="21" t="s">
        <v>24</v>
      </c>
      <c r="D319" s="22"/>
      <c r="E319" s="22"/>
      <c r="F319" s="54"/>
      <c r="G319" s="24"/>
      <c r="H319" s="19">
        <f>SUM(H315:H318)</f>
        <v>9100</v>
      </c>
      <c r="I319" s="25"/>
      <c r="J319" s="15"/>
      <c r="K319" s="39"/>
    </row>
    <row r="320" spans="3:11" x14ac:dyDescent="0.25">
      <c r="C320" s="17" t="s">
        <v>25</v>
      </c>
      <c r="D320" s="13" t="s">
        <v>26</v>
      </c>
      <c r="E320" s="14"/>
      <c r="F320" s="55"/>
      <c r="G320" s="14"/>
      <c r="H320" s="14"/>
      <c r="J320" s="15"/>
      <c r="K320" s="39"/>
    </row>
    <row r="321" spans="3:11" x14ac:dyDescent="0.3">
      <c r="C321" s="45">
        <v>1</v>
      </c>
      <c r="D321" s="26" t="s">
        <v>92</v>
      </c>
      <c r="E321" s="27" t="s">
        <v>28</v>
      </c>
      <c r="F321" s="18">
        <v>1.1499999999999999</v>
      </c>
      <c r="G321" s="19">
        <f>VLOOKUP(D321,upahbahan,3,FALSE)</f>
        <v>16560</v>
      </c>
      <c r="H321" s="19">
        <f>F321*G321</f>
        <v>19044</v>
      </c>
      <c r="J321" s="15"/>
      <c r="K321" s="39"/>
    </row>
    <row r="322" spans="3:11" x14ac:dyDescent="0.3">
      <c r="C322" s="21" t="s">
        <v>29</v>
      </c>
      <c r="D322" s="22"/>
      <c r="E322" s="22"/>
      <c r="F322" s="22"/>
      <c r="G322" s="28"/>
      <c r="H322" s="19">
        <f>SUM(H321:H321)</f>
        <v>19044</v>
      </c>
      <c r="J322" s="15"/>
      <c r="K322" s="39"/>
    </row>
    <row r="323" spans="3:11" x14ac:dyDescent="0.25">
      <c r="C323" s="12" t="s">
        <v>30</v>
      </c>
      <c r="D323" s="13" t="s">
        <v>31</v>
      </c>
      <c r="E323" s="14"/>
      <c r="F323" s="14"/>
      <c r="G323" s="14"/>
      <c r="H323" s="14"/>
      <c r="J323" s="15"/>
      <c r="K323" s="39"/>
    </row>
    <row r="324" spans="3:11" x14ac:dyDescent="0.3">
      <c r="C324" s="21" t="s">
        <v>32</v>
      </c>
      <c r="D324" s="22"/>
      <c r="E324" s="22"/>
      <c r="F324" s="22"/>
      <c r="G324" s="28"/>
      <c r="H324" s="29">
        <v>0</v>
      </c>
      <c r="J324" s="15"/>
      <c r="K324" s="39"/>
    </row>
    <row r="325" spans="3:11" x14ac:dyDescent="0.3">
      <c r="C325" s="30" t="s">
        <v>33</v>
      </c>
      <c r="D325" s="31" t="s">
        <v>34</v>
      </c>
      <c r="E325" s="32"/>
      <c r="F325" s="32"/>
      <c r="G325" s="33"/>
      <c r="H325" s="46">
        <f>H324+H322+H319</f>
        <v>28144</v>
      </c>
      <c r="I325" s="47"/>
      <c r="J325" s="15"/>
      <c r="K325" s="39"/>
    </row>
    <row r="326" spans="3:11" x14ac:dyDescent="0.3">
      <c r="C326" s="30" t="s">
        <v>35</v>
      </c>
      <c r="D326" s="31" t="s">
        <v>36</v>
      </c>
      <c r="E326" s="32"/>
      <c r="F326" s="33"/>
      <c r="G326" s="34">
        <f>$M$9</f>
        <v>0.1</v>
      </c>
      <c r="H326" s="19">
        <f>H325*G326</f>
        <v>2814.4</v>
      </c>
      <c r="I326" s="47"/>
      <c r="J326" s="15"/>
      <c r="K326" s="39"/>
    </row>
    <row r="327" spans="3:11" x14ac:dyDescent="0.3">
      <c r="C327" s="30" t="s">
        <v>37</v>
      </c>
      <c r="D327" s="31" t="s">
        <v>38</v>
      </c>
      <c r="E327" s="32"/>
      <c r="F327" s="32"/>
      <c r="G327" s="33"/>
      <c r="H327" s="48">
        <f>SUM(H325:H326)</f>
        <v>30958.400000000001</v>
      </c>
      <c r="I327" s="47"/>
      <c r="J327" s="15"/>
      <c r="K327" s="39"/>
    </row>
    <row r="328" spans="3:11" x14ac:dyDescent="0.3">
      <c r="C328" s="50"/>
      <c r="D328" s="51"/>
      <c r="E328" s="51"/>
      <c r="F328" s="51"/>
      <c r="G328" s="51"/>
      <c r="H328" s="52"/>
      <c r="J328" s="15"/>
      <c r="K328" s="39"/>
    </row>
    <row r="329" spans="3:11" x14ac:dyDescent="0.3">
      <c r="C329" s="40" t="s">
        <v>93</v>
      </c>
      <c r="D329" s="8" t="s">
        <v>94</v>
      </c>
      <c r="E329" s="44"/>
      <c r="F329" s="44"/>
      <c r="G329" s="44"/>
      <c r="H329" s="44"/>
      <c r="I329" s="10">
        <f>ROUNDDOWN(H344,0)</f>
        <v>39105</v>
      </c>
      <c r="J329" s="15"/>
      <c r="K329" s="39"/>
    </row>
    <row r="330" spans="3:11" ht="27.6" x14ac:dyDescent="0.3">
      <c r="C330" s="11" t="s">
        <v>9</v>
      </c>
      <c r="D330" s="11" t="s">
        <v>10</v>
      </c>
      <c r="E330" s="11" t="s">
        <v>11</v>
      </c>
      <c r="F330" s="11" t="s">
        <v>12</v>
      </c>
      <c r="G330" s="11" t="s">
        <v>13</v>
      </c>
      <c r="H330" s="11" t="s">
        <v>14</v>
      </c>
      <c r="J330" s="15"/>
      <c r="K330" s="39"/>
    </row>
    <row r="331" spans="3:11" x14ac:dyDescent="0.25">
      <c r="C331" s="17" t="s">
        <v>15</v>
      </c>
      <c r="D331" s="13" t="s">
        <v>16</v>
      </c>
      <c r="E331" s="14"/>
      <c r="F331" s="14"/>
      <c r="G331" s="14"/>
      <c r="H331" s="14"/>
      <c r="J331" s="15"/>
      <c r="K331" s="39"/>
    </row>
    <row r="332" spans="3:11" x14ac:dyDescent="0.3">
      <c r="C332" s="45">
        <v>1</v>
      </c>
      <c r="D332" s="13" t="s">
        <v>18</v>
      </c>
      <c r="E332" s="17" t="s">
        <v>19</v>
      </c>
      <c r="F332" s="18">
        <v>2.4E-2</v>
      </c>
      <c r="G332" s="19">
        <f>VLOOKUP(D332,upahbahan,3,FALSE)</f>
        <v>100000</v>
      </c>
      <c r="H332" s="19">
        <f t="shared" ref="H332:H335" si="34">F332*G332</f>
        <v>2400</v>
      </c>
      <c r="J332" s="15"/>
      <c r="K332" s="39"/>
    </row>
    <row r="333" spans="3:11" x14ac:dyDescent="0.3">
      <c r="C333" s="45">
        <v>2</v>
      </c>
      <c r="D333" s="13" t="str">
        <f>D316</f>
        <v>Tukang listrik</v>
      </c>
      <c r="E333" s="17" t="s">
        <v>19</v>
      </c>
      <c r="F333" s="18">
        <v>0.04</v>
      </c>
      <c r="G333" s="19">
        <f>VLOOKUP(D333,upahbahan,3,FALSE)</f>
        <v>145000</v>
      </c>
      <c r="H333" s="19">
        <f t="shared" si="34"/>
        <v>5800</v>
      </c>
      <c r="J333" s="15"/>
      <c r="K333" s="39"/>
    </row>
    <row r="334" spans="3:11" x14ac:dyDescent="0.3">
      <c r="C334" s="45">
        <v>3</v>
      </c>
      <c r="D334" s="13" t="s">
        <v>22</v>
      </c>
      <c r="E334" s="17" t="s">
        <v>19</v>
      </c>
      <c r="F334" s="18">
        <v>4.0000000000000001E-3</v>
      </c>
      <c r="G334" s="19">
        <f>VLOOKUP(D334,upahbahan,3,FALSE)</f>
        <v>175000</v>
      </c>
      <c r="H334" s="19">
        <f t="shared" si="34"/>
        <v>700</v>
      </c>
      <c r="J334" s="15"/>
      <c r="K334" s="39"/>
    </row>
    <row r="335" spans="3:11" x14ac:dyDescent="0.3">
      <c r="C335" s="45">
        <v>4</v>
      </c>
      <c r="D335" s="13" t="s">
        <v>23</v>
      </c>
      <c r="E335" s="17" t="s">
        <v>19</v>
      </c>
      <c r="F335" s="18">
        <v>1E-3</v>
      </c>
      <c r="G335" s="19">
        <f>VLOOKUP(D335,upahbahan,3,FALSE)</f>
        <v>200000</v>
      </c>
      <c r="H335" s="19">
        <f t="shared" si="34"/>
        <v>200</v>
      </c>
      <c r="J335" s="15"/>
      <c r="K335" s="39"/>
    </row>
    <row r="336" spans="3:11" x14ac:dyDescent="0.3">
      <c r="C336" s="21" t="s">
        <v>24</v>
      </c>
      <c r="D336" s="22"/>
      <c r="E336" s="22"/>
      <c r="F336" s="54"/>
      <c r="G336" s="24"/>
      <c r="H336" s="19">
        <f>SUM(H332:H335)</f>
        <v>9100</v>
      </c>
      <c r="I336" s="25"/>
      <c r="J336" s="15"/>
      <c r="K336" s="39"/>
    </row>
    <row r="337" spans="3:11" x14ac:dyDescent="0.25">
      <c r="C337" s="17" t="s">
        <v>25</v>
      </c>
      <c r="D337" s="13" t="s">
        <v>26</v>
      </c>
      <c r="E337" s="14"/>
      <c r="F337" s="55"/>
      <c r="G337" s="14"/>
      <c r="H337" s="14"/>
      <c r="J337" s="15"/>
      <c r="K337" s="39"/>
    </row>
    <row r="338" spans="3:11" x14ac:dyDescent="0.3">
      <c r="C338" s="45">
        <v>1</v>
      </c>
      <c r="D338" s="26" t="s">
        <v>95</v>
      </c>
      <c r="E338" s="27" t="s">
        <v>28</v>
      </c>
      <c r="F338" s="18">
        <v>1.1499999999999999</v>
      </c>
      <c r="G338" s="19">
        <f>VLOOKUP(D338,upahbahan,3,FALSE)</f>
        <v>23000</v>
      </c>
      <c r="H338" s="19">
        <f t="shared" ref="H338" si="35">F338*G338</f>
        <v>26449.999999999996</v>
      </c>
      <c r="J338" s="15"/>
      <c r="K338" s="39"/>
    </row>
    <row r="339" spans="3:11" x14ac:dyDescent="0.3">
      <c r="C339" s="21" t="s">
        <v>29</v>
      </c>
      <c r="D339" s="22"/>
      <c r="E339" s="22"/>
      <c r="F339" s="22"/>
      <c r="G339" s="28"/>
      <c r="H339" s="19">
        <f>SUM(H338:H338)</f>
        <v>26449.999999999996</v>
      </c>
      <c r="J339" s="15"/>
      <c r="K339" s="39"/>
    </row>
    <row r="340" spans="3:11" x14ac:dyDescent="0.25">
      <c r="C340" s="12" t="s">
        <v>30</v>
      </c>
      <c r="D340" s="13" t="s">
        <v>31</v>
      </c>
      <c r="E340" s="14"/>
      <c r="F340" s="14"/>
      <c r="G340" s="14"/>
      <c r="H340" s="14"/>
      <c r="J340" s="15"/>
      <c r="K340" s="39"/>
    </row>
    <row r="341" spans="3:11" x14ac:dyDescent="0.3">
      <c r="C341" s="21" t="s">
        <v>32</v>
      </c>
      <c r="D341" s="22"/>
      <c r="E341" s="22"/>
      <c r="F341" s="22"/>
      <c r="G341" s="28"/>
      <c r="H341" s="29">
        <v>0</v>
      </c>
      <c r="J341" s="15"/>
      <c r="K341" s="39"/>
    </row>
    <row r="342" spans="3:11" x14ac:dyDescent="0.3">
      <c r="C342" s="30" t="s">
        <v>33</v>
      </c>
      <c r="D342" s="31" t="s">
        <v>34</v>
      </c>
      <c r="E342" s="32"/>
      <c r="F342" s="32"/>
      <c r="G342" s="33"/>
      <c r="H342" s="46">
        <f>H341+H339+H336</f>
        <v>35550</v>
      </c>
      <c r="I342" s="47"/>
      <c r="J342" s="15"/>
      <c r="K342" s="39"/>
    </row>
    <row r="343" spans="3:11" x14ac:dyDescent="0.3">
      <c r="C343" s="30" t="s">
        <v>35</v>
      </c>
      <c r="D343" s="31" t="s">
        <v>36</v>
      </c>
      <c r="E343" s="32"/>
      <c r="F343" s="33"/>
      <c r="G343" s="34">
        <f>$M$9</f>
        <v>0.1</v>
      </c>
      <c r="H343" s="19">
        <f>H342*G343</f>
        <v>3555</v>
      </c>
      <c r="I343" s="47"/>
      <c r="J343" s="15"/>
      <c r="K343" s="39"/>
    </row>
    <row r="344" spans="3:11" x14ac:dyDescent="0.3">
      <c r="C344" s="30" t="s">
        <v>37</v>
      </c>
      <c r="D344" s="31" t="s">
        <v>38</v>
      </c>
      <c r="E344" s="32"/>
      <c r="F344" s="32"/>
      <c r="G344" s="33"/>
      <c r="H344" s="48">
        <f>SUM(H342:H343)</f>
        <v>39105</v>
      </c>
      <c r="I344" s="47"/>
      <c r="J344" s="15"/>
      <c r="K344" s="39"/>
    </row>
    <row r="345" spans="3:11" x14ac:dyDescent="0.3">
      <c r="C345" s="50"/>
      <c r="D345" s="51"/>
      <c r="E345" s="51"/>
      <c r="F345" s="51"/>
      <c r="G345" s="51"/>
      <c r="H345" s="52"/>
      <c r="J345" s="15"/>
      <c r="K345" s="39"/>
    </row>
    <row r="346" spans="3:11" x14ac:dyDescent="0.3">
      <c r="C346" s="40" t="s">
        <v>96</v>
      </c>
      <c r="D346" s="8" t="s">
        <v>97</v>
      </c>
      <c r="E346" s="44"/>
      <c r="F346" s="44"/>
      <c r="G346" s="44"/>
      <c r="H346" s="44"/>
      <c r="I346" s="10">
        <f>ROUNDDOWN(H361,0)</f>
        <v>54285</v>
      </c>
      <c r="J346" s="15"/>
      <c r="K346" s="39"/>
    </row>
    <row r="347" spans="3:11" ht="27.6" x14ac:dyDescent="0.3">
      <c r="C347" s="11" t="s">
        <v>9</v>
      </c>
      <c r="D347" s="11" t="s">
        <v>10</v>
      </c>
      <c r="E347" s="11" t="s">
        <v>11</v>
      </c>
      <c r="F347" s="11" t="s">
        <v>12</v>
      </c>
      <c r="G347" s="11" t="s">
        <v>13</v>
      </c>
      <c r="H347" s="11" t="s">
        <v>14</v>
      </c>
      <c r="J347" s="15"/>
      <c r="K347" s="39"/>
    </row>
    <row r="348" spans="3:11" x14ac:dyDescent="0.25">
      <c r="C348" s="12" t="s">
        <v>15</v>
      </c>
      <c r="D348" s="13" t="s">
        <v>16</v>
      </c>
      <c r="E348" s="14"/>
      <c r="F348" s="14"/>
      <c r="G348" s="14"/>
      <c r="H348" s="14"/>
      <c r="J348" s="15"/>
      <c r="K348" s="39"/>
    </row>
    <row r="349" spans="3:11" x14ac:dyDescent="0.3">
      <c r="C349" s="16">
        <v>1</v>
      </c>
      <c r="D349" s="13" t="s">
        <v>18</v>
      </c>
      <c r="E349" s="17" t="s">
        <v>19</v>
      </c>
      <c r="F349" s="18">
        <v>2.4E-2</v>
      </c>
      <c r="G349" s="19">
        <f>VLOOKUP(D349,upahbahan,3,FALSE)</f>
        <v>100000</v>
      </c>
      <c r="H349" s="19">
        <f t="shared" ref="H349:H352" si="36">F349*G349</f>
        <v>2400</v>
      </c>
      <c r="J349" s="15"/>
      <c r="K349" s="39"/>
    </row>
    <row r="350" spans="3:11" x14ac:dyDescent="0.3">
      <c r="C350" s="16">
        <v>2</v>
      </c>
      <c r="D350" s="13" t="str">
        <f>D333</f>
        <v>Tukang listrik</v>
      </c>
      <c r="E350" s="17" t="s">
        <v>19</v>
      </c>
      <c r="F350" s="18">
        <v>0.04</v>
      </c>
      <c r="G350" s="19">
        <f>VLOOKUP(D350,upahbahan,3,FALSE)</f>
        <v>145000</v>
      </c>
      <c r="H350" s="19">
        <f t="shared" si="36"/>
        <v>5800</v>
      </c>
      <c r="J350" s="15"/>
      <c r="K350" s="39"/>
    </row>
    <row r="351" spans="3:11" x14ac:dyDescent="0.3">
      <c r="C351" s="16">
        <v>3</v>
      </c>
      <c r="D351" s="13" t="s">
        <v>22</v>
      </c>
      <c r="E351" s="17" t="s">
        <v>19</v>
      </c>
      <c r="F351" s="18">
        <v>4.0000000000000001E-3</v>
      </c>
      <c r="G351" s="19">
        <f>VLOOKUP(D351,upahbahan,3,FALSE)</f>
        <v>175000</v>
      </c>
      <c r="H351" s="19">
        <f t="shared" si="36"/>
        <v>700</v>
      </c>
      <c r="J351" s="15"/>
      <c r="K351" s="39"/>
    </row>
    <row r="352" spans="3:11" x14ac:dyDescent="0.3">
      <c r="C352" s="16">
        <v>4</v>
      </c>
      <c r="D352" s="13" t="s">
        <v>23</v>
      </c>
      <c r="E352" s="17" t="s">
        <v>19</v>
      </c>
      <c r="F352" s="18">
        <v>1E-3</v>
      </c>
      <c r="G352" s="19">
        <f>VLOOKUP(D352,upahbahan,3,FALSE)</f>
        <v>200000</v>
      </c>
      <c r="H352" s="19">
        <f t="shared" si="36"/>
        <v>200</v>
      </c>
      <c r="J352" s="15"/>
      <c r="K352" s="39"/>
    </row>
    <row r="353" spans="3:11" x14ac:dyDescent="0.3">
      <c r="C353" s="21" t="s">
        <v>24</v>
      </c>
      <c r="D353" s="22"/>
      <c r="E353" s="22"/>
      <c r="F353" s="54"/>
      <c r="G353" s="24"/>
      <c r="H353" s="19">
        <f>SUM(H349:H352)</f>
        <v>9100</v>
      </c>
      <c r="I353" s="25"/>
      <c r="J353" s="15"/>
      <c r="K353" s="39"/>
    </row>
    <row r="354" spans="3:11" x14ac:dyDescent="0.25">
      <c r="C354" s="12" t="s">
        <v>25</v>
      </c>
      <c r="D354" s="13" t="s">
        <v>26</v>
      </c>
      <c r="E354" s="14"/>
      <c r="F354" s="55"/>
      <c r="G354" s="14"/>
      <c r="H354" s="14"/>
      <c r="J354" s="15"/>
      <c r="K354" s="39"/>
    </row>
    <row r="355" spans="3:11" x14ac:dyDescent="0.3">
      <c r="C355" s="16">
        <v>1</v>
      </c>
      <c r="D355" s="26" t="s">
        <v>98</v>
      </c>
      <c r="E355" s="27" t="s">
        <v>28</v>
      </c>
      <c r="F355" s="18">
        <v>1.1499999999999999</v>
      </c>
      <c r="G355" s="19">
        <f>VLOOKUP(D355,upahbahan,3,FALSE)</f>
        <v>35000</v>
      </c>
      <c r="H355" s="19">
        <f t="shared" ref="H355" si="37">F355*G355</f>
        <v>40250</v>
      </c>
      <c r="J355" s="15"/>
      <c r="K355" s="39"/>
    </row>
    <row r="356" spans="3:11" x14ac:dyDescent="0.3">
      <c r="C356" s="21" t="s">
        <v>29</v>
      </c>
      <c r="D356" s="22"/>
      <c r="E356" s="22"/>
      <c r="F356" s="22"/>
      <c r="G356" s="28"/>
      <c r="H356" s="19">
        <f>SUM(H355:H355)</f>
        <v>40250</v>
      </c>
      <c r="J356" s="15"/>
      <c r="K356" s="39"/>
    </row>
    <row r="357" spans="3:11" x14ac:dyDescent="0.25">
      <c r="C357" s="12" t="s">
        <v>30</v>
      </c>
      <c r="D357" s="13" t="s">
        <v>31</v>
      </c>
      <c r="E357" s="14"/>
      <c r="F357" s="14"/>
      <c r="G357" s="14"/>
      <c r="H357" s="14"/>
      <c r="J357" s="15"/>
      <c r="K357" s="39"/>
    </row>
    <row r="358" spans="3:11" x14ac:dyDescent="0.3">
      <c r="C358" s="21" t="s">
        <v>32</v>
      </c>
      <c r="D358" s="22"/>
      <c r="E358" s="22"/>
      <c r="F358" s="22"/>
      <c r="G358" s="28"/>
      <c r="H358" s="29">
        <v>0</v>
      </c>
      <c r="J358" s="15"/>
      <c r="K358" s="39"/>
    </row>
    <row r="359" spans="3:11" x14ac:dyDescent="0.3">
      <c r="C359" s="30" t="s">
        <v>33</v>
      </c>
      <c r="D359" s="31" t="s">
        <v>34</v>
      </c>
      <c r="E359" s="32"/>
      <c r="F359" s="32"/>
      <c r="G359" s="33"/>
      <c r="H359" s="46">
        <f>H358+H356+H353</f>
        <v>49350</v>
      </c>
      <c r="I359" s="47"/>
      <c r="J359" s="15"/>
      <c r="K359" s="39"/>
    </row>
    <row r="360" spans="3:11" x14ac:dyDescent="0.3">
      <c r="C360" s="30" t="s">
        <v>35</v>
      </c>
      <c r="D360" s="31" t="s">
        <v>36</v>
      </c>
      <c r="E360" s="32"/>
      <c r="F360" s="33"/>
      <c r="G360" s="34">
        <f>$M$9</f>
        <v>0.1</v>
      </c>
      <c r="H360" s="19">
        <f>H359*G360</f>
        <v>4935</v>
      </c>
      <c r="I360" s="47"/>
      <c r="J360" s="15"/>
      <c r="K360" s="39"/>
    </row>
    <row r="361" spans="3:11" x14ac:dyDescent="0.3">
      <c r="C361" s="30" t="s">
        <v>37</v>
      </c>
      <c r="D361" s="31" t="s">
        <v>38</v>
      </c>
      <c r="E361" s="32"/>
      <c r="F361" s="32"/>
      <c r="G361" s="33"/>
      <c r="H361" s="48">
        <f>SUM(H359:H360)</f>
        <v>54285</v>
      </c>
      <c r="I361" s="47"/>
      <c r="J361" s="15"/>
      <c r="K361" s="39"/>
    </row>
    <row r="362" spans="3:11" x14ac:dyDescent="0.3">
      <c r="C362" s="50"/>
      <c r="D362" s="51"/>
      <c r="E362" s="51"/>
      <c r="F362" s="51"/>
      <c r="G362" s="51"/>
      <c r="H362" s="52"/>
      <c r="J362" s="15"/>
      <c r="K362" s="39"/>
    </row>
    <row r="363" spans="3:11" x14ac:dyDescent="0.3">
      <c r="C363" s="40" t="s">
        <v>99</v>
      </c>
      <c r="D363" s="8" t="s">
        <v>100</v>
      </c>
      <c r="E363" s="44"/>
      <c r="F363" s="44"/>
      <c r="G363" s="44"/>
      <c r="H363" s="44"/>
      <c r="I363" s="10">
        <f>ROUNDDOWN(H378,0)</f>
        <v>82747</v>
      </c>
      <c r="J363" s="15"/>
      <c r="K363" s="39"/>
    </row>
    <row r="364" spans="3:11" ht="27.6" x14ac:dyDescent="0.3">
      <c r="C364" s="11" t="s">
        <v>9</v>
      </c>
      <c r="D364" s="11" t="s">
        <v>10</v>
      </c>
      <c r="E364" s="11" t="s">
        <v>11</v>
      </c>
      <c r="F364" s="11" t="s">
        <v>12</v>
      </c>
      <c r="G364" s="11" t="s">
        <v>13</v>
      </c>
      <c r="H364" s="11" t="s">
        <v>14</v>
      </c>
      <c r="J364" s="15"/>
      <c r="K364" s="39"/>
    </row>
    <row r="365" spans="3:11" x14ac:dyDescent="0.25">
      <c r="C365" s="17" t="s">
        <v>15</v>
      </c>
      <c r="D365" s="13" t="s">
        <v>16</v>
      </c>
      <c r="E365" s="14"/>
      <c r="F365" s="14"/>
      <c r="G365" s="14"/>
      <c r="H365" s="14"/>
      <c r="J365" s="15"/>
      <c r="K365" s="39"/>
    </row>
    <row r="366" spans="3:11" x14ac:dyDescent="0.3">
      <c r="C366" s="45">
        <v>1</v>
      </c>
      <c r="D366" s="13" t="s">
        <v>18</v>
      </c>
      <c r="E366" s="17" t="s">
        <v>19</v>
      </c>
      <c r="F366" s="18">
        <v>2.4E-2</v>
      </c>
      <c r="G366" s="19">
        <f>VLOOKUP(D366,upahbahan,3,FALSE)</f>
        <v>100000</v>
      </c>
      <c r="H366" s="19">
        <f t="shared" ref="H366:H369" si="38">F366*G366</f>
        <v>2400</v>
      </c>
      <c r="J366" s="15"/>
      <c r="K366" s="39"/>
    </row>
    <row r="367" spans="3:11" x14ac:dyDescent="0.3">
      <c r="C367" s="45">
        <v>2</v>
      </c>
      <c r="D367" s="13" t="str">
        <f>D350</f>
        <v>Tukang listrik</v>
      </c>
      <c r="E367" s="17" t="s">
        <v>19</v>
      </c>
      <c r="F367" s="18">
        <v>0.04</v>
      </c>
      <c r="G367" s="19">
        <f>VLOOKUP(D367,upahbahan,3,FALSE)</f>
        <v>145000</v>
      </c>
      <c r="H367" s="19">
        <f t="shared" si="38"/>
        <v>5800</v>
      </c>
      <c r="J367" s="15"/>
      <c r="K367" s="39"/>
    </row>
    <row r="368" spans="3:11" x14ac:dyDescent="0.3">
      <c r="C368" s="45">
        <v>3</v>
      </c>
      <c r="D368" s="13" t="s">
        <v>22</v>
      </c>
      <c r="E368" s="17" t="s">
        <v>19</v>
      </c>
      <c r="F368" s="18">
        <v>4.0000000000000001E-3</v>
      </c>
      <c r="G368" s="19">
        <f>VLOOKUP(D368,upahbahan,3,FALSE)</f>
        <v>175000</v>
      </c>
      <c r="H368" s="19">
        <f t="shared" si="38"/>
        <v>700</v>
      </c>
      <c r="J368" s="15"/>
      <c r="K368" s="39"/>
    </row>
    <row r="369" spans="3:11" x14ac:dyDescent="0.3">
      <c r="C369" s="45">
        <v>4</v>
      </c>
      <c r="D369" s="13" t="s">
        <v>23</v>
      </c>
      <c r="E369" s="17" t="s">
        <v>19</v>
      </c>
      <c r="F369" s="18">
        <v>1E-3</v>
      </c>
      <c r="G369" s="19">
        <f>VLOOKUP(D369,upahbahan,3,FALSE)</f>
        <v>200000</v>
      </c>
      <c r="H369" s="19">
        <f t="shared" si="38"/>
        <v>200</v>
      </c>
      <c r="J369" s="15"/>
      <c r="K369" s="39"/>
    </row>
    <row r="370" spans="3:11" x14ac:dyDescent="0.3">
      <c r="C370" s="21" t="s">
        <v>24</v>
      </c>
      <c r="D370" s="22"/>
      <c r="E370" s="22"/>
      <c r="F370" s="54"/>
      <c r="G370" s="24"/>
      <c r="H370" s="19">
        <f>SUM(H366:H369)</f>
        <v>9100</v>
      </c>
      <c r="I370" s="25"/>
      <c r="J370" s="15"/>
      <c r="K370" s="39"/>
    </row>
    <row r="371" spans="3:11" x14ac:dyDescent="0.25">
      <c r="C371" s="17" t="s">
        <v>25</v>
      </c>
      <c r="D371" s="13" t="s">
        <v>26</v>
      </c>
      <c r="E371" s="14"/>
      <c r="F371" s="55"/>
      <c r="G371" s="14"/>
      <c r="H371" s="14"/>
      <c r="J371" s="15"/>
      <c r="K371" s="39"/>
    </row>
    <row r="372" spans="3:11" x14ac:dyDescent="0.3">
      <c r="C372" s="45">
        <v>1</v>
      </c>
      <c r="D372" s="26" t="s">
        <v>101</v>
      </c>
      <c r="E372" s="27" t="s">
        <v>28</v>
      </c>
      <c r="F372" s="18">
        <v>1.1499999999999999</v>
      </c>
      <c r="G372" s="19">
        <f>VLOOKUP(D372,upahbahan,3,FALSE)</f>
        <v>57500</v>
      </c>
      <c r="H372" s="19">
        <f t="shared" ref="H372" si="39">F372*G372</f>
        <v>66125</v>
      </c>
      <c r="J372" s="15"/>
      <c r="K372" s="39"/>
    </row>
    <row r="373" spans="3:11" x14ac:dyDescent="0.3">
      <c r="C373" s="21" t="s">
        <v>29</v>
      </c>
      <c r="D373" s="22"/>
      <c r="E373" s="22"/>
      <c r="F373" s="22"/>
      <c r="G373" s="28"/>
      <c r="H373" s="19">
        <f>SUM(H372:H372)</f>
        <v>66125</v>
      </c>
      <c r="J373" s="15"/>
      <c r="K373" s="39"/>
    </row>
    <row r="374" spans="3:11" x14ac:dyDescent="0.25">
      <c r="C374" s="12" t="s">
        <v>30</v>
      </c>
      <c r="D374" s="13" t="s">
        <v>31</v>
      </c>
      <c r="E374" s="14"/>
      <c r="F374" s="14"/>
      <c r="G374" s="14"/>
      <c r="H374" s="14"/>
      <c r="J374" s="15"/>
      <c r="K374" s="39"/>
    </row>
    <row r="375" spans="3:11" x14ac:dyDescent="0.3">
      <c r="C375" s="21" t="s">
        <v>32</v>
      </c>
      <c r="D375" s="22"/>
      <c r="E375" s="22"/>
      <c r="F375" s="22"/>
      <c r="G375" s="28"/>
      <c r="H375" s="29">
        <v>0</v>
      </c>
      <c r="J375" s="15"/>
      <c r="K375" s="39"/>
    </row>
    <row r="376" spans="3:11" x14ac:dyDescent="0.3">
      <c r="C376" s="30" t="s">
        <v>33</v>
      </c>
      <c r="D376" s="31" t="s">
        <v>34</v>
      </c>
      <c r="E376" s="32"/>
      <c r="F376" s="32"/>
      <c r="G376" s="33"/>
      <c r="H376" s="46">
        <f>H375+H373+H370</f>
        <v>75225</v>
      </c>
      <c r="I376" s="47"/>
      <c r="J376" s="15"/>
      <c r="K376" s="39"/>
    </row>
    <row r="377" spans="3:11" x14ac:dyDescent="0.3">
      <c r="C377" s="30" t="s">
        <v>35</v>
      </c>
      <c r="D377" s="31" t="s">
        <v>36</v>
      </c>
      <c r="E377" s="32"/>
      <c r="F377" s="33"/>
      <c r="G377" s="34">
        <f>$M$9</f>
        <v>0.1</v>
      </c>
      <c r="H377" s="19">
        <f>H376*G377</f>
        <v>7522.5</v>
      </c>
      <c r="I377" s="47"/>
      <c r="J377" s="15"/>
      <c r="K377" s="39"/>
    </row>
    <row r="378" spans="3:11" x14ac:dyDescent="0.3">
      <c r="C378" s="30" t="s">
        <v>37</v>
      </c>
      <c r="D378" s="31" t="s">
        <v>38</v>
      </c>
      <c r="E378" s="32"/>
      <c r="F378" s="32"/>
      <c r="G378" s="33"/>
      <c r="H378" s="48">
        <f>SUM(H376:H377)</f>
        <v>82747.5</v>
      </c>
      <c r="I378" s="47"/>
      <c r="J378" s="15"/>
      <c r="K378" s="39"/>
    </row>
    <row r="379" spans="3:11" x14ac:dyDescent="0.3">
      <c r="C379" s="50"/>
      <c r="D379" s="51"/>
      <c r="E379" s="51"/>
      <c r="F379" s="51"/>
      <c r="G379" s="51"/>
      <c r="H379" s="52"/>
      <c r="J379" s="15"/>
      <c r="K379" s="39"/>
    </row>
    <row r="380" spans="3:11" x14ac:dyDescent="0.3">
      <c r="C380" s="40" t="s">
        <v>102</v>
      </c>
      <c r="D380" s="8" t="s">
        <v>103</v>
      </c>
      <c r="E380" s="44"/>
      <c r="F380" s="44"/>
      <c r="G380" s="44"/>
      <c r="H380" s="44"/>
      <c r="I380" s="10">
        <f>ROUNDDOWN(H395,0)</f>
        <v>126390</v>
      </c>
      <c r="J380" s="15"/>
      <c r="K380" s="39"/>
    </row>
    <row r="381" spans="3:11" ht="27.6" x14ac:dyDescent="0.3">
      <c r="C381" s="11" t="s">
        <v>9</v>
      </c>
      <c r="D381" s="11" t="s">
        <v>10</v>
      </c>
      <c r="E381" s="11" t="s">
        <v>11</v>
      </c>
      <c r="F381" s="11" t="s">
        <v>12</v>
      </c>
      <c r="G381" s="11" t="s">
        <v>13</v>
      </c>
      <c r="H381" s="11" t="s">
        <v>14</v>
      </c>
      <c r="J381" s="15"/>
      <c r="K381" s="39"/>
    </row>
    <row r="382" spans="3:11" x14ac:dyDescent="0.25">
      <c r="C382" s="17" t="s">
        <v>15</v>
      </c>
      <c r="D382" s="13" t="s">
        <v>16</v>
      </c>
      <c r="E382" s="14"/>
      <c r="F382" s="14"/>
      <c r="G382" s="14"/>
      <c r="H382" s="14"/>
      <c r="J382" s="15"/>
      <c r="K382" s="39"/>
    </row>
    <row r="383" spans="3:11" x14ac:dyDescent="0.3">
      <c r="C383" s="45">
        <v>1</v>
      </c>
      <c r="D383" s="13" t="s">
        <v>18</v>
      </c>
      <c r="E383" s="17" t="s">
        <v>19</v>
      </c>
      <c r="F383" s="18">
        <v>2.4E-2</v>
      </c>
      <c r="G383" s="19">
        <f>VLOOKUP(D383,upahbahan,3,FALSE)</f>
        <v>100000</v>
      </c>
      <c r="H383" s="19">
        <f t="shared" ref="H383:H386" si="40">F383*G383</f>
        <v>2400</v>
      </c>
      <c r="J383" s="15"/>
      <c r="K383" s="39"/>
    </row>
    <row r="384" spans="3:11" x14ac:dyDescent="0.3">
      <c r="C384" s="45">
        <v>2</v>
      </c>
      <c r="D384" s="13" t="str">
        <f>D367</f>
        <v>Tukang listrik</v>
      </c>
      <c r="E384" s="17" t="s">
        <v>19</v>
      </c>
      <c r="F384" s="18">
        <v>0.04</v>
      </c>
      <c r="G384" s="19">
        <f>VLOOKUP(D384,upahbahan,3,FALSE)</f>
        <v>145000</v>
      </c>
      <c r="H384" s="19">
        <f t="shared" si="40"/>
        <v>5800</v>
      </c>
      <c r="J384" s="15"/>
      <c r="K384" s="39"/>
    </row>
    <row r="385" spans="3:11" x14ac:dyDescent="0.3">
      <c r="C385" s="45">
        <v>3</v>
      </c>
      <c r="D385" s="13" t="s">
        <v>22</v>
      </c>
      <c r="E385" s="17" t="s">
        <v>19</v>
      </c>
      <c r="F385" s="18">
        <v>4.0000000000000001E-3</v>
      </c>
      <c r="G385" s="19">
        <f>VLOOKUP(D385,upahbahan,3,FALSE)</f>
        <v>175000</v>
      </c>
      <c r="H385" s="19">
        <f t="shared" si="40"/>
        <v>700</v>
      </c>
      <c r="J385" s="15"/>
      <c r="K385" s="39"/>
    </row>
    <row r="386" spans="3:11" x14ac:dyDescent="0.3">
      <c r="C386" s="45">
        <v>4</v>
      </c>
      <c r="D386" s="13" t="s">
        <v>23</v>
      </c>
      <c r="E386" s="17" t="s">
        <v>19</v>
      </c>
      <c r="F386" s="18">
        <v>1E-3</v>
      </c>
      <c r="G386" s="19">
        <f>VLOOKUP(D386,upahbahan,3,FALSE)</f>
        <v>200000</v>
      </c>
      <c r="H386" s="19">
        <f t="shared" si="40"/>
        <v>200</v>
      </c>
      <c r="J386" s="15"/>
      <c r="K386" s="39"/>
    </row>
    <row r="387" spans="3:11" x14ac:dyDescent="0.3">
      <c r="C387" s="21" t="s">
        <v>24</v>
      </c>
      <c r="D387" s="22"/>
      <c r="E387" s="22"/>
      <c r="F387" s="54"/>
      <c r="G387" s="24"/>
      <c r="H387" s="19">
        <f>SUM(H383:H386)</f>
        <v>9100</v>
      </c>
      <c r="I387" s="25"/>
      <c r="J387" s="15"/>
      <c r="K387" s="39"/>
    </row>
    <row r="388" spans="3:11" x14ac:dyDescent="0.25">
      <c r="C388" s="17" t="s">
        <v>25</v>
      </c>
      <c r="D388" s="13" t="s">
        <v>26</v>
      </c>
      <c r="E388" s="14"/>
      <c r="F388" s="55"/>
      <c r="G388" s="14"/>
      <c r="H388" s="14"/>
      <c r="J388" s="15"/>
      <c r="K388" s="39"/>
    </row>
    <row r="389" spans="3:11" x14ac:dyDescent="0.3">
      <c r="C389" s="45">
        <v>1</v>
      </c>
      <c r="D389" s="26" t="s">
        <v>104</v>
      </c>
      <c r="E389" s="27" t="s">
        <v>28</v>
      </c>
      <c r="F389" s="18">
        <v>1.1499999999999999</v>
      </c>
      <c r="G389" s="19">
        <f>VLOOKUP(D389,upahbahan,3,FALSE)</f>
        <v>92000</v>
      </c>
      <c r="H389" s="19">
        <f t="shared" ref="H389" si="41">F389*G389</f>
        <v>105799.99999999999</v>
      </c>
      <c r="J389" s="15"/>
      <c r="K389" s="39"/>
    </row>
    <row r="390" spans="3:11" x14ac:dyDescent="0.3">
      <c r="C390" s="21" t="s">
        <v>29</v>
      </c>
      <c r="D390" s="22"/>
      <c r="E390" s="22"/>
      <c r="F390" s="22"/>
      <c r="G390" s="28"/>
      <c r="H390" s="19">
        <f>SUM(H389:H389)</f>
        <v>105799.99999999999</v>
      </c>
      <c r="J390" s="15"/>
      <c r="K390" s="39"/>
    </row>
    <row r="391" spans="3:11" x14ac:dyDescent="0.25">
      <c r="C391" s="12" t="s">
        <v>30</v>
      </c>
      <c r="D391" s="13" t="s">
        <v>31</v>
      </c>
      <c r="E391" s="14"/>
      <c r="F391" s="14"/>
      <c r="G391" s="14"/>
      <c r="H391" s="14"/>
      <c r="J391" s="15"/>
      <c r="K391" s="39"/>
    </row>
    <row r="392" spans="3:11" x14ac:dyDescent="0.3">
      <c r="C392" s="21" t="s">
        <v>32</v>
      </c>
      <c r="D392" s="22"/>
      <c r="E392" s="22"/>
      <c r="F392" s="22"/>
      <c r="G392" s="28"/>
      <c r="H392" s="29">
        <v>0</v>
      </c>
      <c r="J392" s="15"/>
      <c r="K392" s="39"/>
    </row>
    <row r="393" spans="3:11" x14ac:dyDescent="0.3">
      <c r="C393" s="30" t="s">
        <v>33</v>
      </c>
      <c r="D393" s="31" t="s">
        <v>34</v>
      </c>
      <c r="E393" s="32"/>
      <c r="F393" s="32"/>
      <c r="G393" s="33"/>
      <c r="H393" s="46">
        <f>H392+H390+H387</f>
        <v>114899.99999999999</v>
      </c>
      <c r="I393" s="47"/>
      <c r="J393" s="15"/>
      <c r="K393" s="39"/>
    </row>
    <row r="394" spans="3:11" x14ac:dyDescent="0.3">
      <c r="C394" s="30" t="s">
        <v>35</v>
      </c>
      <c r="D394" s="31" t="s">
        <v>36</v>
      </c>
      <c r="E394" s="32"/>
      <c r="F394" s="33"/>
      <c r="G394" s="34">
        <f>$M$9</f>
        <v>0.1</v>
      </c>
      <c r="H394" s="19">
        <f>H393*G394</f>
        <v>11490</v>
      </c>
      <c r="I394" s="47"/>
      <c r="J394" s="15"/>
      <c r="K394" s="39"/>
    </row>
    <row r="395" spans="3:11" x14ac:dyDescent="0.3">
      <c r="C395" s="30" t="s">
        <v>37</v>
      </c>
      <c r="D395" s="31" t="s">
        <v>38</v>
      </c>
      <c r="E395" s="32"/>
      <c r="F395" s="32"/>
      <c r="G395" s="33"/>
      <c r="H395" s="48">
        <f>SUM(H393:H394)</f>
        <v>126389.99999999999</v>
      </c>
      <c r="I395" s="47"/>
      <c r="J395" s="15"/>
      <c r="K395" s="39"/>
    </row>
    <row r="396" spans="3:11" x14ac:dyDescent="0.3">
      <c r="C396" s="50"/>
      <c r="D396" s="51"/>
      <c r="E396" s="51"/>
      <c r="F396" s="51"/>
      <c r="G396" s="51"/>
      <c r="H396" s="52"/>
      <c r="J396" s="15"/>
      <c r="K396" s="39"/>
    </row>
    <row r="397" spans="3:11" x14ac:dyDescent="0.3">
      <c r="C397" s="40" t="s">
        <v>105</v>
      </c>
      <c r="D397" s="8" t="s">
        <v>106</v>
      </c>
      <c r="E397" s="44"/>
      <c r="F397" s="44"/>
      <c r="G397" s="44"/>
      <c r="H397" s="44"/>
      <c r="I397" s="10">
        <f>ROUNDDOWN(H412,0)</f>
        <v>28985</v>
      </c>
      <c r="J397" s="15"/>
      <c r="K397" s="39"/>
    </row>
    <row r="398" spans="3:11" ht="27.6" x14ac:dyDescent="0.3">
      <c r="C398" s="11" t="s">
        <v>9</v>
      </c>
      <c r="D398" s="11" t="s">
        <v>10</v>
      </c>
      <c r="E398" s="11" t="s">
        <v>11</v>
      </c>
      <c r="F398" s="11" t="s">
        <v>12</v>
      </c>
      <c r="G398" s="11" t="s">
        <v>13</v>
      </c>
      <c r="H398" s="11" t="s">
        <v>14</v>
      </c>
      <c r="J398" s="15"/>
      <c r="K398" s="39"/>
    </row>
    <row r="399" spans="3:11" x14ac:dyDescent="0.25">
      <c r="C399" s="17" t="s">
        <v>15</v>
      </c>
      <c r="D399" s="13" t="s">
        <v>16</v>
      </c>
      <c r="E399" s="14"/>
      <c r="F399" s="14"/>
      <c r="G399" s="14"/>
      <c r="H399" s="14"/>
      <c r="J399" s="15"/>
      <c r="K399" s="39"/>
    </row>
    <row r="400" spans="3:11" x14ac:dyDescent="0.3">
      <c r="C400" s="45">
        <v>1</v>
      </c>
      <c r="D400" s="13" t="s">
        <v>18</v>
      </c>
      <c r="E400" s="17" t="s">
        <v>19</v>
      </c>
      <c r="F400" s="18">
        <v>2.4E-2</v>
      </c>
      <c r="G400" s="19">
        <f>VLOOKUP(D400,upahbahan,3,FALSE)</f>
        <v>100000</v>
      </c>
      <c r="H400" s="19">
        <f>F400*G400</f>
        <v>2400</v>
      </c>
      <c r="J400" s="15"/>
      <c r="K400" s="39"/>
    </row>
    <row r="401" spans="3:11" x14ac:dyDescent="0.3">
      <c r="C401" s="45">
        <v>2</v>
      </c>
      <c r="D401" s="13" t="str">
        <f>D384</f>
        <v>Tukang listrik</v>
      </c>
      <c r="E401" s="17" t="s">
        <v>19</v>
      </c>
      <c r="F401" s="18">
        <v>0.04</v>
      </c>
      <c r="G401" s="19">
        <f>VLOOKUP(D401,upahbahan,3,FALSE)</f>
        <v>145000</v>
      </c>
      <c r="H401" s="19">
        <f t="shared" ref="H401:H403" si="42">F401*G401</f>
        <v>5800</v>
      </c>
      <c r="J401" s="15"/>
      <c r="K401" s="39"/>
    </row>
    <row r="402" spans="3:11" x14ac:dyDescent="0.3">
      <c r="C402" s="45">
        <v>3</v>
      </c>
      <c r="D402" s="13" t="s">
        <v>22</v>
      </c>
      <c r="E402" s="17" t="s">
        <v>19</v>
      </c>
      <c r="F402" s="18">
        <v>4.0000000000000001E-3</v>
      </c>
      <c r="G402" s="19">
        <f>VLOOKUP(D402,upahbahan,3,FALSE)</f>
        <v>175000</v>
      </c>
      <c r="H402" s="19">
        <f t="shared" si="42"/>
        <v>700</v>
      </c>
      <c r="J402" s="15"/>
      <c r="K402" s="39"/>
    </row>
    <row r="403" spans="3:11" x14ac:dyDescent="0.3">
      <c r="C403" s="45">
        <v>4</v>
      </c>
      <c r="D403" s="13" t="s">
        <v>23</v>
      </c>
      <c r="E403" s="17" t="s">
        <v>19</v>
      </c>
      <c r="F403" s="18">
        <v>1E-3</v>
      </c>
      <c r="G403" s="19">
        <f>VLOOKUP(D403,upahbahan,3,FALSE)</f>
        <v>200000</v>
      </c>
      <c r="H403" s="19">
        <f t="shared" si="42"/>
        <v>200</v>
      </c>
      <c r="J403" s="15"/>
      <c r="K403" s="39"/>
    </row>
    <row r="404" spans="3:11" x14ac:dyDescent="0.3">
      <c r="C404" s="21" t="s">
        <v>24</v>
      </c>
      <c r="D404" s="22"/>
      <c r="E404" s="22"/>
      <c r="F404" s="54"/>
      <c r="G404" s="24"/>
      <c r="H404" s="19">
        <f>SUM(H400:H403)</f>
        <v>9100</v>
      </c>
      <c r="I404" s="25"/>
      <c r="J404" s="15"/>
      <c r="K404" s="39"/>
    </row>
    <row r="405" spans="3:11" x14ac:dyDescent="0.25">
      <c r="C405" s="17" t="s">
        <v>25</v>
      </c>
      <c r="D405" s="13" t="s">
        <v>26</v>
      </c>
      <c r="E405" s="14"/>
      <c r="F405" s="55"/>
      <c r="G405" s="14"/>
      <c r="H405" s="14"/>
      <c r="J405" s="15"/>
      <c r="K405" s="39"/>
    </row>
    <row r="406" spans="3:11" x14ac:dyDescent="0.3">
      <c r="C406" s="45">
        <v>1</v>
      </c>
      <c r="D406" s="26" t="s">
        <v>107</v>
      </c>
      <c r="E406" s="27" t="s">
        <v>28</v>
      </c>
      <c r="F406" s="18">
        <v>1.1499999999999999</v>
      </c>
      <c r="G406" s="19">
        <f>VLOOKUP(D406,upahbahan,3,FALSE)</f>
        <v>15000</v>
      </c>
      <c r="H406" s="19">
        <f t="shared" ref="H406" si="43">F406*G406</f>
        <v>17250</v>
      </c>
      <c r="J406" s="15"/>
      <c r="K406" s="39"/>
    </row>
    <row r="407" spans="3:11" x14ac:dyDescent="0.3">
      <c r="C407" s="21" t="s">
        <v>29</v>
      </c>
      <c r="D407" s="22"/>
      <c r="E407" s="22"/>
      <c r="F407" s="22"/>
      <c r="G407" s="28"/>
      <c r="H407" s="19">
        <f>SUM(H406:H406)</f>
        <v>17250</v>
      </c>
      <c r="J407" s="15"/>
      <c r="K407" s="39"/>
    </row>
    <row r="408" spans="3:11" x14ac:dyDescent="0.25">
      <c r="C408" s="12" t="s">
        <v>30</v>
      </c>
      <c r="D408" s="13" t="s">
        <v>31</v>
      </c>
      <c r="E408" s="14"/>
      <c r="F408" s="14"/>
      <c r="G408" s="14"/>
      <c r="H408" s="14"/>
      <c r="J408" s="15"/>
      <c r="K408" s="39"/>
    </row>
    <row r="409" spans="3:11" x14ac:dyDescent="0.3">
      <c r="C409" s="21" t="s">
        <v>32</v>
      </c>
      <c r="D409" s="22"/>
      <c r="E409" s="22"/>
      <c r="F409" s="22"/>
      <c r="G409" s="28"/>
      <c r="H409" s="29">
        <v>0</v>
      </c>
      <c r="J409" s="15"/>
      <c r="K409" s="39"/>
    </row>
    <row r="410" spans="3:11" x14ac:dyDescent="0.3">
      <c r="C410" s="30" t="s">
        <v>33</v>
      </c>
      <c r="D410" s="31" t="s">
        <v>34</v>
      </c>
      <c r="E410" s="32"/>
      <c r="F410" s="32"/>
      <c r="G410" s="33"/>
      <c r="H410" s="46">
        <f>H409+H407+H404</f>
        <v>26350</v>
      </c>
      <c r="I410" s="47"/>
      <c r="J410" s="15"/>
      <c r="K410" s="39"/>
    </row>
    <row r="411" spans="3:11" x14ac:dyDescent="0.3">
      <c r="C411" s="30" t="s">
        <v>35</v>
      </c>
      <c r="D411" s="31" t="s">
        <v>36</v>
      </c>
      <c r="E411" s="32"/>
      <c r="F411" s="33"/>
      <c r="G411" s="34">
        <f>$M$9</f>
        <v>0.1</v>
      </c>
      <c r="H411" s="19">
        <f>H410*G411</f>
        <v>2635</v>
      </c>
      <c r="I411" s="47"/>
      <c r="J411" s="15"/>
      <c r="K411" s="39"/>
    </row>
    <row r="412" spans="3:11" x14ac:dyDescent="0.3">
      <c r="C412" s="30" t="s">
        <v>37</v>
      </c>
      <c r="D412" s="31" t="s">
        <v>38</v>
      </c>
      <c r="E412" s="32"/>
      <c r="F412" s="32"/>
      <c r="G412" s="33"/>
      <c r="H412" s="48">
        <f>SUM(H410:H411)</f>
        <v>28985</v>
      </c>
      <c r="I412" s="47"/>
      <c r="J412" s="15"/>
      <c r="K412" s="39"/>
    </row>
    <row r="413" spans="3:11" x14ac:dyDescent="0.3">
      <c r="C413" s="50"/>
      <c r="D413" s="51"/>
      <c r="E413" s="51"/>
      <c r="F413" s="51"/>
      <c r="G413" s="51"/>
      <c r="H413" s="52"/>
      <c r="J413" s="15"/>
      <c r="K413" s="39"/>
    </row>
    <row r="414" spans="3:11" x14ac:dyDescent="0.3">
      <c r="C414" s="40" t="s">
        <v>108</v>
      </c>
      <c r="D414" s="8" t="s">
        <v>109</v>
      </c>
      <c r="E414" s="44"/>
      <c r="F414" s="44"/>
      <c r="G414" s="44"/>
      <c r="H414" s="44"/>
      <c r="I414" s="10">
        <f>ROUNDDOWN(H429,0)</f>
        <v>37207</v>
      </c>
      <c r="J414" s="15"/>
      <c r="K414" s="39"/>
    </row>
    <row r="415" spans="3:11" ht="27.6" x14ac:dyDescent="0.3">
      <c r="C415" s="11" t="s">
        <v>9</v>
      </c>
      <c r="D415" s="11" t="s">
        <v>10</v>
      </c>
      <c r="E415" s="11" t="s">
        <v>11</v>
      </c>
      <c r="F415" s="11" t="s">
        <v>12</v>
      </c>
      <c r="G415" s="11" t="s">
        <v>13</v>
      </c>
      <c r="H415" s="11" t="s">
        <v>14</v>
      </c>
      <c r="J415" s="15"/>
      <c r="K415" s="39"/>
    </row>
    <row r="416" spans="3:11" x14ac:dyDescent="0.25">
      <c r="C416" s="17" t="s">
        <v>15</v>
      </c>
      <c r="D416" s="13" t="s">
        <v>16</v>
      </c>
      <c r="E416" s="14"/>
      <c r="F416" s="14"/>
      <c r="G416" s="14"/>
      <c r="H416" s="14"/>
      <c r="J416" s="15"/>
      <c r="K416" s="39"/>
    </row>
    <row r="417" spans="3:11" x14ac:dyDescent="0.3">
      <c r="C417" s="45">
        <v>1</v>
      </c>
      <c r="D417" s="13" t="s">
        <v>18</v>
      </c>
      <c r="E417" s="17" t="s">
        <v>19</v>
      </c>
      <c r="F417" s="18">
        <v>2.4E-2</v>
      </c>
      <c r="G417" s="19">
        <f>VLOOKUP(D417,upahbahan,3,FALSE)</f>
        <v>100000</v>
      </c>
      <c r="H417" s="19">
        <f t="shared" ref="H417:H420" si="44">F417*G417</f>
        <v>2400</v>
      </c>
      <c r="J417" s="15"/>
      <c r="K417" s="39"/>
    </row>
    <row r="418" spans="3:11" x14ac:dyDescent="0.3">
      <c r="C418" s="45">
        <v>2</v>
      </c>
      <c r="D418" s="13" t="str">
        <f>D401</f>
        <v>Tukang listrik</v>
      </c>
      <c r="E418" s="17" t="s">
        <v>19</v>
      </c>
      <c r="F418" s="18">
        <v>0.04</v>
      </c>
      <c r="G418" s="19">
        <f>VLOOKUP(D418,upahbahan,3,FALSE)</f>
        <v>145000</v>
      </c>
      <c r="H418" s="19">
        <f t="shared" si="44"/>
        <v>5800</v>
      </c>
      <c r="J418" s="15"/>
      <c r="K418" s="39"/>
    </row>
    <row r="419" spans="3:11" x14ac:dyDescent="0.3">
      <c r="C419" s="45">
        <v>3</v>
      </c>
      <c r="D419" s="13" t="s">
        <v>22</v>
      </c>
      <c r="E419" s="17" t="s">
        <v>19</v>
      </c>
      <c r="F419" s="18">
        <v>4.0000000000000001E-3</v>
      </c>
      <c r="G419" s="19">
        <f>VLOOKUP(D419,upahbahan,3,FALSE)</f>
        <v>175000</v>
      </c>
      <c r="H419" s="19">
        <f t="shared" si="44"/>
        <v>700</v>
      </c>
      <c r="J419" s="15"/>
      <c r="K419" s="39"/>
    </row>
    <row r="420" spans="3:11" x14ac:dyDescent="0.3">
      <c r="C420" s="45">
        <v>4</v>
      </c>
      <c r="D420" s="13" t="s">
        <v>23</v>
      </c>
      <c r="E420" s="17" t="s">
        <v>19</v>
      </c>
      <c r="F420" s="18">
        <v>1E-3</v>
      </c>
      <c r="G420" s="19">
        <f>VLOOKUP(D420,upahbahan,3,FALSE)</f>
        <v>200000</v>
      </c>
      <c r="H420" s="19">
        <f t="shared" si="44"/>
        <v>200</v>
      </c>
      <c r="J420" s="15"/>
      <c r="K420" s="39"/>
    </row>
    <row r="421" spans="3:11" x14ac:dyDescent="0.3">
      <c r="C421" s="21" t="s">
        <v>24</v>
      </c>
      <c r="D421" s="22"/>
      <c r="E421" s="22"/>
      <c r="F421" s="54"/>
      <c r="G421" s="24"/>
      <c r="H421" s="19">
        <f>SUM(H417:H420)</f>
        <v>9100</v>
      </c>
      <c r="I421" s="25"/>
      <c r="J421" s="15"/>
      <c r="K421" s="39"/>
    </row>
    <row r="422" spans="3:11" x14ac:dyDescent="0.25">
      <c r="C422" s="17" t="s">
        <v>25</v>
      </c>
      <c r="D422" s="13" t="s">
        <v>26</v>
      </c>
      <c r="E422" s="14"/>
      <c r="F422" s="55"/>
      <c r="G422" s="14"/>
      <c r="H422" s="14"/>
      <c r="J422" s="15"/>
      <c r="K422" s="39"/>
    </row>
    <row r="423" spans="3:11" x14ac:dyDescent="0.3">
      <c r="C423" s="45">
        <v>1</v>
      </c>
      <c r="D423" s="26" t="s">
        <v>110</v>
      </c>
      <c r="E423" s="27" t="s">
        <v>28</v>
      </c>
      <c r="F423" s="18">
        <v>1.1499999999999999</v>
      </c>
      <c r="G423" s="19">
        <f>VLOOKUP(D423,upahbahan,3,FALSE)</f>
        <v>21500</v>
      </c>
      <c r="H423" s="19">
        <f t="shared" ref="H423" si="45">F423*G423</f>
        <v>24724.999999999996</v>
      </c>
      <c r="J423" s="15"/>
      <c r="K423" s="39"/>
    </row>
    <row r="424" spans="3:11" x14ac:dyDescent="0.3">
      <c r="C424" s="21" t="s">
        <v>29</v>
      </c>
      <c r="D424" s="22"/>
      <c r="E424" s="22"/>
      <c r="F424" s="22"/>
      <c r="G424" s="28"/>
      <c r="H424" s="19">
        <f>SUM(H423:H423)</f>
        <v>24724.999999999996</v>
      </c>
      <c r="J424" s="15"/>
      <c r="K424" s="39"/>
    </row>
    <row r="425" spans="3:11" x14ac:dyDescent="0.25">
      <c r="C425" s="12" t="s">
        <v>30</v>
      </c>
      <c r="D425" s="13" t="s">
        <v>31</v>
      </c>
      <c r="E425" s="14"/>
      <c r="F425" s="14"/>
      <c r="G425" s="14"/>
      <c r="H425" s="14"/>
      <c r="J425" s="15"/>
      <c r="K425" s="39"/>
    </row>
    <row r="426" spans="3:11" x14ac:dyDescent="0.3">
      <c r="C426" s="21" t="s">
        <v>32</v>
      </c>
      <c r="D426" s="22"/>
      <c r="E426" s="22"/>
      <c r="F426" s="22"/>
      <c r="G426" s="28"/>
      <c r="H426" s="29">
        <v>0</v>
      </c>
      <c r="J426" s="15"/>
      <c r="K426" s="39"/>
    </row>
    <row r="427" spans="3:11" x14ac:dyDescent="0.3">
      <c r="C427" s="30" t="s">
        <v>33</v>
      </c>
      <c r="D427" s="31" t="s">
        <v>34</v>
      </c>
      <c r="E427" s="32"/>
      <c r="F427" s="32"/>
      <c r="G427" s="33"/>
      <c r="H427" s="46">
        <f>H426+H424+H421</f>
        <v>33825</v>
      </c>
      <c r="I427" s="47"/>
      <c r="J427" s="15"/>
      <c r="K427" s="39"/>
    </row>
    <row r="428" spans="3:11" x14ac:dyDescent="0.3">
      <c r="C428" s="30" t="s">
        <v>35</v>
      </c>
      <c r="D428" s="31" t="s">
        <v>36</v>
      </c>
      <c r="E428" s="32"/>
      <c r="F428" s="33"/>
      <c r="G428" s="34">
        <f>$M$9</f>
        <v>0.1</v>
      </c>
      <c r="H428" s="19">
        <f>H427*G428</f>
        <v>3382.5</v>
      </c>
      <c r="I428" s="47"/>
      <c r="J428" s="15"/>
      <c r="K428" s="39"/>
    </row>
    <row r="429" spans="3:11" x14ac:dyDescent="0.3">
      <c r="C429" s="30" t="s">
        <v>37</v>
      </c>
      <c r="D429" s="31" t="s">
        <v>38</v>
      </c>
      <c r="E429" s="32"/>
      <c r="F429" s="32"/>
      <c r="G429" s="33"/>
      <c r="H429" s="48">
        <f>SUM(H427:H428)</f>
        <v>37207.5</v>
      </c>
      <c r="I429" s="47"/>
      <c r="J429" s="15"/>
      <c r="K429" s="39"/>
    </row>
    <row r="430" spans="3:11" x14ac:dyDescent="0.3">
      <c r="C430" s="50"/>
      <c r="D430" s="51"/>
      <c r="E430" s="51"/>
      <c r="F430" s="51"/>
      <c r="G430" s="51"/>
      <c r="H430" s="52"/>
      <c r="J430" s="15"/>
      <c r="K430" s="39"/>
    </row>
    <row r="431" spans="3:11" x14ac:dyDescent="0.3">
      <c r="C431" s="56" t="s">
        <v>111</v>
      </c>
      <c r="D431" s="57" t="s">
        <v>112</v>
      </c>
      <c r="E431" s="58"/>
      <c r="F431" s="58"/>
      <c r="G431" s="58"/>
      <c r="H431" s="58"/>
      <c r="I431" s="10">
        <f>ROUNDDOWN(H446,0)</f>
        <v>53993</v>
      </c>
      <c r="J431" s="15"/>
      <c r="K431" s="39"/>
    </row>
    <row r="432" spans="3:11" ht="27.6" x14ac:dyDescent="0.3">
      <c r="C432" s="11" t="s">
        <v>9</v>
      </c>
      <c r="D432" s="11" t="s">
        <v>10</v>
      </c>
      <c r="E432" s="11" t="s">
        <v>11</v>
      </c>
      <c r="F432" s="11" t="s">
        <v>12</v>
      </c>
      <c r="G432" s="11" t="s">
        <v>13</v>
      </c>
      <c r="H432" s="11" t="s">
        <v>14</v>
      </c>
      <c r="J432" s="15"/>
      <c r="K432" s="39"/>
    </row>
    <row r="433" spans="3:11" x14ac:dyDescent="0.25">
      <c r="C433" s="17" t="s">
        <v>15</v>
      </c>
      <c r="D433" s="13" t="s">
        <v>16</v>
      </c>
      <c r="E433" s="14"/>
      <c r="F433" s="14"/>
      <c r="G433" s="14"/>
      <c r="H433" s="14"/>
      <c r="J433" s="15"/>
      <c r="K433" s="39"/>
    </row>
    <row r="434" spans="3:11" x14ac:dyDescent="0.3">
      <c r="C434" s="45">
        <v>1</v>
      </c>
      <c r="D434" s="13" t="s">
        <v>18</v>
      </c>
      <c r="E434" s="17" t="s">
        <v>19</v>
      </c>
      <c r="F434" s="49">
        <v>2.9000000000000001E-2</v>
      </c>
      <c r="G434" s="19">
        <f>VLOOKUP(D434,upahbahan,3,FALSE)</f>
        <v>100000</v>
      </c>
      <c r="H434" s="19">
        <f t="shared" ref="H434:H437" si="46">F434*G434</f>
        <v>2900</v>
      </c>
      <c r="J434" s="15"/>
      <c r="K434" s="39"/>
    </row>
    <row r="435" spans="3:11" x14ac:dyDescent="0.3">
      <c r="C435" s="45">
        <v>2</v>
      </c>
      <c r="D435" s="13" t="str">
        <f>D418</f>
        <v>Tukang listrik</v>
      </c>
      <c r="E435" s="17" t="s">
        <v>19</v>
      </c>
      <c r="F435" s="49">
        <v>4.8000000000000001E-2</v>
      </c>
      <c r="G435" s="19">
        <f>VLOOKUP(D435,upahbahan,3,FALSE)</f>
        <v>145000</v>
      </c>
      <c r="H435" s="19">
        <f t="shared" si="46"/>
        <v>6960</v>
      </c>
      <c r="J435" s="15"/>
      <c r="K435" s="39"/>
    </row>
    <row r="436" spans="3:11" x14ac:dyDescent="0.3">
      <c r="C436" s="45">
        <v>3</v>
      </c>
      <c r="D436" s="13" t="s">
        <v>22</v>
      </c>
      <c r="E436" s="17" t="s">
        <v>19</v>
      </c>
      <c r="F436" s="49">
        <v>5.0000000000000001E-3</v>
      </c>
      <c r="G436" s="19">
        <f>VLOOKUP(D436,upahbahan,3,FALSE)</f>
        <v>175000</v>
      </c>
      <c r="H436" s="19">
        <f t="shared" si="46"/>
        <v>875</v>
      </c>
      <c r="J436" s="15"/>
      <c r="K436" s="39"/>
    </row>
    <row r="437" spans="3:11" x14ac:dyDescent="0.3">
      <c r="C437" s="45">
        <v>4</v>
      </c>
      <c r="D437" s="13" t="s">
        <v>23</v>
      </c>
      <c r="E437" s="17" t="s">
        <v>19</v>
      </c>
      <c r="F437" s="49">
        <v>2E-3</v>
      </c>
      <c r="G437" s="19">
        <f>VLOOKUP(D437,upahbahan,3,FALSE)</f>
        <v>200000</v>
      </c>
      <c r="H437" s="19">
        <f t="shared" si="46"/>
        <v>400</v>
      </c>
      <c r="J437" s="15"/>
      <c r="K437" s="39"/>
    </row>
    <row r="438" spans="3:11" x14ac:dyDescent="0.3">
      <c r="C438" s="21" t="s">
        <v>24</v>
      </c>
      <c r="D438" s="22"/>
      <c r="E438" s="22"/>
      <c r="F438" s="23"/>
      <c r="G438" s="24"/>
      <c r="H438" s="19">
        <f>SUM(H434:H437)</f>
        <v>11135</v>
      </c>
      <c r="I438" s="25"/>
      <c r="J438" s="15"/>
      <c r="K438" s="39"/>
    </row>
    <row r="439" spans="3:11" x14ac:dyDescent="0.25">
      <c r="C439" s="17" t="s">
        <v>25</v>
      </c>
      <c r="D439" s="13" t="s">
        <v>26</v>
      </c>
      <c r="E439" s="14"/>
      <c r="F439" s="14"/>
      <c r="G439" s="14"/>
      <c r="H439" s="14"/>
      <c r="J439" s="15"/>
      <c r="K439" s="39"/>
    </row>
    <row r="440" spans="3:11" x14ac:dyDescent="0.3">
      <c r="C440" s="45">
        <v>1</v>
      </c>
      <c r="D440" s="26" t="s">
        <v>113</v>
      </c>
      <c r="E440" s="27" t="s">
        <v>28</v>
      </c>
      <c r="F440" s="59">
        <f>F423</f>
        <v>1.1499999999999999</v>
      </c>
      <c r="G440" s="19">
        <f>VLOOKUP(D440,upahbahan,3,FALSE)</f>
        <v>33000</v>
      </c>
      <c r="H440" s="19">
        <f t="shared" ref="H440" si="47">F440*G440</f>
        <v>37950</v>
      </c>
      <c r="J440" s="15"/>
      <c r="K440" s="39"/>
    </row>
    <row r="441" spans="3:11" x14ac:dyDescent="0.3">
      <c r="C441" s="21" t="s">
        <v>29</v>
      </c>
      <c r="D441" s="22"/>
      <c r="E441" s="22"/>
      <c r="F441" s="22"/>
      <c r="G441" s="28"/>
      <c r="H441" s="19">
        <f>SUM(H440:H440)</f>
        <v>37950</v>
      </c>
      <c r="J441" s="15"/>
      <c r="K441" s="39"/>
    </row>
    <row r="442" spans="3:11" x14ac:dyDescent="0.25">
      <c r="C442" s="12" t="s">
        <v>30</v>
      </c>
      <c r="D442" s="13" t="s">
        <v>31</v>
      </c>
      <c r="E442" s="14"/>
      <c r="F442" s="14"/>
      <c r="G442" s="14"/>
      <c r="H442" s="14"/>
      <c r="J442" s="15"/>
      <c r="K442" s="39"/>
    </row>
    <row r="443" spans="3:11" x14ac:dyDescent="0.3">
      <c r="C443" s="21" t="s">
        <v>32</v>
      </c>
      <c r="D443" s="22"/>
      <c r="E443" s="22"/>
      <c r="F443" s="22"/>
      <c r="G443" s="28"/>
      <c r="H443" s="29">
        <v>0</v>
      </c>
      <c r="J443" s="15"/>
      <c r="K443" s="39"/>
    </row>
    <row r="444" spans="3:11" x14ac:dyDescent="0.3">
      <c r="C444" s="30" t="s">
        <v>33</v>
      </c>
      <c r="D444" s="31" t="s">
        <v>34</v>
      </c>
      <c r="E444" s="32"/>
      <c r="F444" s="32"/>
      <c r="G444" s="33"/>
      <c r="H444" s="46">
        <f>H443+H441+H438</f>
        <v>49085</v>
      </c>
      <c r="I444" s="47"/>
      <c r="J444" s="15"/>
      <c r="K444" s="39"/>
    </row>
    <row r="445" spans="3:11" x14ac:dyDescent="0.3">
      <c r="C445" s="30" t="s">
        <v>35</v>
      </c>
      <c r="D445" s="31" t="s">
        <v>36</v>
      </c>
      <c r="E445" s="32"/>
      <c r="F445" s="33"/>
      <c r="G445" s="34">
        <f>$M$9</f>
        <v>0.1</v>
      </c>
      <c r="H445" s="19">
        <f>H444*G445</f>
        <v>4908.5</v>
      </c>
      <c r="I445" s="47"/>
      <c r="J445" s="15"/>
      <c r="K445" s="39"/>
    </row>
    <row r="446" spans="3:11" x14ac:dyDescent="0.3">
      <c r="C446" s="30" t="s">
        <v>37</v>
      </c>
      <c r="D446" s="31" t="s">
        <v>38</v>
      </c>
      <c r="E446" s="32"/>
      <c r="F446" s="32"/>
      <c r="G446" s="33"/>
      <c r="H446" s="48">
        <f>SUM(H444:H445)</f>
        <v>53993.5</v>
      </c>
      <c r="I446" s="47"/>
      <c r="J446" s="15"/>
      <c r="K446" s="39"/>
    </row>
    <row r="447" spans="3:11" x14ac:dyDescent="0.3">
      <c r="C447" s="50"/>
      <c r="D447" s="51"/>
      <c r="E447" s="51"/>
      <c r="F447" s="51"/>
      <c r="G447" s="51"/>
      <c r="H447" s="52"/>
      <c r="J447" s="15"/>
      <c r="K447" s="39"/>
    </row>
    <row r="448" spans="3:11" x14ac:dyDescent="0.3">
      <c r="C448" s="40" t="s">
        <v>114</v>
      </c>
      <c r="D448" s="8" t="s">
        <v>115</v>
      </c>
      <c r="E448" s="44"/>
      <c r="F448" s="44"/>
      <c r="G448" s="44"/>
      <c r="H448" s="44"/>
      <c r="I448" s="10">
        <f>ROUNDDOWN(H463,0)</f>
        <v>70438</v>
      </c>
      <c r="J448" s="15"/>
      <c r="K448" s="39"/>
    </row>
    <row r="449" spans="3:11" ht="27.6" x14ac:dyDescent="0.3">
      <c r="C449" s="11" t="s">
        <v>9</v>
      </c>
      <c r="D449" s="11" t="s">
        <v>10</v>
      </c>
      <c r="E449" s="11" t="s">
        <v>11</v>
      </c>
      <c r="F449" s="11" t="s">
        <v>12</v>
      </c>
      <c r="G449" s="11" t="s">
        <v>13</v>
      </c>
      <c r="H449" s="11" t="s">
        <v>14</v>
      </c>
      <c r="J449" s="15"/>
      <c r="K449" s="39"/>
    </row>
    <row r="450" spans="3:11" x14ac:dyDescent="0.25">
      <c r="C450" s="12" t="s">
        <v>15</v>
      </c>
      <c r="D450" s="13" t="s">
        <v>16</v>
      </c>
      <c r="E450" s="14"/>
      <c r="F450" s="14"/>
      <c r="G450" s="14"/>
      <c r="H450" s="14"/>
      <c r="J450" s="15"/>
      <c r="K450" s="39"/>
    </row>
    <row r="451" spans="3:11" x14ac:dyDescent="0.3">
      <c r="C451" s="16">
        <v>1</v>
      </c>
      <c r="D451" s="13" t="s">
        <v>18</v>
      </c>
      <c r="E451" s="17" t="s">
        <v>19</v>
      </c>
      <c r="F451" s="49">
        <v>2.9000000000000001E-2</v>
      </c>
      <c r="G451" s="19">
        <f>VLOOKUP(D451,upahbahan,3,FALSE)</f>
        <v>100000</v>
      </c>
      <c r="H451" s="19">
        <f>F451*G451</f>
        <v>2900</v>
      </c>
      <c r="J451" s="15"/>
      <c r="K451" s="39"/>
    </row>
    <row r="452" spans="3:11" x14ac:dyDescent="0.3">
      <c r="C452" s="16">
        <v>2</v>
      </c>
      <c r="D452" s="13" t="str">
        <f>D435</f>
        <v>Tukang listrik</v>
      </c>
      <c r="E452" s="17" t="s">
        <v>19</v>
      </c>
      <c r="F452" s="49">
        <v>4.8000000000000001E-2</v>
      </c>
      <c r="G452" s="19">
        <f>VLOOKUP(D452,upahbahan,3,FALSE)</f>
        <v>145000</v>
      </c>
      <c r="H452" s="19">
        <f t="shared" ref="H452:H454" si="48">F452*G452</f>
        <v>6960</v>
      </c>
      <c r="J452" s="15"/>
      <c r="K452" s="39"/>
    </row>
    <row r="453" spans="3:11" x14ac:dyDescent="0.3">
      <c r="C453" s="16">
        <v>3</v>
      </c>
      <c r="D453" s="13" t="s">
        <v>22</v>
      </c>
      <c r="E453" s="17" t="s">
        <v>19</v>
      </c>
      <c r="F453" s="49">
        <v>5.0000000000000001E-3</v>
      </c>
      <c r="G453" s="19">
        <f>VLOOKUP(D453,upahbahan,3,FALSE)</f>
        <v>175000</v>
      </c>
      <c r="H453" s="19">
        <f t="shared" si="48"/>
        <v>875</v>
      </c>
      <c r="J453" s="15"/>
      <c r="K453" s="39"/>
    </row>
    <row r="454" spans="3:11" x14ac:dyDescent="0.3">
      <c r="C454" s="16">
        <v>4</v>
      </c>
      <c r="D454" s="13" t="s">
        <v>23</v>
      </c>
      <c r="E454" s="17" t="s">
        <v>19</v>
      </c>
      <c r="F454" s="49">
        <v>2E-3</v>
      </c>
      <c r="G454" s="19">
        <f>VLOOKUP(D454,upahbahan,3,FALSE)</f>
        <v>200000</v>
      </c>
      <c r="H454" s="19">
        <f t="shared" si="48"/>
        <v>400</v>
      </c>
      <c r="J454" s="15"/>
      <c r="K454" s="39"/>
    </row>
    <row r="455" spans="3:11" x14ac:dyDescent="0.3">
      <c r="C455" s="21" t="s">
        <v>24</v>
      </c>
      <c r="D455" s="22"/>
      <c r="E455" s="22"/>
      <c r="F455" s="23"/>
      <c r="G455" s="24"/>
      <c r="H455" s="19">
        <f>SUM(H451:H454)</f>
        <v>11135</v>
      </c>
      <c r="I455" s="25"/>
      <c r="J455" s="15"/>
      <c r="K455" s="39"/>
    </row>
    <row r="456" spans="3:11" x14ac:dyDescent="0.25">
      <c r="C456" s="12" t="s">
        <v>25</v>
      </c>
      <c r="D456" s="13" t="s">
        <v>26</v>
      </c>
      <c r="E456" s="14"/>
      <c r="F456" s="14"/>
      <c r="G456" s="14"/>
      <c r="H456" s="14"/>
      <c r="J456" s="15"/>
      <c r="K456" s="39"/>
    </row>
    <row r="457" spans="3:11" x14ac:dyDescent="0.3">
      <c r="C457" s="16">
        <v>1</v>
      </c>
      <c r="D457" s="26" t="s">
        <v>116</v>
      </c>
      <c r="E457" s="27" t="s">
        <v>28</v>
      </c>
      <c r="F457" s="59">
        <f>F440</f>
        <v>1.1499999999999999</v>
      </c>
      <c r="G457" s="19">
        <f>VLOOKUP(D457,upahbahan,3,FALSE)</f>
        <v>46000</v>
      </c>
      <c r="H457" s="19">
        <f t="shared" ref="H457" si="49">F457*G457</f>
        <v>52899.999999999993</v>
      </c>
      <c r="J457" s="15"/>
      <c r="K457" s="39"/>
    </row>
    <row r="458" spans="3:11" x14ac:dyDescent="0.3">
      <c r="C458" s="21" t="s">
        <v>29</v>
      </c>
      <c r="D458" s="22"/>
      <c r="E458" s="22"/>
      <c r="F458" s="22"/>
      <c r="G458" s="28"/>
      <c r="H458" s="19">
        <f>SUM(H457:H457)</f>
        <v>52899.999999999993</v>
      </c>
      <c r="J458" s="15"/>
      <c r="K458" s="39"/>
    </row>
    <row r="459" spans="3:11" x14ac:dyDescent="0.25">
      <c r="C459" s="12" t="s">
        <v>30</v>
      </c>
      <c r="D459" s="13" t="s">
        <v>31</v>
      </c>
      <c r="E459" s="14"/>
      <c r="F459" s="14"/>
      <c r="G459" s="14"/>
      <c r="H459" s="14"/>
      <c r="J459" s="15"/>
      <c r="K459" s="39"/>
    </row>
    <row r="460" spans="3:11" x14ac:dyDescent="0.3">
      <c r="C460" s="21" t="s">
        <v>32</v>
      </c>
      <c r="D460" s="22"/>
      <c r="E460" s="22"/>
      <c r="F460" s="22"/>
      <c r="G460" s="28"/>
      <c r="H460" s="29">
        <v>0</v>
      </c>
      <c r="J460" s="15"/>
      <c r="K460" s="39"/>
    </row>
    <row r="461" spans="3:11" x14ac:dyDescent="0.3">
      <c r="C461" s="30" t="s">
        <v>33</v>
      </c>
      <c r="D461" s="31" t="s">
        <v>34</v>
      </c>
      <c r="E461" s="32"/>
      <c r="F461" s="32"/>
      <c r="G461" s="33"/>
      <c r="H461" s="46">
        <f>H460+H458+H455</f>
        <v>64034.999999999993</v>
      </c>
      <c r="I461" s="47"/>
      <c r="J461" s="15"/>
      <c r="K461" s="39"/>
    </row>
    <row r="462" spans="3:11" x14ac:dyDescent="0.3">
      <c r="C462" s="30" t="s">
        <v>35</v>
      </c>
      <c r="D462" s="31" t="s">
        <v>36</v>
      </c>
      <c r="E462" s="32"/>
      <c r="F462" s="33"/>
      <c r="G462" s="34">
        <f>$M$9</f>
        <v>0.1</v>
      </c>
      <c r="H462" s="19">
        <f>H461*G462</f>
        <v>6403.5</v>
      </c>
      <c r="I462" s="47"/>
      <c r="J462" s="15"/>
      <c r="K462" s="39"/>
    </row>
    <row r="463" spans="3:11" x14ac:dyDescent="0.3">
      <c r="C463" s="30" t="s">
        <v>37</v>
      </c>
      <c r="D463" s="31" t="s">
        <v>38</v>
      </c>
      <c r="E463" s="32"/>
      <c r="F463" s="32"/>
      <c r="G463" s="33"/>
      <c r="H463" s="48">
        <f>SUM(H461:H462)</f>
        <v>70438.5</v>
      </c>
      <c r="I463" s="47"/>
      <c r="J463" s="15"/>
      <c r="K463" s="39"/>
    </row>
    <row r="464" spans="3:11" x14ac:dyDescent="0.3">
      <c r="C464" s="50"/>
      <c r="D464" s="51"/>
      <c r="E464" s="51"/>
      <c r="F464" s="51"/>
      <c r="G464" s="51"/>
      <c r="H464" s="52"/>
      <c r="J464" s="15"/>
      <c r="K464" s="39"/>
    </row>
    <row r="465" spans="3:11" x14ac:dyDescent="0.3">
      <c r="C465" s="40" t="s">
        <v>117</v>
      </c>
      <c r="D465" s="8" t="s">
        <v>118</v>
      </c>
      <c r="E465" s="44"/>
      <c r="F465" s="44"/>
      <c r="G465" s="44"/>
      <c r="H465" s="44"/>
      <c r="I465" s="10">
        <f>ROUNDDOWN(H480,0)</f>
        <v>109494</v>
      </c>
      <c r="J465" s="15"/>
      <c r="K465" s="39"/>
    </row>
    <row r="466" spans="3:11" ht="27.6" x14ac:dyDescent="0.3">
      <c r="C466" s="11" t="s">
        <v>9</v>
      </c>
      <c r="D466" s="11" t="s">
        <v>10</v>
      </c>
      <c r="E466" s="11" t="s">
        <v>11</v>
      </c>
      <c r="F466" s="11" t="s">
        <v>12</v>
      </c>
      <c r="G466" s="11" t="s">
        <v>13</v>
      </c>
      <c r="H466" s="11" t="s">
        <v>14</v>
      </c>
      <c r="J466" s="15"/>
      <c r="K466" s="39"/>
    </row>
    <row r="467" spans="3:11" x14ac:dyDescent="0.25">
      <c r="C467" s="12" t="s">
        <v>15</v>
      </c>
      <c r="D467" s="13" t="s">
        <v>16</v>
      </c>
      <c r="E467" s="14"/>
      <c r="F467" s="14"/>
      <c r="G467" s="14"/>
      <c r="H467" s="14"/>
      <c r="J467" s="15"/>
      <c r="K467" s="39"/>
    </row>
    <row r="468" spans="3:11" x14ac:dyDescent="0.3">
      <c r="C468" s="16">
        <v>1</v>
      </c>
      <c r="D468" s="13" t="s">
        <v>18</v>
      </c>
      <c r="E468" s="17" t="s">
        <v>19</v>
      </c>
      <c r="F468" s="18">
        <v>3.5999999999999997E-2</v>
      </c>
      <c r="G468" s="19">
        <f>VLOOKUP(D468,upahbahan,3,FALSE)</f>
        <v>100000</v>
      </c>
      <c r="H468" s="19">
        <f t="shared" ref="H468:H471" si="50">F468*G468</f>
        <v>3599.9999999999995</v>
      </c>
      <c r="J468" s="15"/>
      <c r="K468" s="39"/>
    </row>
    <row r="469" spans="3:11" x14ac:dyDescent="0.3">
      <c r="C469" s="16">
        <v>2</v>
      </c>
      <c r="D469" s="13" t="str">
        <f>D452</f>
        <v>Tukang listrik</v>
      </c>
      <c r="E469" s="17" t="s">
        <v>19</v>
      </c>
      <c r="F469" s="18">
        <v>0.06</v>
      </c>
      <c r="G469" s="19">
        <f>VLOOKUP(D469,upahbahan,3,FALSE)</f>
        <v>145000</v>
      </c>
      <c r="H469" s="19">
        <f t="shared" si="50"/>
        <v>8700</v>
      </c>
      <c r="J469" s="15"/>
      <c r="K469" s="39"/>
    </row>
    <row r="470" spans="3:11" x14ac:dyDescent="0.3">
      <c r="C470" s="16">
        <v>3</v>
      </c>
      <c r="D470" s="13" t="s">
        <v>22</v>
      </c>
      <c r="E470" s="17" t="s">
        <v>19</v>
      </c>
      <c r="F470" s="18">
        <v>6.0000000000000001E-3</v>
      </c>
      <c r="G470" s="19">
        <f>VLOOKUP(D470,upahbahan,3,FALSE)</f>
        <v>175000</v>
      </c>
      <c r="H470" s="19">
        <f t="shared" si="50"/>
        <v>1050</v>
      </c>
      <c r="J470" s="15"/>
      <c r="K470" s="39"/>
    </row>
    <row r="471" spans="3:11" x14ac:dyDescent="0.3">
      <c r="C471" s="16">
        <v>4</v>
      </c>
      <c r="D471" s="13" t="s">
        <v>23</v>
      </c>
      <c r="E471" s="17" t="s">
        <v>19</v>
      </c>
      <c r="F471" s="18">
        <v>2E-3</v>
      </c>
      <c r="G471" s="19">
        <f>VLOOKUP(D471,upahbahan,3,FALSE)</f>
        <v>200000</v>
      </c>
      <c r="H471" s="19">
        <f t="shared" si="50"/>
        <v>400</v>
      </c>
      <c r="J471" s="15"/>
      <c r="K471" s="39"/>
    </row>
    <row r="472" spans="3:11" x14ac:dyDescent="0.3">
      <c r="C472" s="21" t="s">
        <v>24</v>
      </c>
      <c r="D472" s="22"/>
      <c r="E472" s="22"/>
      <c r="F472" s="54"/>
      <c r="G472" s="24"/>
      <c r="H472" s="19">
        <f>SUM(H468:H471)</f>
        <v>13750</v>
      </c>
      <c r="I472" s="25"/>
      <c r="J472" s="15"/>
      <c r="K472" s="39"/>
    </row>
    <row r="473" spans="3:11" x14ac:dyDescent="0.25">
      <c r="C473" s="12" t="s">
        <v>25</v>
      </c>
      <c r="D473" s="13" t="s">
        <v>26</v>
      </c>
      <c r="E473" s="14"/>
      <c r="F473" s="55"/>
      <c r="G473" s="14"/>
      <c r="H473" s="14"/>
      <c r="J473" s="15"/>
      <c r="K473" s="39"/>
    </row>
    <row r="474" spans="3:11" x14ac:dyDescent="0.3">
      <c r="C474" s="16">
        <v>1</v>
      </c>
      <c r="D474" s="26" t="s">
        <v>119</v>
      </c>
      <c r="E474" s="27" t="s">
        <v>28</v>
      </c>
      <c r="F474" s="18">
        <v>1.1499999999999999</v>
      </c>
      <c r="G474" s="19">
        <f>VLOOKUP(D474,upahbahan,3,FALSE)</f>
        <v>74600</v>
      </c>
      <c r="H474" s="19">
        <f t="shared" ref="H474" si="51">F474*G474</f>
        <v>85790</v>
      </c>
      <c r="J474" s="15"/>
      <c r="K474" s="39"/>
    </row>
    <row r="475" spans="3:11" x14ac:dyDescent="0.3">
      <c r="C475" s="21" t="s">
        <v>29</v>
      </c>
      <c r="D475" s="22"/>
      <c r="E475" s="22"/>
      <c r="F475" s="22"/>
      <c r="G475" s="28"/>
      <c r="H475" s="19">
        <f>SUM(H474:H474)</f>
        <v>85790</v>
      </c>
      <c r="J475" s="15"/>
      <c r="K475" s="39"/>
    </row>
    <row r="476" spans="3:11" x14ac:dyDescent="0.25">
      <c r="C476" s="12" t="s">
        <v>30</v>
      </c>
      <c r="D476" s="13" t="s">
        <v>31</v>
      </c>
      <c r="E476" s="14"/>
      <c r="F476" s="14"/>
      <c r="G476" s="14"/>
      <c r="H476" s="14"/>
      <c r="J476" s="15"/>
      <c r="K476" s="39"/>
    </row>
    <row r="477" spans="3:11" x14ac:dyDescent="0.3">
      <c r="C477" s="21" t="s">
        <v>32</v>
      </c>
      <c r="D477" s="22"/>
      <c r="E477" s="22"/>
      <c r="F477" s="22"/>
      <c r="G477" s="28"/>
      <c r="H477" s="29">
        <v>0</v>
      </c>
      <c r="J477" s="15"/>
      <c r="K477" s="39"/>
    </row>
    <row r="478" spans="3:11" x14ac:dyDescent="0.3">
      <c r="C478" s="30" t="s">
        <v>33</v>
      </c>
      <c r="D478" s="31" t="s">
        <v>34</v>
      </c>
      <c r="E478" s="32"/>
      <c r="F478" s="32"/>
      <c r="G478" s="33"/>
      <c r="H478" s="46">
        <f>H477+H475+H472</f>
        <v>99540</v>
      </c>
      <c r="I478" s="47"/>
      <c r="J478" s="15"/>
      <c r="K478" s="39"/>
    </row>
    <row r="479" spans="3:11" x14ac:dyDescent="0.3">
      <c r="C479" s="30" t="s">
        <v>35</v>
      </c>
      <c r="D479" s="31" t="s">
        <v>36</v>
      </c>
      <c r="E479" s="32"/>
      <c r="F479" s="33"/>
      <c r="G479" s="34">
        <f>$M$9</f>
        <v>0.1</v>
      </c>
      <c r="H479" s="19">
        <f>H478*G479</f>
        <v>9954</v>
      </c>
      <c r="I479" s="47"/>
      <c r="J479" s="15"/>
      <c r="K479" s="39"/>
    </row>
    <row r="480" spans="3:11" x14ac:dyDescent="0.3">
      <c r="C480" s="30" t="s">
        <v>37</v>
      </c>
      <c r="D480" s="31" t="s">
        <v>38</v>
      </c>
      <c r="E480" s="32"/>
      <c r="F480" s="32"/>
      <c r="G480" s="33"/>
      <c r="H480" s="48">
        <f>SUM(H478:H479)</f>
        <v>109494</v>
      </c>
      <c r="I480" s="47"/>
      <c r="J480" s="15"/>
      <c r="K480" s="39"/>
    </row>
    <row r="481" spans="3:11" x14ac:dyDescent="0.3">
      <c r="C481" s="50"/>
      <c r="D481" s="51"/>
      <c r="E481" s="51"/>
      <c r="F481" s="51"/>
      <c r="G481" s="51"/>
      <c r="H481" s="52"/>
      <c r="J481" s="15"/>
      <c r="K481" s="39"/>
    </row>
    <row r="482" spans="3:11" x14ac:dyDescent="0.3">
      <c r="C482" s="40" t="s">
        <v>120</v>
      </c>
      <c r="D482" s="8" t="s">
        <v>121</v>
      </c>
      <c r="E482" s="44"/>
      <c r="F482" s="44"/>
      <c r="G482" s="44"/>
      <c r="H482" s="44"/>
      <c r="I482" s="10">
        <f>ROUNDDOWN(H497,0)</f>
        <v>159335</v>
      </c>
      <c r="J482" s="15"/>
      <c r="K482" s="39"/>
    </row>
    <row r="483" spans="3:11" ht="27.6" x14ac:dyDescent="0.3">
      <c r="C483" s="11" t="s">
        <v>9</v>
      </c>
      <c r="D483" s="11" t="s">
        <v>10</v>
      </c>
      <c r="E483" s="11" t="s">
        <v>11</v>
      </c>
      <c r="F483" s="11" t="s">
        <v>12</v>
      </c>
      <c r="G483" s="11" t="s">
        <v>13</v>
      </c>
      <c r="H483" s="11" t="s">
        <v>14</v>
      </c>
      <c r="J483" s="15"/>
      <c r="K483" s="39"/>
    </row>
    <row r="484" spans="3:11" x14ac:dyDescent="0.25">
      <c r="C484" s="17" t="s">
        <v>15</v>
      </c>
      <c r="D484" s="13" t="s">
        <v>16</v>
      </c>
      <c r="E484" s="14"/>
      <c r="F484" s="14"/>
      <c r="G484" s="14"/>
      <c r="H484" s="14"/>
      <c r="J484" s="15"/>
      <c r="K484" s="39"/>
    </row>
    <row r="485" spans="3:11" x14ac:dyDescent="0.3">
      <c r="C485" s="45">
        <v>1</v>
      </c>
      <c r="D485" s="13" t="s">
        <v>18</v>
      </c>
      <c r="E485" s="17" t="s">
        <v>19</v>
      </c>
      <c r="F485" s="18">
        <v>3.5999999999999997E-2</v>
      </c>
      <c r="G485" s="19">
        <f>VLOOKUP(D485,upahbahan,3,FALSE)</f>
        <v>100000</v>
      </c>
      <c r="H485" s="19">
        <f>F485*G485</f>
        <v>3599.9999999999995</v>
      </c>
      <c r="J485" s="15"/>
      <c r="K485" s="39"/>
    </row>
    <row r="486" spans="3:11" x14ac:dyDescent="0.3">
      <c r="C486" s="45">
        <v>2</v>
      </c>
      <c r="D486" s="13" t="str">
        <f>D469</f>
        <v>Tukang listrik</v>
      </c>
      <c r="E486" s="17" t="s">
        <v>19</v>
      </c>
      <c r="F486" s="18">
        <v>0.06</v>
      </c>
      <c r="G486" s="19">
        <f>VLOOKUP(D486,upahbahan,3,FALSE)</f>
        <v>145000</v>
      </c>
      <c r="H486" s="19">
        <f t="shared" ref="H486:H488" si="52">F486*G486</f>
        <v>8700</v>
      </c>
      <c r="J486" s="15"/>
      <c r="K486" s="39"/>
    </row>
    <row r="487" spans="3:11" x14ac:dyDescent="0.3">
      <c r="C487" s="45">
        <v>3</v>
      </c>
      <c r="D487" s="13" t="s">
        <v>22</v>
      </c>
      <c r="E487" s="17" t="s">
        <v>19</v>
      </c>
      <c r="F487" s="18">
        <v>6.0000000000000001E-3</v>
      </c>
      <c r="G487" s="19">
        <f>VLOOKUP(D487,upahbahan,3,FALSE)</f>
        <v>175000</v>
      </c>
      <c r="H487" s="19">
        <f t="shared" si="52"/>
        <v>1050</v>
      </c>
      <c r="J487" s="15"/>
      <c r="K487" s="39"/>
    </row>
    <row r="488" spans="3:11" x14ac:dyDescent="0.3">
      <c r="C488" s="45">
        <v>4</v>
      </c>
      <c r="D488" s="13" t="s">
        <v>23</v>
      </c>
      <c r="E488" s="17" t="s">
        <v>19</v>
      </c>
      <c r="F488" s="18">
        <v>2E-3</v>
      </c>
      <c r="G488" s="19">
        <f>VLOOKUP(D488,upahbahan,3,FALSE)</f>
        <v>200000</v>
      </c>
      <c r="H488" s="19">
        <f t="shared" si="52"/>
        <v>400</v>
      </c>
      <c r="J488" s="15"/>
      <c r="K488" s="39"/>
    </row>
    <row r="489" spans="3:11" x14ac:dyDescent="0.3">
      <c r="C489" s="21" t="s">
        <v>24</v>
      </c>
      <c r="D489" s="22"/>
      <c r="E489" s="22"/>
      <c r="F489" s="54"/>
      <c r="G489" s="24"/>
      <c r="H489" s="19">
        <f>SUM(H485:H488)</f>
        <v>13750</v>
      </c>
      <c r="I489" s="25"/>
      <c r="J489" s="15"/>
      <c r="K489" s="39"/>
    </row>
    <row r="490" spans="3:11" x14ac:dyDescent="0.25">
      <c r="C490" s="17" t="s">
        <v>25</v>
      </c>
      <c r="D490" s="13" t="s">
        <v>26</v>
      </c>
      <c r="E490" s="14"/>
      <c r="F490" s="55"/>
      <c r="G490" s="14"/>
      <c r="H490" s="14"/>
      <c r="J490" s="15"/>
      <c r="K490" s="39"/>
    </row>
    <row r="491" spans="3:11" x14ac:dyDescent="0.3">
      <c r="C491" s="45">
        <v>1</v>
      </c>
      <c r="D491" s="26" t="s">
        <v>122</v>
      </c>
      <c r="E491" s="27" t="s">
        <v>28</v>
      </c>
      <c r="F491" s="18">
        <v>1.1499999999999999</v>
      </c>
      <c r="G491" s="19">
        <f>VLOOKUP(D491,upahbahan,3,FALSE)</f>
        <v>114000</v>
      </c>
      <c r="H491" s="19">
        <f t="shared" ref="H491" si="53">F491*G491</f>
        <v>131100</v>
      </c>
      <c r="J491" s="15"/>
      <c r="K491" s="39"/>
    </row>
    <row r="492" spans="3:11" x14ac:dyDescent="0.3">
      <c r="C492" s="21" t="s">
        <v>29</v>
      </c>
      <c r="D492" s="22"/>
      <c r="E492" s="22"/>
      <c r="F492" s="22"/>
      <c r="G492" s="28"/>
      <c r="H492" s="19">
        <f>SUM(H491:H491)</f>
        <v>131100</v>
      </c>
      <c r="J492" s="15"/>
      <c r="K492" s="39"/>
    </row>
    <row r="493" spans="3:11" x14ac:dyDescent="0.25">
      <c r="C493" s="12" t="s">
        <v>30</v>
      </c>
      <c r="D493" s="13" t="s">
        <v>31</v>
      </c>
      <c r="E493" s="14"/>
      <c r="F493" s="14"/>
      <c r="G493" s="14"/>
      <c r="H493" s="14"/>
      <c r="J493" s="15"/>
      <c r="K493" s="39"/>
    </row>
    <row r="494" spans="3:11" x14ac:dyDescent="0.3">
      <c r="C494" s="21" t="s">
        <v>32</v>
      </c>
      <c r="D494" s="22"/>
      <c r="E494" s="22"/>
      <c r="F494" s="22"/>
      <c r="G494" s="28"/>
      <c r="H494" s="29">
        <v>0</v>
      </c>
      <c r="J494" s="15"/>
      <c r="K494" s="39"/>
    </row>
    <row r="495" spans="3:11" x14ac:dyDescent="0.3">
      <c r="C495" s="30" t="s">
        <v>33</v>
      </c>
      <c r="D495" s="31" t="s">
        <v>34</v>
      </c>
      <c r="E495" s="32"/>
      <c r="F495" s="32"/>
      <c r="G495" s="33"/>
      <c r="H495" s="46">
        <f>H494+H492+H489</f>
        <v>144850</v>
      </c>
      <c r="I495" s="47"/>
      <c r="J495" s="15"/>
      <c r="K495" s="39"/>
    </row>
    <row r="496" spans="3:11" x14ac:dyDescent="0.3">
      <c r="C496" s="30" t="s">
        <v>35</v>
      </c>
      <c r="D496" s="31" t="s">
        <v>36</v>
      </c>
      <c r="E496" s="32"/>
      <c r="F496" s="33"/>
      <c r="G496" s="34">
        <f>$M$9</f>
        <v>0.1</v>
      </c>
      <c r="H496" s="19">
        <f>H495*G496</f>
        <v>14485</v>
      </c>
      <c r="I496" s="47"/>
      <c r="J496" s="15"/>
      <c r="K496" s="39"/>
    </row>
    <row r="497" spans="3:11" x14ac:dyDescent="0.3">
      <c r="C497" s="30" t="s">
        <v>37</v>
      </c>
      <c r="D497" s="31" t="s">
        <v>38</v>
      </c>
      <c r="E497" s="32"/>
      <c r="F497" s="32"/>
      <c r="G497" s="33"/>
      <c r="H497" s="48">
        <f>SUM(H495:H496)</f>
        <v>159335</v>
      </c>
      <c r="I497" s="47"/>
      <c r="J497" s="15"/>
      <c r="K497" s="39"/>
    </row>
    <row r="498" spans="3:11" x14ac:dyDescent="0.3">
      <c r="C498" s="50"/>
      <c r="D498" s="51"/>
      <c r="E498" s="51"/>
      <c r="F498" s="51"/>
      <c r="G498" s="51"/>
      <c r="H498" s="52"/>
      <c r="J498" s="15"/>
      <c r="K498" s="39"/>
    </row>
    <row r="499" spans="3:11" x14ac:dyDescent="0.3">
      <c r="C499" s="40" t="s">
        <v>123</v>
      </c>
      <c r="D499" s="8" t="s">
        <v>124</v>
      </c>
      <c r="E499" s="44"/>
      <c r="F499" s="44"/>
      <c r="G499" s="44"/>
      <c r="H499" s="44"/>
      <c r="I499" s="10">
        <f>ROUNDDOWN(H514,0)</f>
        <v>236373</v>
      </c>
      <c r="J499" s="15"/>
      <c r="K499" s="39"/>
    </row>
    <row r="500" spans="3:11" ht="27.6" x14ac:dyDescent="0.3">
      <c r="C500" s="11" t="s">
        <v>9</v>
      </c>
      <c r="D500" s="11" t="s">
        <v>10</v>
      </c>
      <c r="E500" s="11" t="s">
        <v>11</v>
      </c>
      <c r="F500" s="11" t="s">
        <v>12</v>
      </c>
      <c r="G500" s="11" t="s">
        <v>13</v>
      </c>
      <c r="H500" s="11" t="s">
        <v>14</v>
      </c>
      <c r="J500" s="15"/>
      <c r="K500" s="39"/>
    </row>
    <row r="501" spans="3:11" x14ac:dyDescent="0.25">
      <c r="C501" s="17" t="s">
        <v>15</v>
      </c>
      <c r="D501" s="13" t="s">
        <v>16</v>
      </c>
      <c r="E501" s="14"/>
      <c r="F501" s="14"/>
      <c r="G501" s="14"/>
      <c r="H501" s="14"/>
      <c r="J501" s="15"/>
      <c r="K501" s="39"/>
    </row>
    <row r="502" spans="3:11" x14ac:dyDescent="0.3">
      <c r="C502" s="45">
        <v>1</v>
      </c>
      <c r="D502" s="13" t="s">
        <v>18</v>
      </c>
      <c r="E502" s="17" t="s">
        <v>19</v>
      </c>
      <c r="F502" s="18">
        <v>3.5999999999999997E-2</v>
      </c>
      <c r="G502" s="19">
        <f>VLOOKUP(D502,upahbahan,3,FALSE)</f>
        <v>100000</v>
      </c>
      <c r="H502" s="19">
        <f t="shared" ref="H502:H505" si="54">F502*G502</f>
        <v>3599.9999999999995</v>
      </c>
      <c r="J502" s="15"/>
      <c r="K502" s="39"/>
    </row>
    <row r="503" spans="3:11" x14ac:dyDescent="0.3">
      <c r="C503" s="45">
        <v>2</v>
      </c>
      <c r="D503" s="13" t="str">
        <f>D486</f>
        <v>Tukang listrik</v>
      </c>
      <c r="E503" s="17" t="s">
        <v>19</v>
      </c>
      <c r="F503" s="18">
        <v>0.06</v>
      </c>
      <c r="G503" s="19">
        <f>VLOOKUP(D503,upahbahan,3,FALSE)</f>
        <v>145000</v>
      </c>
      <c r="H503" s="19">
        <f t="shared" si="54"/>
        <v>8700</v>
      </c>
      <c r="J503" s="15"/>
      <c r="K503" s="39"/>
    </row>
    <row r="504" spans="3:11" x14ac:dyDescent="0.3">
      <c r="C504" s="45">
        <v>3</v>
      </c>
      <c r="D504" s="13" t="s">
        <v>22</v>
      </c>
      <c r="E504" s="17" t="s">
        <v>19</v>
      </c>
      <c r="F504" s="18">
        <v>6.0000000000000001E-3</v>
      </c>
      <c r="G504" s="19">
        <f>VLOOKUP(D504,upahbahan,3,FALSE)</f>
        <v>175000</v>
      </c>
      <c r="H504" s="19">
        <f t="shared" si="54"/>
        <v>1050</v>
      </c>
      <c r="J504" s="15"/>
      <c r="K504" s="39"/>
    </row>
    <row r="505" spans="3:11" x14ac:dyDescent="0.3">
      <c r="C505" s="45">
        <v>4</v>
      </c>
      <c r="D505" s="13" t="s">
        <v>23</v>
      </c>
      <c r="E505" s="17" t="s">
        <v>19</v>
      </c>
      <c r="F505" s="18">
        <v>2E-3</v>
      </c>
      <c r="G505" s="19">
        <f>VLOOKUP(D505,upahbahan,3,FALSE)</f>
        <v>200000</v>
      </c>
      <c r="H505" s="19">
        <f t="shared" si="54"/>
        <v>400</v>
      </c>
      <c r="J505" s="15"/>
      <c r="K505" s="39"/>
    </row>
    <row r="506" spans="3:11" x14ac:dyDescent="0.3">
      <c r="C506" s="21" t="s">
        <v>24</v>
      </c>
      <c r="D506" s="22"/>
      <c r="E506" s="22"/>
      <c r="F506" s="54"/>
      <c r="G506" s="24"/>
      <c r="H506" s="19">
        <f>SUM(H502:H505)</f>
        <v>13750</v>
      </c>
      <c r="I506" s="25"/>
      <c r="J506" s="15"/>
      <c r="K506" s="39"/>
    </row>
    <row r="507" spans="3:11" x14ac:dyDescent="0.25">
      <c r="C507" s="17" t="s">
        <v>25</v>
      </c>
      <c r="D507" s="13" t="s">
        <v>26</v>
      </c>
      <c r="E507" s="14"/>
      <c r="F507" s="55"/>
      <c r="G507" s="14"/>
      <c r="H507" s="14"/>
      <c r="J507" s="15"/>
      <c r="K507" s="39"/>
    </row>
    <row r="508" spans="3:11" x14ac:dyDescent="0.3">
      <c r="C508" s="45">
        <v>1</v>
      </c>
      <c r="D508" s="26" t="s">
        <v>125</v>
      </c>
      <c r="E508" s="27" t="s">
        <v>28</v>
      </c>
      <c r="F508" s="18">
        <v>1.1499999999999999</v>
      </c>
      <c r="G508" s="19">
        <f>VLOOKUP(D508,upahbahan,3,FALSE)</f>
        <v>174900</v>
      </c>
      <c r="H508" s="19">
        <f t="shared" ref="H508" si="55">F508*G508</f>
        <v>201134.99999999997</v>
      </c>
      <c r="J508" s="15"/>
      <c r="K508" s="39"/>
    </row>
    <row r="509" spans="3:11" x14ac:dyDescent="0.3">
      <c r="C509" s="21" t="s">
        <v>29</v>
      </c>
      <c r="D509" s="22"/>
      <c r="E509" s="22"/>
      <c r="F509" s="22"/>
      <c r="G509" s="28"/>
      <c r="H509" s="19">
        <f>SUM(H508:H508)</f>
        <v>201134.99999999997</v>
      </c>
      <c r="J509" s="15"/>
      <c r="K509" s="39"/>
    </row>
    <row r="510" spans="3:11" x14ac:dyDescent="0.25">
      <c r="C510" s="12" t="s">
        <v>30</v>
      </c>
      <c r="D510" s="13" t="s">
        <v>31</v>
      </c>
      <c r="E510" s="14"/>
      <c r="F510" s="14"/>
      <c r="G510" s="14"/>
      <c r="H510" s="14"/>
      <c r="J510" s="15"/>
      <c r="K510" s="39"/>
    </row>
    <row r="511" spans="3:11" x14ac:dyDescent="0.3">
      <c r="C511" s="21" t="s">
        <v>32</v>
      </c>
      <c r="D511" s="22"/>
      <c r="E511" s="22"/>
      <c r="F511" s="22"/>
      <c r="G511" s="28"/>
      <c r="H511" s="29">
        <v>0</v>
      </c>
      <c r="J511" s="15"/>
      <c r="K511" s="39"/>
    </row>
    <row r="512" spans="3:11" x14ac:dyDescent="0.3">
      <c r="C512" s="30" t="s">
        <v>33</v>
      </c>
      <c r="D512" s="31" t="s">
        <v>34</v>
      </c>
      <c r="E512" s="32"/>
      <c r="F512" s="32"/>
      <c r="G512" s="33"/>
      <c r="H512" s="46">
        <f>H511+H509+H506</f>
        <v>214884.99999999997</v>
      </c>
      <c r="I512" s="47"/>
      <c r="J512" s="15"/>
      <c r="K512" s="39"/>
    </row>
    <row r="513" spans="3:11" x14ac:dyDescent="0.3">
      <c r="C513" s="30" t="s">
        <v>35</v>
      </c>
      <c r="D513" s="31" t="s">
        <v>36</v>
      </c>
      <c r="E513" s="32"/>
      <c r="F513" s="33"/>
      <c r="G513" s="34">
        <f>$M$9</f>
        <v>0.1</v>
      </c>
      <c r="H513" s="19">
        <f>H512*G513</f>
        <v>21488.5</v>
      </c>
      <c r="I513" s="47"/>
      <c r="J513" s="15"/>
      <c r="K513" s="39"/>
    </row>
    <row r="514" spans="3:11" x14ac:dyDescent="0.3">
      <c r="C514" s="30" t="s">
        <v>37</v>
      </c>
      <c r="D514" s="31" t="s">
        <v>38</v>
      </c>
      <c r="E514" s="32"/>
      <c r="F514" s="32"/>
      <c r="G514" s="33"/>
      <c r="H514" s="48">
        <f>SUM(H512:H513)</f>
        <v>236373.49999999997</v>
      </c>
      <c r="I514" s="47"/>
      <c r="J514" s="15"/>
      <c r="K514" s="39"/>
    </row>
    <row r="515" spans="3:11" x14ac:dyDescent="0.3">
      <c r="J515" s="15"/>
      <c r="K515" s="39"/>
    </row>
    <row r="516" spans="3:11" x14ac:dyDescent="0.3">
      <c r="C516" s="40" t="s">
        <v>126</v>
      </c>
      <c r="D516" s="8" t="s">
        <v>127</v>
      </c>
      <c r="E516" s="44"/>
      <c r="F516" s="44"/>
      <c r="G516" s="44"/>
      <c r="H516" s="44"/>
      <c r="I516" s="10">
        <f>ROUNDDOWN(H531,0)</f>
        <v>315909</v>
      </c>
      <c r="J516" s="15"/>
      <c r="K516" s="39"/>
    </row>
    <row r="517" spans="3:11" ht="27.6" x14ac:dyDescent="0.3">
      <c r="C517" s="11" t="s">
        <v>9</v>
      </c>
      <c r="D517" s="11" t="s">
        <v>10</v>
      </c>
      <c r="E517" s="11" t="s">
        <v>11</v>
      </c>
      <c r="F517" s="11" t="s">
        <v>12</v>
      </c>
      <c r="G517" s="11" t="s">
        <v>13</v>
      </c>
      <c r="H517" s="11" t="s">
        <v>14</v>
      </c>
      <c r="J517" s="15"/>
      <c r="K517" s="39"/>
    </row>
    <row r="518" spans="3:11" x14ac:dyDescent="0.25">
      <c r="C518" s="12" t="s">
        <v>15</v>
      </c>
      <c r="D518" s="13" t="s">
        <v>16</v>
      </c>
      <c r="E518" s="14"/>
      <c r="F518" s="14"/>
      <c r="G518" s="14"/>
      <c r="H518" s="14"/>
      <c r="J518" s="15"/>
      <c r="K518" s="39"/>
    </row>
    <row r="519" spans="3:11" x14ac:dyDescent="0.3">
      <c r="C519" s="16">
        <v>1</v>
      </c>
      <c r="D519" s="13" t="s">
        <v>18</v>
      </c>
      <c r="E519" s="17" t="s">
        <v>19</v>
      </c>
      <c r="F519" s="49">
        <v>4.2999999999999997E-2</v>
      </c>
      <c r="G519" s="19">
        <f>VLOOKUP(D519,upahbahan,3,FALSE)</f>
        <v>100000</v>
      </c>
      <c r="H519" s="19">
        <f t="shared" ref="H519:H522" si="56">F519*G519</f>
        <v>4300</v>
      </c>
      <c r="J519" s="15"/>
      <c r="K519" s="39"/>
    </row>
    <row r="520" spans="3:11" x14ac:dyDescent="0.3">
      <c r="C520" s="16">
        <v>2</v>
      </c>
      <c r="D520" s="13" t="str">
        <f>D503</f>
        <v>Tukang listrik</v>
      </c>
      <c r="E520" s="17" t="s">
        <v>19</v>
      </c>
      <c r="F520" s="49">
        <v>7.1999999999999995E-2</v>
      </c>
      <c r="G520" s="19">
        <f>VLOOKUP(D520,upahbahan,3,FALSE)</f>
        <v>145000</v>
      </c>
      <c r="H520" s="19">
        <f t="shared" si="56"/>
        <v>10440</v>
      </c>
      <c r="J520" s="15"/>
      <c r="K520" s="39"/>
    </row>
    <row r="521" spans="3:11" x14ac:dyDescent="0.3">
      <c r="C521" s="16">
        <v>3</v>
      </c>
      <c r="D521" s="13" t="s">
        <v>22</v>
      </c>
      <c r="E521" s="17" t="s">
        <v>19</v>
      </c>
      <c r="F521" s="49">
        <v>7.0000000000000001E-3</v>
      </c>
      <c r="G521" s="19">
        <f>VLOOKUP(D521,upahbahan,3,FALSE)</f>
        <v>175000</v>
      </c>
      <c r="H521" s="19">
        <f t="shared" si="56"/>
        <v>1225</v>
      </c>
      <c r="J521" s="15"/>
      <c r="K521" s="39"/>
    </row>
    <row r="522" spans="3:11" x14ac:dyDescent="0.3">
      <c r="C522" s="16">
        <v>4</v>
      </c>
      <c r="D522" s="13" t="s">
        <v>23</v>
      </c>
      <c r="E522" s="17" t="s">
        <v>19</v>
      </c>
      <c r="F522" s="49">
        <v>2E-3</v>
      </c>
      <c r="G522" s="19">
        <f>VLOOKUP(D522,upahbahan,3,FALSE)</f>
        <v>200000</v>
      </c>
      <c r="H522" s="19">
        <f t="shared" si="56"/>
        <v>400</v>
      </c>
      <c r="J522" s="15"/>
      <c r="K522" s="39"/>
    </row>
    <row r="523" spans="3:11" x14ac:dyDescent="0.3">
      <c r="C523" s="21" t="s">
        <v>24</v>
      </c>
      <c r="D523" s="22"/>
      <c r="E523" s="22"/>
      <c r="F523" s="54"/>
      <c r="G523" s="24"/>
      <c r="H523" s="19">
        <f>SUM(H519:H522)</f>
        <v>16365</v>
      </c>
      <c r="I523" s="25"/>
      <c r="J523" s="15"/>
      <c r="K523" s="39"/>
    </row>
    <row r="524" spans="3:11" x14ac:dyDescent="0.25">
      <c r="C524" s="12" t="s">
        <v>25</v>
      </c>
      <c r="D524" s="13" t="s">
        <v>26</v>
      </c>
      <c r="E524" s="14"/>
      <c r="F524" s="55"/>
      <c r="G524" s="14"/>
      <c r="H524" s="14"/>
      <c r="J524" s="15"/>
      <c r="K524" s="39"/>
    </row>
    <row r="525" spans="3:11" x14ac:dyDescent="0.3">
      <c r="C525" s="16">
        <v>1</v>
      </c>
      <c r="D525" s="26" t="s">
        <v>128</v>
      </c>
      <c r="E525" s="27" t="s">
        <v>28</v>
      </c>
      <c r="F525" s="18">
        <v>1.1499999999999999</v>
      </c>
      <c r="G525" s="19">
        <f>VLOOKUP(D525,upahbahan,3,FALSE)</f>
        <v>235500</v>
      </c>
      <c r="H525" s="19">
        <f t="shared" ref="H525" si="57">F525*G525</f>
        <v>270825</v>
      </c>
      <c r="J525" s="15"/>
      <c r="K525" s="39"/>
    </row>
    <row r="526" spans="3:11" x14ac:dyDescent="0.3">
      <c r="C526" s="21" t="s">
        <v>29</v>
      </c>
      <c r="D526" s="22"/>
      <c r="E526" s="22"/>
      <c r="F526" s="22"/>
      <c r="G526" s="28"/>
      <c r="H526" s="19">
        <f>SUM(H525:H525)</f>
        <v>270825</v>
      </c>
      <c r="J526" s="15"/>
      <c r="K526" s="39"/>
    </row>
    <row r="527" spans="3:11" x14ac:dyDescent="0.25">
      <c r="C527" s="12" t="s">
        <v>30</v>
      </c>
      <c r="D527" s="13" t="s">
        <v>31</v>
      </c>
      <c r="E527" s="14"/>
      <c r="F527" s="14"/>
      <c r="G527" s="14"/>
      <c r="H527" s="14"/>
      <c r="J527" s="15"/>
      <c r="K527" s="39"/>
    </row>
    <row r="528" spans="3:11" x14ac:dyDescent="0.3">
      <c r="C528" s="21" t="s">
        <v>32</v>
      </c>
      <c r="D528" s="22"/>
      <c r="E528" s="22"/>
      <c r="F528" s="22"/>
      <c r="G528" s="28"/>
      <c r="H528" s="29">
        <v>0</v>
      </c>
      <c r="J528" s="15"/>
      <c r="K528" s="39"/>
    </row>
    <row r="529" spans="3:11" x14ac:dyDescent="0.3">
      <c r="C529" s="30" t="s">
        <v>33</v>
      </c>
      <c r="D529" s="31" t="s">
        <v>34</v>
      </c>
      <c r="E529" s="32"/>
      <c r="F529" s="32"/>
      <c r="G529" s="33"/>
      <c r="H529" s="46">
        <f>H528+H526+H523</f>
        <v>287190</v>
      </c>
      <c r="I529" s="47"/>
      <c r="J529" s="15"/>
      <c r="K529" s="39"/>
    </row>
    <row r="530" spans="3:11" x14ac:dyDescent="0.3">
      <c r="C530" s="30" t="s">
        <v>35</v>
      </c>
      <c r="D530" s="31" t="s">
        <v>36</v>
      </c>
      <c r="E530" s="32"/>
      <c r="F530" s="33"/>
      <c r="G530" s="34">
        <f>$M$9</f>
        <v>0.1</v>
      </c>
      <c r="H530" s="19">
        <f>H529*G530</f>
        <v>28719</v>
      </c>
      <c r="I530" s="47"/>
      <c r="J530" s="15"/>
      <c r="K530" s="39"/>
    </row>
    <row r="531" spans="3:11" x14ac:dyDescent="0.3">
      <c r="C531" s="30" t="s">
        <v>37</v>
      </c>
      <c r="D531" s="31" t="s">
        <v>38</v>
      </c>
      <c r="E531" s="32"/>
      <c r="F531" s="32"/>
      <c r="G531" s="33"/>
      <c r="H531" s="48">
        <f>SUM(H529:H530)</f>
        <v>315909</v>
      </c>
      <c r="I531" s="47"/>
      <c r="J531" s="15"/>
      <c r="K531" s="39"/>
    </row>
    <row r="532" spans="3:11" x14ac:dyDescent="0.3">
      <c r="J532" s="15"/>
      <c r="K532" s="39"/>
    </row>
    <row r="533" spans="3:11" x14ac:dyDescent="0.3">
      <c r="C533" s="40" t="s">
        <v>129</v>
      </c>
      <c r="D533" s="8" t="s">
        <v>130</v>
      </c>
      <c r="E533" s="44"/>
      <c r="F533" s="44"/>
      <c r="G533" s="44"/>
      <c r="H533" s="44"/>
      <c r="I533" s="10">
        <f>ROUNDDOWN(H548,0)</f>
        <v>406950</v>
      </c>
      <c r="J533" s="15"/>
      <c r="K533" s="39"/>
    </row>
    <row r="534" spans="3:11" ht="27.6" x14ac:dyDescent="0.3">
      <c r="C534" s="11" t="s">
        <v>9</v>
      </c>
      <c r="D534" s="11" t="s">
        <v>10</v>
      </c>
      <c r="E534" s="11" t="s">
        <v>11</v>
      </c>
      <c r="F534" s="11" t="s">
        <v>12</v>
      </c>
      <c r="G534" s="11" t="s">
        <v>13</v>
      </c>
      <c r="H534" s="11" t="s">
        <v>14</v>
      </c>
      <c r="J534" s="15"/>
      <c r="K534" s="39"/>
    </row>
    <row r="535" spans="3:11" x14ac:dyDescent="0.25">
      <c r="C535" s="17" t="s">
        <v>15</v>
      </c>
      <c r="D535" s="13" t="s">
        <v>16</v>
      </c>
      <c r="E535" s="14"/>
      <c r="F535" s="14"/>
      <c r="G535" s="14"/>
      <c r="H535" s="14"/>
      <c r="J535" s="15"/>
      <c r="K535" s="39"/>
    </row>
    <row r="536" spans="3:11" x14ac:dyDescent="0.3">
      <c r="C536" s="45">
        <v>1</v>
      </c>
      <c r="D536" s="13" t="s">
        <v>18</v>
      </c>
      <c r="E536" s="17" t="s">
        <v>19</v>
      </c>
      <c r="F536" s="18">
        <v>4.8000000000000001E-2</v>
      </c>
      <c r="G536" s="19">
        <f>VLOOKUP(D536,upahbahan,3,FALSE)</f>
        <v>100000</v>
      </c>
      <c r="H536" s="19">
        <f t="shared" ref="H536:H539" si="58">F536*G536</f>
        <v>4800</v>
      </c>
      <c r="J536" s="15"/>
      <c r="K536" s="39"/>
    </row>
    <row r="537" spans="3:11" x14ac:dyDescent="0.3">
      <c r="C537" s="45">
        <v>2</v>
      </c>
      <c r="D537" s="13" t="str">
        <f>D520</f>
        <v>Tukang listrik</v>
      </c>
      <c r="E537" s="17" t="s">
        <v>19</v>
      </c>
      <c r="F537" s="18">
        <v>0.08</v>
      </c>
      <c r="G537" s="19">
        <f>VLOOKUP(D537,upahbahan,3,FALSE)</f>
        <v>145000</v>
      </c>
      <c r="H537" s="19">
        <f t="shared" si="58"/>
        <v>11600</v>
      </c>
      <c r="J537" s="15"/>
      <c r="K537" s="39"/>
    </row>
    <row r="538" spans="3:11" x14ac:dyDescent="0.3">
      <c r="C538" s="45">
        <v>3</v>
      </c>
      <c r="D538" s="13" t="s">
        <v>22</v>
      </c>
      <c r="E538" s="17" t="s">
        <v>19</v>
      </c>
      <c r="F538" s="18">
        <v>8.0000000000000002E-3</v>
      </c>
      <c r="G538" s="19">
        <f>VLOOKUP(D538,upahbahan,3,FALSE)</f>
        <v>175000</v>
      </c>
      <c r="H538" s="19">
        <f t="shared" si="58"/>
        <v>1400</v>
      </c>
      <c r="J538" s="15"/>
      <c r="K538" s="39"/>
    </row>
    <row r="539" spans="3:11" x14ac:dyDescent="0.3">
      <c r="C539" s="45">
        <v>4</v>
      </c>
      <c r="D539" s="13" t="s">
        <v>23</v>
      </c>
      <c r="E539" s="17" t="s">
        <v>19</v>
      </c>
      <c r="F539" s="18">
        <v>3.0000000000000001E-3</v>
      </c>
      <c r="G539" s="19">
        <f>VLOOKUP(D539,upahbahan,3,FALSE)</f>
        <v>200000</v>
      </c>
      <c r="H539" s="19">
        <f t="shared" si="58"/>
        <v>600</v>
      </c>
      <c r="J539" s="15"/>
      <c r="K539" s="39"/>
    </row>
    <row r="540" spans="3:11" x14ac:dyDescent="0.3">
      <c r="C540" s="21" t="s">
        <v>24</v>
      </c>
      <c r="D540" s="22"/>
      <c r="E540" s="22"/>
      <c r="F540" s="54"/>
      <c r="G540" s="24"/>
      <c r="H540" s="19">
        <f>SUM(H536:H539)</f>
        <v>18400</v>
      </c>
      <c r="I540" s="25"/>
      <c r="J540" s="15"/>
      <c r="K540" s="39"/>
    </row>
    <row r="541" spans="3:11" x14ac:dyDescent="0.25">
      <c r="C541" s="17" t="s">
        <v>25</v>
      </c>
      <c r="D541" s="13" t="s">
        <v>26</v>
      </c>
      <c r="E541" s="14"/>
      <c r="F541" s="55"/>
      <c r="G541" s="14"/>
      <c r="H541" s="14"/>
      <c r="J541" s="15"/>
      <c r="K541" s="39"/>
    </row>
    <row r="542" spans="3:11" x14ac:dyDescent="0.3">
      <c r="C542" s="45">
        <v>1</v>
      </c>
      <c r="D542" s="26" t="s">
        <v>131</v>
      </c>
      <c r="E542" s="27" t="s">
        <v>28</v>
      </c>
      <c r="F542" s="18">
        <v>1.1499999999999999</v>
      </c>
      <c r="G542" s="19">
        <f>VLOOKUP(D542,upahbahan,3,FALSE)</f>
        <v>305700</v>
      </c>
      <c r="H542" s="19">
        <f t="shared" ref="H542" si="59">F542*G542</f>
        <v>351555</v>
      </c>
      <c r="J542" s="15"/>
      <c r="K542" s="39"/>
    </row>
    <row r="543" spans="3:11" x14ac:dyDescent="0.3">
      <c r="C543" s="21" t="s">
        <v>29</v>
      </c>
      <c r="D543" s="22"/>
      <c r="E543" s="22"/>
      <c r="F543" s="22"/>
      <c r="G543" s="28"/>
      <c r="H543" s="19">
        <f>SUM(H542:H542)</f>
        <v>351555</v>
      </c>
      <c r="J543" s="15"/>
      <c r="K543" s="39"/>
    </row>
    <row r="544" spans="3:11" x14ac:dyDescent="0.25">
      <c r="C544" s="12" t="s">
        <v>30</v>
      </c>
      <c r="D544" s="13" t="s">
        <v>31</v>
      </c>
      <c r="E544" s="14"/>
      <c r="F544" s="14"/>
      <c r="G544" s="14"/>
      <c r="H544" s="14"/>
      <c r="J544" s="15"/>
      <c r="K544" s="39"/>
    </row>
    <row r="545" spans="3:11" x14ac:dyDescent="0.3">
      <c r="C545" s="21" t="s">
        <v>32</v>
      </c>
      <c r="D545" s="22"/>
      <c r="E545" s="22"/>
      <c r="F545" s="22"/>
      <c r="G545" s="28"/>
      <c r="H545" s="29">
        <v>0</v>
      </c>
      <c r="J545" s="15"/>
      <c r="K545" s="39"/>
    </row>
    <row r="546" spans="3:11" x14ac:dyDescent="0.3">
      <c r="C546" s="30" t="s">
        <v>33</v>
      </c>
      <c r="D546" s="31" t="s">
        <v>34</v>
      </c>
      <c r="E546" s="32"/>
      <c r="F546" s="32"/>
      <c r="G546" s="33"/>
      <c r="H546" s="46">
        <f>H545+H543+H540</f>
        <v>369955</v>
      </c>
      <c r="I546" s="47"/>
      <c r="J546" s="15"/>
      <c r="K546" s="39"/>
    </row>
    <row r="547" spans="3:11" x14ac:dyDescent="0.3">
      <c r="C547" s="30" t="s">
        <v>35</v>
      </c>
      <c r="D547" s="31" t="s">
        <v>36</v>
      </c>
      <c r="E547" s="32"/>
      <c r="F547" s="33"/>
      <c r="G547" s="34">
        <f>$M$9</f>
        <v>0.1</v>
      </c>
      <c r="H547" s="19">
        <f>H546*G547</f>
        <v>36995.5</v>
      </c>
      <c r="I547" s="47"/>
      <c r="J547" s="15"/>
      <c r="K547" s="39"/>
    </row>
    <row r="548" spans="3:11" x14ac:dyDescent="0.3">
      <c r="C548" s="30" t="s">
        <v>37</v>
      </c>
      <c r="D548" s="31" t="s">
        <v>38</v>
      </c>
      <c r="E548" s="32"/>
      <c r="F548" s="32"/>
      <c r="G548" s="33"/>
      <c r="H548" s="48">
        <f>SUM(H546:H547)</f>
        <v>406950.5</v>
      </c>
      <c r="I548" s="47"/>
      <c r="J548" s="15"/>
      <c r="K548" s="39"/>
    </row>
    <row r="549" spans="3:11" x14ac:dyDescent="0.3">
      <c r="J549" s="15"/>
      <c r="K549" s="39"/>
    </row>
    <row r="550" spans="3:11" x14ac:dyDescent="0.3">
      <c r="C550" s="40" t="s">
        <v>132</v>
      </c>
      <c r="D550" s="8" t="s">
        <v>133</v>
      </c>
      <c r="E550" s="44"/>
      <c r="F550" s="44"/>
      <c r="G550" s="44"/>
      <c r="H550" s="44"/>
      <c r="I550" s="10">
        <f>ROUNDDOWN(H565,0)</f>
        <v>33539</v>
      </c>
      <c r="J550" s="15"/>
      <c r="K550" s="39"/>
    </row>
    <row r="551" spans="3:11" ht="27.6" x14ac:dyDescent="0.3">
      <c r="C551" s="11" t="s">
        <v>9</v>
      </c>
      <c r="D551" s="11" t="s">
        <v>10</v>
      </c>
      <c r="E551" s="11" t="s">
        <v>11</v>
      </c>
      <c r="F551" s="11" t="s">
        <v>12</v>
      </c>
      <c r="G551" s="11" t="s">
        <v>13</v>
      </c>
      <c r="H551" s="11" t="s">
        <v>14</v>
      </c>
      <c r="J551" s="15"/>
      <c r="K551" s="39"/>
    </row>
    <row r="552" spans="3:11" x14ac:dyDescent="0.25">
      <c r="C552" s="17" t="s">
        <v>15</v>
      </c>
      <c r="D552" s="13" t="s">
        <v>16</v>
      </c>
      <c r="E552" s="14"/>
      <c r="F552" s="14"/>
      <c r="G552" s="14"/>
      <c r="H552" s="14"/>
      <c r="J552" s="15"/>
      <c r="K552" s="39"/>
    </row>
    <row r="553" spans="3:11" x14ac:dyDescent="0.3">
      <c r="C553" s="45">
        <v>1</v>
      </c>
      <c r="D553" s="13" t="s">
        <v>18</v>
      </c>
      <c r="E553" s="17" t="s">
        <v>19</v>
      </c>
      <c r="F553" s="18">
        <v>2.4E-2</v>
      </c>
      <c r="G553" s="19">
        <f>VLOOKUP(D553,upahbahan,3,FALSE)</f>
        <v>100000</v>
      </c>
      <c r="H553" s="19">
        <f t="shared" ref="H553:H556" si="60">F553*G553</f>
        <v>2400</v>
      </c>
      <c r="J553" s="15"/>
      <c r="K553" s="39"/>
    </row>
    <row r="554" spans="3:11" x14ac:dyDescent="0.3">
      <c r="C554" s="45">
        <v>2</v>
      </c>
      <c r="D554" s="13" t="str">
        <f>D537</f>
        <v>Tukang listrik</v>
      </c>
      <c r="E554" s="17" t="s">
        <v>19</v>
      </c>
      <c r="F554" s="18">
        <v>0.04</v>
      </c>
      <c r="G554" s="19">
        <f>VLOOKUP(D554,upahbahan,3,FALSE)</f>
        <v>145000</v>
      </c>
      <c r="H554" s="19">
        <f t="shared" si="60"/>
        <v>5800</v>
      </c>
      <c r="J554" s="15"/>
      <c r="K554" s="39"/>
    </row>
    <row r="555" spans="3:11" x14ac:dyDescent="0.3">
      <c r="C555" s="45">
        <v>3</v>
      </c>
      <c r="D555" s="13" t="s">
        <v>22</v>
      </c>
      <c r="E555" s="17" t="s">
        <v>19</v>
      </c>
      <c r="F555" s="18">
        <v>4.0000000000000001E-3</v>
      </c>
      <c r="G555" s="19">
        <f>VLOOKUP(D555,upahbahan,3,FALSE)</f>
        <v>175000</v>
      </c>
      <c r="H555" s="19">
        <f t="shared" si="60"/>
        <v>700</v>
      </c>
      <c r="J555" s="15"/>
      <c r="K555" s="39"/>
    </row>
    <row r="556" spans="3:11" x14ac:dyDescent="0.3">
      <c r="C556" s="45">
        <v>4</v>
      </c>
      <c r="D556" s="13" t="s">
        <v>23</v>
      </c>
      <c r="E556" s="17" t="s">
        <v>19</v>
      </c>
      <c r="F556" s="18">
        <v>1E-3</v>
      </c>
      <c r="G556" s="19">
        <f>VLOOKUP(D556,upahbahan,3,FALSE)</f>
        <v>200000</v>
      </c>
      <c r="H556" s="19">
        <f t="shared" si="60"/>
        <v>200</v>
      </c>
      <c r="J556" s="15"/>
      <c r="K556" s="39"/>
    </row>
    <row r="557" spans="3:11" x14ac:dyDescent="0.3">
      <c r="C557" s="21" t="s">
        <v>24</v>
      </c>
      <c r="D557" s="22"/>
      <c r="E557" s="22"/>
      <c r="F557" s="54"/>
      <c r="G557" s="24"/>
      <c r="H557" s="19">
        <f>SUM(H553:H556)</f>
        <v>9100</v>
      </c>
      <c r="I557" s="25"/>
      <c r="J557" s="15"/>
      <c r="K557" s="39"/>
    </row>
    <row r="558" spans="3:11" x14ac:dyDescent="0.25">
      <c r="C558" s="17" t="s">
        <v>25</v>
      </c>
      <c r="D558" s="13" t="s">
        <v>26</v>
      </c>
      <c r="E558" s="14"/>
      <c r="F558" s="55"/>
      <c r="G558" s="14"/>
      <c r="H558" s="14"/>
      <c r="J558" s="15"/>
      <c r="K558" s="39"/>
    </row>
    <row r="559" spans="3:11" x14ac:dyDescent="0.3">
      <c r="C559" s="45">
        <v>1</v>
      </c>
      <c r="D559" s="26" t="s">
        <v>134</v>
      </c>
      <c r="E559" s="27" t="s">
        <v>28</v>
      </c>
      <c r="F559" s="18">
        <v>1.1499999999999999</v>
      </c>
      <c r="G559" s="19">
        <f>VLOOKUP(D559,upahbahan,3,FALSE)</f>
        <v>18600</v>
      </c>
      <c r="H559" s="19">
        <f>F559*G559</f>
        <v>21390</v>
      </c>
      <c r="J559" s="15"/>
      <c r="K559" s="39"/>
    </row>
    <row r="560" spans="3:11" x14ac:dyDescent="0.3">
      <c r="C560" s="21" t="s">
        <v>29</v>
      </c>
      <c r="D560" s="22"/>
      <c r="E560" s="22"/>
      <c r="F560" s="22"/>
      <c r="G560" s="28"/>
      <c r="H560" s="19">
        <f>SUM(H559:H559)</f>
        <v>21390</v>
      </c>
      <c r="J560" s="15"/>
      <c r="K560" s="39"/>
    </row>
    <row r="561" spans="3:11" x14ac:dyDescent="0.25">
      <c r="C561" s="12" t="s">
        <v>30</v>
      </c>
      <c r="D561" s="13" t="s">
        <v>31</v>
      </c>
      <c r="E561" s="14"/>
      <c r="F561" s="14"/>
      <c r="G561" s="14"/>
      <c r="H561" s="14"/>
      <c r="J561" s="15"/>
      <c r="K561" s="39"/>
    </row>
    <row r="562" spans="3:11" x14ac:dyDescent="0.3">
      <c r="C562" s="21" t="s">
        <v>32</v>
      </c>
      <c r="D562" s="22"/>
      <c r="E562" s="22"/>
      <c r="F562" s="22"/>
      <c r="G562" s="28"/>
      <c r="H562" s="29">
        <v>0</v>
      </c>
      <c r="J562" s="15"/>
      <c r="K562" s="39"/>
    </row>
    <row r="563" spans="3:11" x14ac:dyDescent="0.3">
      <c r="C563" s="30" t="s">
        <v>33</v>
      </c>
      <c r="D563" s="31" t="s">
        <v>34</v>
      </c>
      <c r="E563" s="32"/>
      <c r="F563" s="32"/>
      <c r="G563" s="33"/>
      <c r="H563" s="46">
        <f>H562+H560+H557</f>
        <v>30490</v>
      </c>
      <c r="I563" s="47"/>
      <c r="J563" s="15"/>
      <c r="K563" s="39"/>
    </row>
    <row r="564" spans="3:11" x14ac:dyDescent="0.3">
      <c r="C564" s="30" t="s">
        <v>35</v>
      </c>
      <c r="D564" s="31" t="s">
        <v>36</v>
      </c>
      <c r="E564" s="32"/>
      <c r="F564" s="33"/>
      <c r="G564" s="34">
        <f>$M$9</f>
        <v>0.1</v>
      </c>
      <c r="H564" s="19">
        <f>H563*G564</f>
        <v>3049</v>
      </c>
      <c r="I564" s="47"/>
      <c r="J564" s="15"/>
      <c r="K564" s="39"/>
    </row>
    <row r="565" spans="3:11" x14ac:dyDescent="0.3">
      <c r="C565" s="30" t="s">
        <v>37</v>
      </c>
      <c r="D565" s="31" t="s">
        <v>38</v>
      </c>
      <c r="E565" s="32"/>
      <c r="F565" s="32"/>
      <c r="G565" s="33"/>
      <c r="H565" s="48">
        <f>SUM(H563:H564)</f>
        <v>33539</v>
      </c>
      <c r="I565" s="47"/>
      <c r="J565" s="15"/>
      <c r="K565" s="39"/>
    </row>
    <row r="566" spans="3:11" x14ac:dyDescent="0.3">
      <c r="J566" s="15"/>
      <c r="K566" s="39"/>
    </row>
    <row r="567" spans="3:11" x14ac:dyDescent="0.3">
      <c r="C567" s="40" t="s">
        <v>135</v>
      </c>
      <c r="D567" s="8" t="s">
        <v>136</v>
      </c>
      <c r="E567" s="44"/>
      <c r="F567" s="44"/>
      <c r="G567" s="44"/>
      <c r="H567" s="44"/>
      <c r="I567" s="10">
        <f>ROUNDDOWN(H582,0)</f>
        <v>46214</v>
      </c>
      <c r="J567" s="15"/>
      <c r="K567" s="39"/>
    </row>
    <row r="568" spans="3:11" ht="27.6" x14ac:dyDescent="0.3">
      <c r="C568" s="11" t="s">
        <v>9</v>
      </c>
      <c r="D568" s="11" t="s">
        <v>10</v>
      </c>
      <c r="E568" s="11" t="s">
        <v>11</v>
      </c>
      <c r="F568" s="11" t="s">
        <v>12</v>
      </c>
      <c r="G568" s="11" t="s">
        <v>13</v>
      </c>
      <c r="H568" s="11" t="s">
        <v>14</v>
      </c>
      <c r="J568" s="15"/>
      <c r="K568" s="39"/>
    </row>
    <row r="569" spans="3:11" x14ac:dyDescent="0.25">
      <c r="C569" s="17" t="s">
        <v>15</v>
      </c>
      <c r="D569" s="13" t="s">
        <v>16</v>
      </c>
      <c r="E569" s="14"/>
      <c r="F569" s="14"/>
      <c r="G569" s="14"/>
      <c r="H569" s="14"/>
      <c r="J569" s="15"/>
      <c r="K569" s="39"/>
    </row>
    <row r="570" spans="3:11" x14ac:dyDescent="0.3">
      <c r="C570" s="45">
        <v>1</v>
      </c>
      <c r="D570" s="13" t="s">
        <v>18</v>
      </c>
      <c r="E570" s="17" t="s">
        <v>19</v>
      </c>
      <c r="F570" s="18">
        <v>2.4E-2</v>
      </c>
      <c r="G570" s="19">
        <f>VLOOKUP(D570,upahbahan,3,FALSE)</f>
        <v>100000</v>
      </c>
      <c r="H570" s="19">
        <f t="shared" ref="H570:H573" si="61">F570*G570</f>
        <v>2400</v>
      </c>
      <c r="J570" s="15"/>
      <c r="K570" s="39"/>
    </row>
    <row r="571" spans="3:11" x14ac:dyDescent="0.3">
      <c r="C571" s="45">
        <v>2</v>
      </c>
      <c r="D571" s="13" t="str">
        <f>D554</f>
        <v>Tukang listrik</v>
      </c>
      <c r="E571" s="17" t="s">
        <v>19</v>
      </c>
      <c r="F571" s="18">
        <v>0.04</v>
      </c>
      <c r="G571" s="19">
        <f>VLOOKUP(D571,upahbahan,3,FALSE)</f>
        <v>145000</v>
      </c>
      <c r="H571" s="19">
        <f t="shared" si="61"/>
        <v>5800</v>
      </c>
      <c r="J571" s="15"/>
      <c r="K571" s="39"/>
    </row>
    <row r="572" spans="3:11" x14ac:dyDescent="0.3">
      <c r="C572" s="45">
        <v>3</v>
      </c>
      <c r="D572" s="13" t="s">
        <v>22</v>
      </c>
      <c r="E572" s="17" t="s">
        <v>19</v>
      </c>
      <c r="F572" s="18">
        <v>4.0000000000000001E-3</v>
      </c>
      <c r="G572" s="19">
        <f>VLOOKUP(D572,upahbahan,3,FALSE)</f>
        <v>175000</v>
      </c>
      <c r="H572" s="19">
        <f t="shared" si="61"/>
        <v>700</v>
      </c>
      <c r="J572" s="15"/>
      <c r="K572" s="39"/>
    </row>
    <row r="573" spans="3:11" x14ac:dyDescent="0.3">
      <c r="C573" s="45">
        <v>4</v>
      </c>
      <c r="D573" s="13" t="s">
        <v>23</v>
      </c>
      <c r="E573" s="17" t="s">
        <v>19</v>
      </c>
      <c r="F573" s="18">
        <v>1E-3</v>
      </c>
      <c r="G573" s="19">
        <f>VLOOKUP(D573,upahbahan,3,FALSE)</f>
        <v>200000</v>
      </c>
      <c r="H573" s="19">
        <f t="shared" si="61"/>
        <v>200</v>
      </c>
      <c r="J573" s="15"/>
      <c r="K573" s="39"/>
    </row>
    <row r="574" spans="3:11" x14ac:dyDescent="0.3">
      <c r="C574" s="21" t="s">
        <v>24</v>
      </c>
      <c r="D574" s="22"/>
      <c r="E574" s="22"/>
      <c r="F574" s="54"/>
      <c r="G574" s="24"/>
      <c r="H574" s="19">
        <f>SUM(H570:H573)</f>
        <v>9100</v>
      </c>
      <c r="I574" s="25"/>
      <c r="J574" s="15"/>
      <c r="K574" s="39"/>
    </row>
    <row r="575" spans="3:11" x14ac:dyDescent="0.25">
      <c r="C575" s="17" t="s">
        <v>25</v>
      </c>
      <c r="D575" s="13" t="s">
        <v>26</v>
      </c>
      <c r="E575" s="14"/>
      <c r="F575" s="55"/>
      <c r="G575" s="14"/>
      <c r="H575" s="14"/>
      <c r="J575" s="15"/>
      <c r="K575" s="39"/>
    </row>
    <row r="576" spans="3:11" x14ac:dyDescent="0.3">
      <c r="C576" s="45">
        <v>1</v>
      </c>
      <c r="D576" s="26" t="s">
        <v>137</v>
      </c>
      <c r="E576" s="27" t="s">
        <v>28</v>
      </c>
      <c r="F576" s="18">
        <v>1.1499999999999999</v>
      </c>
      <c r="G576" s="19">
        <f>VLOOKUP(D576,upahbahan,3,FALSE)</f>
        <v>28620</v>
      </c>
      <c r="H576" s="19">
        <f>F576*G576</f>
        <v>32913</v>
      </c>
      <c r="J576" s="15"/>
      <c r="K576" s="39"/>
    </row>
    <row r="577" spans="3:11" x14ac:dyDescent="0.3">
      <c r="C577" s="21" t="s">
        <v>29</v>
      </c>
      <c r="D577" s="22"/>
      <c r="E577" s="22"/>
      <c r="F577" s="22"/>
      <c r="G577" s="28"/>
      <c r="H577" s="19">
        <f>SUM(H576:H576)</f>
        <v>32913</v>
      </c>
      <c r="J577" s="15"/>
      <c r="K577" s="39"/>
    </row>
    <row r="578" spans="3:11" x14ac:dyDescent="0.25">
      <c r="C578" s="12" t="s">
        <v>30</v>
      </c>
      <c r="D578" s="13" t="s">
        <v>31</v>
      </c>
      <c r="E578" s="14"/>
      <c r="F578" s="14"/>
      <c r="G578" s="14"/>
      <c r="H578" s="14"/>
      <c r="J578" s="15"/>
      <c r="K578" s="39"/>
    </row>
    <row r="579" spans="3:11" x14ac:dyDescent="0.3">
      <c r="C579" s="21" t="s">
        <v>32</v>
      </c>
      <c r="D579" s="22"/>
      <c r="E579" s="22"/>
      <c r="F579" s="22"/>
      <c r="G579" s="28"/>
      <c r="H579" s="29">
        <v>0</v>
      </c>
      <c r="J579" s="15"/>
      <c r="K579" s="39"/>
    </row>
    <row r="580" spans="3:11" x14ac:dyDescent="0.3">
      <c r="C580" s="30" t="s">
        <v>33</v>
      </c>
      <c r="D580" s="31" t="s">
        <v>34</v>
      </c>
      <c r="E580" s="32"/>
      <c r="F580" s="32"/>
      <c r="G580" s="33"/>
      <c r="H580" s="46">
        <f>H579+H577+H574</f>
        <v>42013</v>
      </c>
      <c r="I580" s="47"/>
      <c r="J580" s="15"/>
      <c r="K580" s="39"/>
    </row>
    <row r="581" spans="3:11" x14ac:dyDescent="0.3">
      <c r="C581" s="30" t="s">
        <v>35</v>
      </c>
      <c r="D581" s="31" t="s">
        <v>36</v>
      </c>
      <c r="E581" s="32"/>
      <c r="F581" s="33"/>
      <c r="G581" s="34">
        <f>$M$9</f>
        <v>0.1</v>
      </c>
      <c r="H581" s="19">
        <f>H580*G581</f>
        <v>4201.3</v>
      </c>
      <c r="I581" s="47"/>
      <c r="J581" s="15"/>
      <c r="K581" s="39"/>
    </row>
    <row r="582" spans="3:11" x14ac:dyDescent="0.3">
      <c r="C582" s="30" t="s">
        <v>37</v>
      </c>
      <c r="D582" s="31" t="s">
        <v>38</v>
      </c>
      <c r="E582" s="32"/>
      <c r="F582" s="32"/>
      <c r="G582" s="33"/>
      <c r="H582" s="48">
        <f>SUM(H580:H581)</f>
        <v>46214.3</v>
      </c>
      <c r="I582" s="47"/>
      <c r="J582" s="15"/>
      <c r="K582" s="39"/>
    </row>
    <row r="583" spans="3:11" x14ac:dyDescent="0.3">
      <c r="J583" s="15"/>
      <c r="K583" s="39"/>
    </row>
    <row r="584" spans="3:11" x14ac:dyDescent="0.3">
      <c r="C584" s="40" t="s">
        <v>138</v>
      </c>
      <c r="D584" s="8" t="s">
        <v>139</v>
      </c>
      <c r="E584" s="44"/>
      <c r="F584" s="44"/>
      <c r="G584" s="44"/>
      <c r="H584" s="44"/>
      <c r="I584" s="10">
        <f>ROUNDDOWN(H599,0)</f>
        <v>66643</v>
      </c>
      <c r="J584" s="15"/>
      <c r="K584" s="39"/>
    </row>
    <row r="585" spans="3:11" ht="27.6" x14ac:dyDescent="0.3">
      <c r="C585" s="11" t="s">
        <v>9</v>
      </c>
      <c r="D585" s="11" t="s">
        <v>10</v>
      </c>
      <c r="E585" s="11" t="s">
        <v>11</v>
      </c>
      <c r="F585" s="11" t="s">
        <v>12</v>
      </c>
      <c r="G585" s="11" t="s">
        <v>13</v>
      </c>
      <c r="H585" s="11" t="s">
        <v>14</v>
      </c>
      <c r="J585" s="15"/>
      <c r="K585" s="39"/>
    </row>
    <row r="586" spans="3:11" x14ac:dyDescent="0.25">
      <c r="C586" s="17" t="s">
        <v>15</v>
      </c>
      <c r="D586" s="13" t="s">
        <v>16</v>
      </c>
      <c r="E586" s="14"/>
      <c r="F586" s="14"/>
      <c r="G586" s="14"/>
      <c r="H586" s="14"/>
      <c r="J586" s="15"/>
      <c r="K586" s="39"/>
    </row>
    <row r="587" spans="3:11" x14ac:dyDescent="0.3">
      <c r="C587" s="45">
        <v>1</v>
      </c>
      <c r="D587" s="13" t="s">
        <v>18</v>
      </c>
      <c r="E587" s="17" t="s">
        <v>19</v>
      </c>
      <c r="F587" s="49">
        <v>2.9000000000000001E-2</v>
      </c>
      <c r="G587" s="19">
        <f>VLOOKUP(D587,upahbahan,3,FALSE)</f>
        <v>100000</v>
      </c>
      <c r="H587" s="19">
        <f t="shared" ref="H587:H590" si="62">F587*G587</f>
        <v>2900</v>
      </c>
      <c r="J587" s="15"/>
      <c r="K587" s="39"/>
    </row>
    <row r="588" spans="3:11" x14ac:dyDescent="0.3">
      <c r="C588" s="45">
        <v>2</v>
      </c>
      <c r="D588" s="13" t="str">
        <f>D571</f>
        <v>Tukang listrik</v>
      </c>
      <c r="E588" s="17" t="s">
        <v>19</v>
      </c>
      <c r="F588" s="49">
        <v>4.8000000000000001E-2</v>
      </c>
      <c r="G588" s="19">
        <f>VLOOKUP(D588,upahbahan,3,FALSE)</f>
        <v>145000</v>
      </c>
      <c r="H588" s="19">
        <f t="shared" si="62"/>
        <v>6960</v>
      </c>
      <c r="J588" s="15"/>
      <c r="K588" s="39"/>
    </row>
    <row r="589" spans="3:11" x14ac:dyDescent="0.3">
      <c r="C589" s="45">
        <v>3</v>
      </c>
      <c r="D589" s="13" t="s">
        <v>22</v>
      </c>
      <c r="E589" s="17" t="s">
        <v>19</v>
      </c>
      <c r="F589" s="49">
        <v>5.0000000000000001E-3</v>
      </c>
      <c r="G589" s="19">
        <f>VLOOKUP(D589,upahbahan,3,FALSE)</f>
        <v>175000</v>
      </c>
      <c r="H589" s="19">
        <f t="shared" si="62"/>
        <v>875</v>
      </c>
      <c r="J589" s="15"/>
      <c r="K589" s="39"/>
    </row>
    <row r="590" spans="3:11" x14ac:dyDescent="0.3">
      <c r="C590" s="45">
        <v>4</v>
      </c>
      <c r="D590" s="13" t="s">
        <v>23</v>
      </c>
      <c r="E590" s="17" t="s">
        <v>19</v>
      </c>
      <c r="F590" s="49">
        <v>2E-3</v>
      </c>
      <c r="G590" s="19">
        <f>VLOOKUP(D590,upahbahan,3,FALSE)</f>
        <v>200000</v>
      </c>
      <c r="H590" s="19">
        <f t="shared" si="62"/>
        <v>400</v>
      </c>
      <c r="J590" s="15"/>
      <c r="K590" s="39"/>
    </row>
    <row r="591" spans="3:11" x14ac:dyDescent="0.3">
      <c r="C591" s="21" t="s">
        <v>24</v>
      </c>
      <c r="D591" s="22"/>
      <c r="E591" s="22"/>
      <c r="F591" s="54"/>
      <c r="G591" s="24"/>
      <c r="H591" s="19">
        <f>SUM(H587:H590)</f>
        <v>11135</v>
      </c>
      <c r="I591" s="25"/>
      <c r="J591" s="15"/>
      <c r="K591" s="39"/>
    </row>
    <row r="592" spans="3:11" x14ac:dyDescent="0.25">
      <c r="C592" s="17" t="s">
        <v>25</v>
      </c>
      <c r="D592" s="13" t="s">
        <v>26</v>
      </c>
      <c r="E592" s="14"/>
      <c r="F592" s="55"/>
      <c r="G592" s="14"/>
      <c r="H592" s="14"/>
      <c r="J592" s="15"/>
      <c r="K592" s="39"/>
    </row>
    <row r="593" spans="3:11" x14ac:dyDescent="0.3">
      <c r="C593" s="45">
        <v>1</v>
      </c>
      <c r="D593" s="26" t="s">
        <v>140</v>
      </c>
      <c r="E593" s="27" t="s">
        <v>28</v>
      </c>
      <c r="F593" s="18">
        <v>1.1499999999999999</v>
      </c>
      <c r="G593" s="19">
        <f>VLOOKUP(D593,upahbahan,3,FALSE)</f>
        <v>43000</v>
      </c>
      <c r="H593" s="19">
        <f t="shared" ref="H593" si="63">F593*G593</f>
        <v>49449.999999999993</v>
      </c>
      <c r="J593" s="15"/>
      <c r="K593" s="39"/>
    </row>
    <row r="594" spans="3:11" x14ac:dyDescent="0.3">
      <c r="C594" s="21" t="s">
        <v>29</v>
      </c>
      <c r="D594" s="22"/>
      <c r="E594" s="22"/>
      <c r="F594" s="22"/>
      <c r="G594" s="28"/>
      <c r="H594" s="19">
        <f>SUM(H593:H593)</f>
        <v>49449.999999999993</v>
      </c>
      <c r="J594" s="15"/>
      <c r="K594" s="39"/>
    </row>
    <row r="595" spans="3:11" x14ac:dyDescent="0.25">
      <c r="C595" s="12" t="s">
        <v>30</v>
      </c>
      <c r="D595" s="13" t="s">
        <v>31</v>
      </c>
      <c r="E595" s="14"/>
      <c r="F595" s="14"/>
      <c r="G595" s="14"/>
      <c r="H595" s="14"/>
      <c r="J595" s="15"/>
      <c r="K595" s="39"/>
    </row>
    <row r="596" spans="3:11" x14ac:dyDescent="0.3">
      <c r="C596" s="21" t="s">
        <v>32</v>
      </c>
      <c r="D596" s="22"/>
      <c r="E596" s="22"/>
      <c r="F596" s="22"/>
      <c r="G596" s="28"/>
      <c r="H596" s="29">
        <v>0</v>
      </c>
      <c r="J596" s="15"/>
      <c r="K596" s="39"/>
    </row>
    <row r="597" spans="3:11" x14ac:dyDescent="0.3">
      <c r="C597" s="30" t="s">
        <v>33</v>
      </c>
      <c r="D597" s="31" t="s">
        <v>34</v>
      </c>
      <c r="E597" s="32"/>
      <c r="F597" s="32"/>
      <c r="G597" s="33"/>
      <c r="H597" s="46">
        <f>H596+H594+H591</f>
        <v>60584.999999999993</v>
      </c>
      <c r="I597" s="47"/>
      <c r="J597" s="15"/>
      <c r="K597" s="39"/>
    </row>
    <row r="598" spans="3:11" x14ac:dyDescent="0.3">
      <c r="C598" s="30" t="s">
        <v>35</v>
      </c>
      <c r="D598" s="31" t="s">
        <v>36</v>
      </c>
      <c r="E598" s="32"/>
      <c r="F598" s="33"/>
      <c r="G598" s="34">
        <f>$M$9</f>
        <v>0.1</v>
      </c>
      <c r="H598" s="19">
        <f>H597*G598</f>
        <v>6058.5</v>
      </c>
      <c r="I598" s="47"/>
      <c r="J598" s="15"/>
      <c r="K598" s="39"/>
    </row>
    <row r="599" spans="3:11" x14ac:dyDescent="0.3">
      <c r="C599" s="30" t="s">
        <v>37</v>
      </c>
      <c r="D599" s="31" t="s">
        <v>38</v>
      </c>
      <c r="E599" s="32"/>
      <c r="F599" s="32"/>
      <c r="G599" s="33"/>
      <c r="H599" s="48">
        <f>SUM(H597:H598)</f>
        <v>66643.5</v>
      </c>
      <c r="I599" s="47"/>
      <c r="J599" s="15"/>
      <c r="K599" s="39"/>
    </row>
    <row r="600" spans="3:11" x14ac:dyDescent="0.3">
      <c r="J600" s="15"/>
      <c r="K600" s="39"/>
    </row>
    <row r="601" spans="3:11" x14ac:dyDescent="0.3">
      <c r="C601" s="40" t="s">
        <v>141</v>
      </c>
      <c r="D601" s="8" t="s">
        <v>142</v>
      </c>
      <c r="E601" s="44"/>
      <c r="F601" s="44"/>
      <c r="G601" s="44"/>
      <c r="H601" s="44"/>
      <c r="I601" s="10">
        <f>ROUNDDOWN(H616,0)</f>
        <v>89413</v>
      </c>
      <c r="J601" s="15"/>
      <c r="K601" s="39"/>
    </row>
    <row r="602" spans="3:11" ht="27.6" x14ac:dyDescent="0.3">
      <c r="C602" s="11" t="s">
        <v>9</v>
      </c>
      <c r="D602" s="11" t="s">
        <v>10</v>
      </c>
      <c r="E602" s="11" t="s">
        <v>11</v>
      </c>
      <c r="F602" s="11" t="s">
        <v>12</v>
      </c>
      <c r="G602" s="11" t="s">
        <v>13</v>
      </c>
      <c r="H602" s="11" t="s">
        <v>14</v>
      </c>
      <c r="J602" s="15"/>
      <c r="K602" s="39"/>
    </row>
    <row r="603" spans="3:11" x14ac:dyDescent="0.25">
      <c r="C603" s="17" t="s">
        <v>15</v>
      </c>
      <c r="D603" s="13" t="s">
        <v>16</v>
      </c>
      <c r="E603" s="14"/>
      <c r="F603" s="14"/>
      <c r="G603" s="14"/>
      <c r="H603" s="14"/>
      <c r="J603" s="15"/>
      <c r="K603" s="39"/>
    </row>
    <row r="604" spans="3:11" x14ac:dyDescent="0.3">
      <c r="C604" s="45">
        <v>1</v>
      </c>
      <c r="D604" s="13" t="s">
        <v>18</v>
      </c>
      <c r="E604" s="17" t="s">
        <v>19</v>
      </c>
      <c r="F604" s="49">
        <v>2.9000000000000001E-2</v>
      </c>
      <c r="G604" s="19">
        <f>VLOOKUP(D604,upahbahan,3,FALSE)</f>
        <v>100000</v>
      </c>
      <c r="H604" s="19">
        <f t="shared" ref="H604:H607" si="64">F604*G604</f>
        <v>2900</v>
      </c>
      <c r="J604" s="15"/>
      <c r="K604" s="39"/>
    </row>
    <row r="605" spans="3:11" x14ac:dyDescent="0.3">
      <c r="C605" s="45">
        <v>2</v>
      </c>
      <c r="D605" s="13" t="str">
        <f>D588</f>
        <v>Tukang listrik</v>
      </c>
      <c r="E605" s="17" t="s">
        <v>19</v>
      </c>
      <c r="F605" s="49">
        <v>4.8000000000000001E-2</v>
      </c>
      <c r="G605" s="19">
        <f>VLOOKUP(D605,upahbahan,3,FALSE)</f>
        <v>145000</v>
      </c>
      <c r="H605" s="19">
        <f t="shared" si="64"/>
        <v>6960</v>
      </c>
      <c r="J605" s="15"/>
      <c r="K605" s="39"/>
    </row>
    <row r="606" spans="3:11" x14ac:dyDescent="0.3">
      <c r="C606" s="45">
        <v>3</v>
      </c>
      <c r="D606" s="13" t="s">
        <v>22</v>
      </c>
      <c r="E606" s="17" t="s">
        <v>19</v>
      </c>
      <c r="F606" s="49">
        <v>5.0000000000000001E-3</v>
      </c>
      <c r="G606" s="19">
        <f>VLOOKUP(D606,upahbahan,3,FALSE)</f>
        <v>175000</v>
      </c>
      <c r="H606" s="19">
        <f t="shared" si="64"/>
        <v>875</v>
      </c>
      <c r="J606" s="15"/>
      <c r="K606" s="39"/>
    </row>
    <row r="607" spans="3:11" x14ac:dyDescent="0.3">
      <c r="C607" s="45">
        <v>4</v>
      </c>
      <c r="D607" s="13" t="s">
        <v>23</v>
      </c>
      <c r="E607" s="17" t="s">
        <v>19</v>
      </c>
      <c r="F607" s="49">
        <v>2E-3</v>
      </c>
      <c r="G607" s="19">
        <f>VLOOKUP(D607,upahbahan,3,FALSE)</f>
        <v>200000</v>
      </c>
      <c r="H607" s="19">
        <f t="shared" si="64"/>
        <v>400</v>
      </c>
      <c r="J607" s="15"/>
      <c r="K607" s="39"/>
    </row>
    <row r="608" spans="3:11" x14ac:dyDescent="0.3">
      <c r="C608" s="21" t="s">
        <v>24</v>
      </c>
      <c r="D608" s="22"/>
      <c r="E608" s="22"/>
      <c r="F608" s="54"/>
      <c r="G608" s="24"/>
      <c r="H608" s="19">
        <f>SUM(H604:H607)</f>
        <v>11135</v>
      </c>
      <c r="I608" s="25"/>
      <c r="J608" s="15"/>
      <c r="K608" s="39"/>
    </row>
    <row r="609" spans="3:11" x14ac:dyDescent="0.25">
      <c r="C609" s="17" t="s">
        <v>25</v>
      </c>
      <c r="D609" s="13" t="s">
        <v>26</v>
      </c>
      <c r="E609" s="14"/>
      <c r="F609" s="55"/>
      <c r="G609" s="14"/>
      <c r="H609" s="14"/>
      <c r="J609" s="15"/>
      <c r="K609" s="39"/>
    </row>
    <row r="610" spans="3:11" x14ac:dyDescent="0.3">
      <c r="C610" s="45">
        <v>1</v>
      </c>
      <c r="D610" s="26" t="s">
        <v>143</v>
      </c>
      <c r="E610" s="27" t="s">
        <v>28</v>
      </c>
      <c r="F610" s="18">
        <v>1.1499999999999999</v>
      </c>
      <c r="G610" s="19">
        <f>VLOOKUP(D610,upahbahan,3,FALSE)</f>
        <v>61000</v>
      </c>
      <c r="H610" s="19">
        <f t="shared" ref="H610" si="65">F610*G610</f>
        <v>70150</v>
      </c>
      <c r="J610" s="15"/>
      <c r="K610" s="39"/>
    </row>
    <row r="611" spans="3:11" x14ac:dyDescent="0.3">
      <c r="C611" s="21" t="s">
        <v>29</v>
      </c>
      <c r="D611" s="22"/>
      <c r="E611" s="22"/>
      <c r="F611" s="22"/>
      <c r="G611" s="28"/>
      <c r="H611" s="19">
        <f>SUM(H610:H610)</f>
        <v>70150</v>
      </c>
      <c r="J611" s="15"/>
      <c r="K611" s="39"/>
    </row>
    <row r="612" spans="3:11" x14ac:dyDescent="0.25">
      <c r="C612" s="12" t="s">
        <v>30</v>
      </c>
      <c r="D612" s="13" t="s">
        <v>31</v>
      </c>
      <c r="E612" s="14"/>
      <c r="F612" s="14"/>
      <c r="G612" s="14"/>
      <c r="H612" s="14"/>
      <c r="J612" s="15"/>
      <c r="K612" s="39"/>
    </row>
    <row r="613" spans="3:11" x14ac:dyDescent="0.3">
      <c r="C613" s="21" t="s">
        <v>32</v>
      </c>
      <c r="D613" s="22"/>
      <c r="E613" s="22"/>
      <c r="F613" s="22"/>
      <c r="G613" s="28"/>
      <c r="H613" s="29">
        <v>0</v>
      </c>
      <c r="J613" s="15"/>
      <c r="K613" s="39"/>
    </row>
    <row r="614" spans="3:11" x14ac:dyDescent="0.3">
      <c r="C614" s="30" t="s">
        <v>33</v>
      </c>
      <c r="D614" s="31" t="s">
        <v>34</v>
      </c>
      <c r="E614" s="32"/>
      <c r="F614" s="32"/>
      <c r="G614" s="33"/>
      <c r="H614" s="46">
        <f>H613+H611+H608</f>
        <v>81285</v>
      </c>
      <c r="I614" s="47"/>
      <c r="J614" s="15"/>
      <c r="K614" s="39"/>
    </row>
    <row r="615" spans="3:11" x14ac:dyDescent="0.3">
      <c r="C615" s="30" t="s">
        <v>35</v>
      </c>
      <c r="D615" s="31" t="s">
        <v>36</v>
      </c>
      <c r="E615" s="32"/>
      <c r="F615" s="33"/>
      <c r="G615" s="34">
        <f>$M$9</f>
        <v>0.1</v>
      </c>
      <c r="H615" s="19">
        <f>H614*G615</f>
        <v>8128.5</v>
      </c>
      <c r="I615" s="47"/>
      <c r="J615" s="15"/>
      <c r="K615" s="39"/>
    </row>
    <row r="616" spans="3:11" x14ac:dyDescent="0.3">
      <c r="C616" s="30" t="s">
        <v>37</v>
      </c>
      <c r="D616" s="31" t="s">
        <v>38</v>
      </c>
      <c r="E616" s="32"/>
      <c r="F616" s="32"/>
      <c r="G616" s="33"/>
      <c r="H616" s="48">
        <f>SUM(H614:H615)</f>
        <v>89413.5</v>
      </c>
      <c r="I616" s="47"/>
      <c r="J616" s="15"/>
      <c r="K616" s="39"/>
    </row>
    <row r="617" spans="3:11" x14ac:dyDescent="0.3">
      <c r="J617" s="15"/>
      <c r="K617" s="39"/>
    </row>
    <row r="618" spans="3:11" x14ac:dyDescent="0.3">
      <c r="C618" s="56" t="s">
        <v>144</v>
      </c>
      <c r="D618" s="57" t="s">
        <v>145</v>
      </c>
      <c r="E618" s="58"/>
      <c r="F618" s="58"/>
      <c r="G618" s="58"/>
      <c r="H618" s="58"/>
      <c r="I618" s="10">
        <f>ROUNDDOWN(H633,0)</f>
        <v>136565</v>
      </c>
      <c r="J618" s="15"/>
      <c r="K618" s="39"/>
    </row>
    <row r="619" spans="3:11" ht="27.6" x14ac:dyDescent="0.3">
      <c r="C619" s="11" t="s">
        <v>9</v>
      </c>
      <c r="D619" s="11" t="s">
        <v>10</v>
      </c>
      <c r="E619" s="11" t="s">
        <v>11</v>
      </c>
      <c r="F619" s="11" t="s">
        <v>12</v>
      </c>
      <c r="G619" s="11" t="s">
        <v>13</v>
      </c>
      <c r="H619" s="11" t="s">
        <v>14</v>
      </c>
      <c r="J619" s="15"/>
      <c r="K619" s="39"/>
    </row>
    <row r="620" spans="3:11" x14ac:dyDescent="0.25">
      <c r="C620" s="17" t="s">
        <v>15</v>
      </c>
      <c r="D620" s="13" t="s">
        <v>16</v>
      </c>
      <c r="E620" s="14"/>
      <c r="F620" s="14"/>
      <c r="G620" s="14"/>
      <c r="H620" s="14"/>
      <c r="J620" s="15"/>
      <c r="K620" s="39"/>
    </row>
    <row r="621" spans="3:11" x14ac:dyDescent="0.3">
      <c r="C621" s="45">
        <v>1</v>
      </c>
      <c r="D621" s="13" t="s">
        <v>18</v>
      </c>
      <c r="E621" s="17" t="s">
        <v>19</v>
      </c>
      <c r="F621" s="18">
        <v>3.5999999999999997E-2</v>
      </c>
      <c r="G621" s="19">
        <f>VLOOKUP(D621,upahbahan,3,FALSE)</f>
        <v>100000</v>
      </c>
      <c r="H621" s="19">
        <f t="shared" ref="H621:H624" si="66">F621*G621</f>
        <v>3599.9999999999995</v>
      </c>
      <c r="J621" s="15"/>
      <c r="K621" s="39"/>
    </row>
    <row r="622" spans="3:11" x14ac:dyDescent="0.3">
      <c r="C622" s="45">
        <v>2</v>
      </c>
      <c r="D622" s="13" t="str">
        <f>D605</f>
        <v>Tukang listrik</v>
      </c>
      <c r="E622" s="17" t="s">
        <v>19</v>
      </c>
      <c r="F622" s="18">
        <v>0.06</v>
      </c>
      <c r="G622" s="19">
        <f>VLOOKUP(D622,upahbahan,3,FALSE)</f>
        <v>145000</v>
      </c>
      <c r="H622" s="19">
        <f t="shared" si="66"/>
        <v>8700</v>
      </c>
      <c r="J622" s="15"/>
      <c r="K622" s="39"/>
    </row>
    <row r="623" spans="3:11" x14ac:dyDescent="0.3">
      <c r="C623" s="45">
        <v>3</v>
      </c>
      <c r="D623" s="13" t="s">
        <v>22</v>
      </c>
      <c r="E623" s="17" t="s">
        <v>19</v>
      </c>
      <c r="F623" s="18">
        <v>6.0000000000000001E-3</v>
      </c>
      <c r="G623" s="19">
        <f>VLOOKUP(D623,upahbahan,3,FALSE)</f>
        <v>175000</v>
      </c>
      <c r="H623" s="19">
        <f t="shared" si="66"/>
        <v>1050</v>
      </c>
      <c r="J623" s="15"/>
      <c r="K623" s="39"/>
    </row>
    <row r="624" spans="3:11" x14ac:dyDescent="0.3">
      <c r="C624" s="45">
        <v>4</v>
      </c>
      <c r="D624" s="13" t="s">
        <v>23</v>
      </c>
      <c r="E624" s="17" t="s">
        <v>19</v>
      </c>
      <c r="F624" s="18">
        <v>2E-3</v>
      </c>
      <c r="G624" s="19">
        <f>VLOOKUP(D624,upahbahan,3,FALSE)</f>
        <v>200000</v>
      </c>
      <c r="H624" s="19">
        <f t="shared" si="66"/>
        <v>400</v>
      </c>
      <c r="J624" s="15"/>
      <c r="K624" s="39"/>
    </row>
    <row r="625" spans="3:11" x14ac:dyDescent="0.3">
      <c r="C625" s="21" t="s">
        <v>24</v>
      </c>
      <c r="D625" s="22"/>
      <c r="E625" s="22"/>
      <c r="F625" s="54"/>
      <c r="G625" s="24"/>
      <c r="H625" s="19">
        <f>SUM(H621:H624)</f>
        <v>13750</v>
      </c>
      <c r="I625" s="25"/>
      <c r="J625" s="15"/>
      <c r="K625" s="39"/>
    </row>
    <row r="626" spans="3:11" x14ac:dyDescent="0.25">
      <c r="C626" s="17" t="s">
        <v>25</v>
      </c>
      <c r="D626" s="13" t="s">
        <v>26</v>
      </c>
      <c r="E626" s="14"/>
      <c r="F626" s="55"/>
      <c r="G626" s="14"/>
      <c r="H626" s="14"/>
      <c r="J626" s="15"/>
      <c r="K626" s="39"/>
    </row>
    <row r="627" spans="3:11" x14ac:dyDescent="0.3">
      <c r="C627" s="45">
        <v>1</v>
      </c>
      <c r="D627" s="26" t="s">
        <v>146</v>
      </c>
      <c r="E627" s="27" t="s">
        <v>28</v>
      </c>
      <c r="F627" s="18">
        <v>1.1499999999999999</v>
      </c>
      <c r="G627" s="19">
        <f>VLOOKUP(D627,upahbahan,3,FALSE)</f>
        <v>96000</v>
      </c>
      <c r="H627" s="19">
        <f t="shared" ref="H627" si="67">F627*G627</f>
        <v>110399.99999999999</v>
      </c>
      <c r="J627" s="15"/>
      <c r="K627" s="39"/>
    </row>
    <row r="628" spans="3:11" x14ac:dyDescent="0.3">
      <c r="C628" s="21" t="s">
        <v>29</v>
      </c>
      <c r="D628" s="22"/>
      <c r="E628" s="22"/>
      <c r="F628" s="22"/>
      <c r="G628" s="28"/>
      <c r="H628" s="19">
        <f>SUM(H627:H627)</f>
        <v>110399.99999999999</v>
      </c>
      <c r="J628" s="15"/>
      <c r="K628" s="39"/>
    </row>
    <row r="629" spans="3:11" x14ac:dyDescent="0.25">
      <c r="C629" s="12" t="s">
        <v>30</v>
      </c>
      <c r="D629" s="13" t="s">
        <v>31</v>
      </c>
      <c r="E629" s="14"/>
      <c r="F629" s="14"/>
      <c r="G629" s="14"/>
      <c r="H629" s="14"/>
      <c r="J629" s="15"/>
      <c r="K629" s="39"/>
    </row>
    <row r="630" spans="3:11" x14ac:dyDescent="0.3">
      <c r="C630" s="21" t="s">
        <v>32</v>
      </c>
      <c r="D630" s="22"/>
      <c r="E630" s="22"/>
      <c r="F630" s="22"/>
      <c r="G630" s="28"/>
      <c r="H630" s="29">
        <v>0</v>
      </c>
      <c r="J630" s="15"/>
      <c r="K630" s="39"/>
    </row>
    <row r="631" spans="3:11" x14ac:dyDescent="0.3">
      <c r="C631" s="30" t="s">
        <v>33</v>
      </c>
      <c r="D631" s="31" t="s">
        <v>34</v>
      </c>
      <c r="E631" s="32"/>
      <c r="F631" s="32"/>
      <c r="G631" s="33"/>
      <c r="H631" s="46">
        <f>H630+H628+H625</f>
        <v>124149.99999999999</v>
      </c>
      <c r="I631" s="47"/>
      <c r="J631" s="15"/>
      <c r="K631" s="39"/>
    </row>
    <row r="632" spans="3:11" x14ac:dyDescent="0.3">
      <c r="C632" s="30" t="s">
        <v>35</v>
      </c>
      <c r="D632" s="31" t="s">
        <v>36</v>
      </c>
      <c r="E632" s="32"/>
      <c r="F632" s="33"/>
      <c r="G632" s="34">
        <f>$M$9</f>
        <v>0.1</v>
      </c>
      <c r="H632" s="19">
        <f>H631*G632</f>
        <v>12415</v>
      </c>
      <c r="I632" s="47"/>
      <c r="J632" s="15"/>
      <c r="K632" s="39"/>
    </row>
    <row r="633" spans="3:11" x14ac:dyDescent="0.3">
      <c r="C633" s="30" t="s">
        <v>37</v>
      </c>
      <c r="D633" s="31" t="s">
        <v>38</v>
      </c>
      <c r="E633" s="32"/>
      <c r="F633" s="32"/>
      <c r="G633" s="33"/>
      <c r="H633" s="48">
        <f>SUM(H631:H632)</f>
        <v>136565</v>
      </c>
      <c r="I633" s="47"/>
      <c r="J633" s="15"/>
      <c r="K633" s="39"/>
    </row>
    <row r="634" spans="3:11" x14ac:dyDescent="0.3">
      <c r="J634" s="15"/>
      <c r="K634" s="39"/>
    </row>
    <row r="635" spans="3:11" x14ac:dyDescent="0.3">
      <c r="C635" s="56" t="s">
        <v>147</v>
      </c>
      <c r="D635" s="57" t="s">
        <v>148</v>
      </c>
      <c r="E635" s="58"/>
      <c r="F635" s="58"/>
      <c r="G635" s="58"/>
      <c r="H635" s="58"/>
      <c r="I635" s="10">
        <f>ROUNDDOWN(H650,0)</f>
        <v>202977</v>
      </c>
      <c r="J635" s="15"/>
      <c r="K635" s="39"/>
    </row>
    <row r="636" spans="3:11" ht="27.6" x14ac:dyDescent="0.3">
      <c r="C636" s="11" t="s">
        <v>9</v>
      </c>
      <c r="D636" s="11" t="s">
        <v>10</v>
      </c>
      <c r="E636" s="11" t="s">
        <v>11</v>
      </c>
      <c r="F636" s="11" t="s">
        <v>12</v>
      </c>
      <c r="G636" s="11" t="s">
        <v>13</v>
      </c>
      <c r="H636" s="11" t="s">
        <v>14</v>
      </c>
      <c r="J636" s="15"/>
      <c r="K636" s="39"/>
    </row>
    <row r="637" spans="3:11" x14ac:dyDescent="0.25">
      <c r="C637" s="17" t="s">
        <v>15</v>
      </c>
      <c r="D637" s="13" t="s">
        <v>16</v>
      </c>
      <c r="E637" s="14"/>
      <c r="F637" s="14"/>
      <c r="G637" s="14"/>
      <c r="H637" s="14"/>
      <c r="J637" s="15"/>
      <c r="K637" s="39"/>
    </row>
    <row r="638" spans="3:11" x14ac:dyDescent="0.3">
      <c r="C638" s="45">
        <v>1</v>
      </c>
      <c r="D638" s="13" t="s">
        <v>18</v>
      </c>
      <c r="E638" s="17" t="s">
        <v>19</v>
      </c>
      <c r="F638" s="18">
        <v>3.5999999999999997E-2</v>
      </c>
      <c r="G638" s="19">
        <f>VLOOKUP(D638,upahbahan,3,FALSE)</f>
        <v>100000</v>
      </c>
      <c r="H638" s="19">
        <f t="shared" ref="H638:H641" si="68">F638*G638</f>
        <v>3599.9999999999995</v>
      </c>
      <c r="J638" s="15"/>
      <c r="K638" s="39"/>
    </row>
    <row r="639" spans="3:11" x14ac:dyDescent="0.3">
      <c r="C639" s="45">
        <v>2</v>
      </c>
      <c r="D639" s="13" t="str">
        <f>D622</f>
        <v>Tukang listrik</v>
      </c>
      <c r="E639" s="17" t="s">
        <v>19</v>
      </c>
      <c r="F639" s="18">
        <v>0.06</v>
      </c>
      <c r="G639" s="19">
        <f>VLOOKUP(D639,upahbahan,3,FALSE)</f>
        <v>145000</v>
      </c>
      <c r="H639" s="19">
        <f t="shared" si="68"/>
        <v>8700</v>
      </c>
      <c r="J639" s="15"/>
      <c r="K639" s="39"/>
    </row>
    <row r="640" spans="3:11" x14ac:dyDescent="0.3">
      <c r="C640" s="45">
        <v>3</v>
      </c>
      <c r="D640" s="13" t="s">
        <v>22</v>
      </c>
      <c r="E640" s="17" t="s">
        <v>19</v>
      </c>
      <c r="F640" s="18">
        <v>6.0000000000000001E-3</v>
      </c>
      <c r="G640" s="19">
        <f>VLOOKUP(D640,upahbahan,3,FALSE)</f>
        <v>175000</v>
      </c>
      <c r="H640" s="19">
        <f t="shared" si="68"/>
        <v>1050</v>
      </c>
      <c r="J640" s="15"/>
      <c r="K640" s="39"/>
    </row>
    <row r="641" spans="3:11" x14ac:dyDescent="0.3">
      <c r="C641" s="45">
        <v>4</v>
      </c>
      <c r="D641" s="13" t="s">
        <v>23</v>
      </c>
      <c r="E641" s="17" t="s">
        <v>19</v>
      </c>
      <c r="F641" s="18">
        <v>2E-3</v>
      </c>
      <c r="G641" s="19">
        <f>VLOOKUP(D641,upahbahan,3,FALSE)</f>
        <v>200000</v>
      </c>
      <c r="H641" s="19">
        <f t="shared" si="68"/>
        <v>400</v>
      </c>
      <c r="J641" s="15"/>
      <c r="K641" s="39"/>
    </row>
    <row r="642" spans="3:11" x14ac:dyDescent="0.3">
      <c r="C642" s="21" t="s">
        <v>24</v>
      </c>
      <c r="D642" s="22"/>
      <c r="E642" s="22"/>
      <c r="F642" s="54"/>
      <c r="G642" s="24"/>
      <c r="H642" s="19">
        <f>SUM(H638:H641)</f>
        <v>13750</v>
      </c>
      <c r="I642" s="25"/>
      <c r="J642" s="15"/>
      <c r="K642" s="39"/>
    </row>
    <row r="643" spans="3:11" x14ac:dyDescent="0.25">
      <c r="C643" s="17" t="s">
        <v>25</v>
      </c>
      <c r="D643" s="13" t="s">
        <v>26</v>
      </c>
      <c r="E643" s="14"/>
      <c r="F643" s="55"/>
      <c r="G643" s="14"/>
      <c r="H643" s="14"/>
      <c r="J643" s="15"/>
      <c r="K643" s="39"/>
    </row>
    <row r="644" spans="3:11" x14ac:dyDescent="0.3">
      <c r="C644" s="45">
        <v>1</v>
      </c>
      <c r="D644" s="26" t="s">
        <v>149</v>
      </c>
      <c r="E644" s="27" t="s">
        <v>28</v>
      </c>
      <c r="F644" s="18">
        <v>1.1499999999999999</v>
      </c>
      <c r="G644" s="19">
        <f>VLOOKUP(D644,upahbahan,3,FALSE)</f>
        <v>148500</v>
      </c>
      <c r="H644" s="19">
        <f>F644*G644</f>
        <v>170775</v>
      </c>
      <c r="J644" s="15"/>
      <c r="K644" s="39"/>
    </row>
    <row r="645" spans="3:11" x14ac:dyDescent="0.3">
      <c r="C645" s="21" t="s">
        <v>29</v>
      </c>
      <c r="D645" s="22"/>
      <c r="E645" s="22"/>
      <c r="F645" s="22"/>
      <c r="G645" s="28"/>
      <c r="H645" s="19">
        <f>SUM(H644:H644)</f>
        <v>170775</v>
      </c>
      <c r="J645" s="15"/>
      <c r="K645" s="39"/>
    </row>
    <row r="646" spans="3:11" x14ac:dyDescent="0.25">
      <c r="C646" s="12" t="s">
        <v>30</v>
      </c>
      <c r="D646" s="13" t="s">
        <v>31</v>
      </c>
      <c r="E646" s="14"/>
      <c r="F646" s="14"/>
      <c r="G646" s="14"/>
      <c r="H646" s="14"/>
      <c r="J646" s="15"/>
      <c r="K646" s="39"/>
    </row>
    <row r="647" spans="3:11" x14ac:dyDescent="0.3">
      <c r="C647" s="21" t="s">
        <v>32</v>
      </c>
      <c r="D647" s="22"/>
      <c r="E647" s="22"/>
      <c r="F647" s="22"/>
      <c r="G647" s="28"/>
      <c r="H647" s="29">
        <v>0</v>
      </c>
      <c r="J647" s="15"/>
      <c r="K647" s="39"/>
    </row>
    <row r="648" spans="3:11" x14ac:dyDescent="0.3">
      <c r="C648" s="30" t="s">
        <v>33</v>
      </c>
      <c r="D648" s="31" t="s">
        <v>34</v>
      </c>
      <c r="E648" s="32"/>
      <c r="F648" s="32"/>
      <c r="G648" s="33"/>
      <c r="H648" s="46">
        <f>H647+H645+H642</f>
        <v>184525</v>
      </c>
      <c r="I648" s="47"/>
      <c r="J648" s="15"/>
      <c r="K648" s="39"/>
    </row>
    <row r="649" spans="3:11" x14ac:dyDescent="0.3">
      <c r="C649" s="30" t="s">
        <v>35</v>
      </c>
      <c r="D649" s="31" t="s">
        <v>36</v>
      </c>
      <c r="E649" s="32"/>
      <c r="F649" s="33"/>
      <c r="G649" s="34">
        <f>$M$9</f>
        <v>0.1</v>
      </c>
      <c r="H649" s="19">
        <f>H648*G649</f>
        <v>18452.5</v>
      </c>
      <c r="I649" s="47"/>
      <c r="J649" s="15"/>
      <c r="K649" s="39"/>
    </row>
    <row r="650" spans="3:11" x14ac:dyDescent="0.3">
      <c r="C650" s="30" t="s">
        <v>37</v>
      </c>
      <c r="D650" s="31" t="s">
        <v>38</v>
      </c>
      <c r="E650" s="32"/>
      <c r="F650" s="32"/>
      <c r="G650" s="33"/>
      <c r="H650" s="48">
        <f>SUM(H648:H649)</f>
        <v>202977.5</v>
      </c>
      <c r="I650" s="47"/>
      <c r="J650" s="15"/>
      <c r="K650" s="39"/>
    </row>
    <row r="651" spans="3:11" x14ac:dyDescent="0.3">
      <c r="J651" s="15"/>
      <c r="K651" s="39"/>
    </row>
    <row r="652" spans="3:11" x14ac:dyDescent="0.3">
      <c r="C652" s="56" t="s">
        <v>150</v>
      </c>
      <c r="D652" s="57" t="s">
        <v>151</v>
      </c>
      <c r="E652" s="58"/>
      <c r="F652" s="58"/>
      <c r="G652" s="58"/>
      <c r="H652" s="58"/>
      <c r="I652" s="10">
        <f>ROUNDDOWN(H667,0)</f>
        <v>308660</v>
      </c>
      <c r="J652" s="15"/>
      <c r="K652" s="39"/>
    </row>
    <row r="653" spans="3:11" ht="27.6" x14ac:dyDescent="0.3">
      <c r="C653" s="11" t="s">
        <v>9</v>
      </c>
      <c r="D653" s="11" t="s">
        <v>10</v>
      </c>
      <c r="E653" s="11" t="s">
        <v>11</v>
      </c>
      <c r="F653" s="11" t="s">
        <v>12</v>
      </c>
      <c r="G653" s="11" t="s">
        <v>13</v>
      </c>
      <c r="H653" s="11" t="s">
        <v>14</v>
      </c>
      <c r="J653" s="15"/>
      <c r="K653" s="39"/>
    </row>
    <row r="654" spans="3:11" x14ac:dyDescent="0.25">
      <c r="C654" s="17" t="s">
        <v>15</v>
      </c>
      <c r="D654" s="13" t="s">
        <v>16</v>
      </c>
      <c r="E654" s="14"/>
      <c r="F654" s="14"/>
      <c r="G654" s="14"/>
      <c r="H654" s="14"/>
      <c r="J654" s="15"/>
      <c r="K654" s="39"/>
    </row>
    <row r="655" spans="3:11" x14ac:dyDescent="0.3">
      <c r="C655" s="45">
        <v>1</v>
      </c>
      <c r="D655" s="13" t="s">
        <v>18</v>
      </c>
      <c r="E655" s="17" t="s">
        <v>19</v>
      </c>
      <c r="F655" s="18">
        <v>4.8000000000000001E-2</v>
      </c>
      <c r="G655" s="19">
        <f>VLOOKUP(D655,upahbahan,3,FALSE)</f>
        <v>100000</v>
      </c>
      <c r="H655" s="19">
        <f t="shared" ref="H655:H658" si="69">F655*G655</f>
        <v>4800</v>
      </c>
      <c r="J655" s="15"/>
      <c r="K655" s="39"/>
    </row>
    <row r="656" spans="3:11" x14ac:dyDescent="0.3">
      <c r="C656" s="45">
        <v>2</v>
      </c>
      <c r="D656" s="13" t="str">
        <f>D639</f>
        <v>Tukang listrik</v>
      </c>
      <c r="E656" s="17" t="s">
        <v>19</v>
      </c>
      <c r="F656" s="18">
        <v>0.08</v>
      </c>
      <c r="G656" s="19">
        <f>VLOOKUP(D656,upahbahan,3,FALSE)</f>
        <v>145000</v>
      </c>
      <c r="H656" s="19">
        <f t="shared" si="69"/>
        <v>11600</v>
      </c>
      <c r="J656" s="15"/>
      <c r="K656" s="39"/>
    </row>
    <row r="657" spans="3:11" x14ac:dyDescent="0.3">
      <c r="C657" s="45">
        <v>3</v>
      </c>
      <c r="D657" s="13" t="s">
        <v>22</v>
      </c>
      <c r="E657" s="17" t="s">
        <v>19</v>
      </c>
      <c r="F657" s="18">
        <v>8.0000000000000002E-3</v>
      </c>
      <c r="G657" s="19">
        <f>VLOOKUP(D657,upahbahan,3,FALSE)</f>
        <v>175000</v>
      </c>
      <c r="H657" s="19">
        <f t="shared" si="69"/>
        <v>1400</v>
      </c>
      <c r="J657" s="15"/>
      <c r="K657" s="39"/>
    </row>
    <row r="658" spans="3:11" x14ac:dyDescent="0.3">
      <c r="C658" s="45">
        <v>4</v>
      </c>
      <c r="D658" s="13" t="s">
        <v>23</v>
      </c>
      <c r="E658" s="17" t="s">
        <v>19</v>
      </c>
      <c r="F658" s="18">
        <v>3.0000000000000001E-3</v>
      </c>
      <c r="G658" s="19">
        <f>VLOOKUP(D658,upahbahan,3,FALSE)</f>
        <v>200000</v>
      </c>
      <c r="H658" s="19">
        <f t="shared" si="69"/>
        <v>600</v>
      </c>
      <c r="J658" s="15"/>
      <c r="K658" s="39"/>
    </row>
    <row r="659" spans="3:11" x14ac:dyDescent="0.3">
      <c r="C659" s="21" t="s">
        <v>24</v>
      </c>
      <c r="D659" s="22"/>
      <c r="E659" s="22"/>
      <c r="F659" s="54"/>
      <c r="G659" s="24"/>
      <c r="H659" s="19">
        <f>SUM(H655:H658)</f>
        <v>18400</v>
      </c>
      <c r="I659" s="25"/>
      <c r="J659" s="15"/>
      <c r="K659" s="39"/>
    </row>
    <row r="660" spans="3:11" x14ac:dyDescent="0.25">
      <c r="C660" s="17" t="s">
        <v>25</v>
      </c>
      <c r="D660" s="13" t="s">
        <v>26</v>
      </c>
      <c r="E660" s="14"/>
      <c r="F660" s="55"/>
      <c r="G660" s="14"/>
      <c r="H660" s="14"/>
      <c r="J660" s="15"/>
      <c r="K660" s="39"/>
    </row>
    <row r="661" spans="3:11" x14ac:dyDescent="0.3">
      <c r="C661" s="45">
        <v>1</v>
      </c>
      <c r="D661" s="26" t="s">
        <v>152</v>
      </c>
      <c r="E661" s="27" t="s">
        <v>28</v>
      </c>
      <c r="F661" s="18">
        <v>1.1499999999999999</v>
      </c>
      <c r="G661" s="19">
        <f>VLOOKUP(D661,upahbahan,3,FALSE)</f>
        <v>228000</v>
      </c>
      <c r="H661" s="19">
        <f>F661*G661</f>
        <v>262200</v>
      </c>
      <c r="J661" s="15"/>
      <c r="K661" s="39"/>
    </row>
    <row r="662" spans="3:11" x14ac:dyDescent="0.3">
      <c r="C662" s="21" t="s">
        <v>29</v>
      </c>
      <c r="D662" s="22"/>
      <c r="E662" s="22"/>
      <c r="F662" s="22"/>
      <c r="G662" s="28"/>
      <c r="H662" s="19">
        <f>SUM(H661:H661)</f>
        <v>262200</v>
      </c>
      <c r="J662" s="15"/>
      <c r="K662" s="39"/>
    </row>
    <row r="663" spans="3:11" x14ac:dyDescent="0.25">
      <c r="C663" s="12" t="s">
        <v>30</v>
      </c>
      <c r="D663" s="13" t="s">
        <v>31</v>
      </c>
      <c r="E663" s="14"/>
      <c r="F663" s="14"/>
      <c r="G663" s="14"/>
      <c r="H663" s="14"/>
      <c r="J663" s="15"/>
      <c r="K663" s="39"/>
    </row>
    <row r="664" spans="3:11" x14ac:dyDescent="0.3">
      <c r="C664" s="21" t="s">
        <v>32</v>
      </c>
      <c r="D664" s="22"/>
      <c r="E664" s="22"/>
      <c r="F664" s="22"/>
      <c r="G664" s="28"/>
      <c r="H664" s="29">
        <v>0</v>
      </c>
      <c r="J664" s="15"/>
      <c r="K664" s="39"/>
    </row>
    <row r="665" spans="3:11" x14ac:dyDescent="0.3">
      <c r="C665" s="30" t="s">
        <v>33</v>
      </c>
      <c r="D665" s="31" t="s">
        <v>34</v>
      </c>
      <c r="E665" s="32"/>
      <c r="F665" s="32"/>
      <c r="G665" s="33"/>
      <c r="H665" s="46">
        <f>H664+H662+H659</f>
        <v>280600</v>
      </c>
      <c r="I665" s="47"/>
      <c r="J665" s="15"/>
      <c r="K665" s="39"/>
    </row>
    <row r="666" spans="3:11" x14ac:dyDescent="0.3">
      <c r="C666" s="30" t="s">
        <v>35</v>
      </c>
      <c r="D666" s="31" t="s">
        <v>36</v>
      </c>
      <c r="E666" s="32"/>
      <c r="F666" s="33"/>
      <c r="G666" s="34">
        <f>$M$9</f>
        <v>0.1</v>
      </c>
      <c r="H666" s="19">
        <f>H665*G666</f>
        <v>28060</v>
      </c>
      <c r="I666" s="47"/>
      <c r="J666" s="15"/>
      <c r="K666" s="39"/>
    </row>
    <row r="667" spans="3:11" x14ac:dyDescent="0.3">
      <c r="C667" s="30" t="s">
        <v>37</v>
      </c>
      <c r="D667" s="31" t="s">
        <v>38</v>
      </c>
      <c r="E667" s="32"/>
      <c r="F667" s="32"/>
      <c r="G667" s="33"/>
      <c r="H667" s="48">
        <f>SUM(H665:H666)</f>
        <v>308660</v>
      </c>
      <c r="I667" s="47"/>
      <c r="J667" s="15"/>
      <c r="K667" s="39"/>
    </row>
    <row r="668" spans="3:11" x14ac:dyDescent="0.3">
      <c r="J668" s="15"/>
      <c r="K668" s="39"/>
    </row>
    <row r="669" spans="3:11" x14ac:dyDescent="0.3">
      <c r="C669" s="56" t="s">
        <v>153</v>
      </c>
      <c r="D669" s="57" t="s">
        <v>154</v>
      </c>
      <c r="E669" s="58"/>
      <c r="F669" s="58"/>
      <c r="G669" s="58"/>
      <c r="H669" s="58"/>
      <c r="I669" s="10">
        <f>ROUNDDOWN(H684,0)</f>
        <v>417758</v>
      </c>
      <c r="J669" s="15"/>
      <c r="K669" s="39"/>
    </row>
    <row r="670" spans="3:11" ht="27.6" x14ac:dyDescent="0.3">
      <c r="C670" s="11" t="s">
        <v>9</v>
      </c>
      <c r="D670" s="11" t="s">
        <v>10</v>
      </c>
      <c r="E670" s="11" t="s">
        <v>11</v>
      </c>
      <c r="F670" s="11" t="s">
        <v>12</v>
      </c>
      <c r="G670" s="11" t="s">
        <v>13</v>
      </c>
      <c r="H670" s="11" t="s">
        <v>14</v>
      </c>
      <c r="J670" s="15"/>
      <c r="K670" s="39"/>
    </row>
    <row r="671" spans="3:11" x14ac:dyDescent="0.25">
      <c r="C671" s="17" t="s">
        <v>15</v>
      </c>
      <c r="D671" s="13" t="s">
        <v>16</v>
      </c>
      <c r="E671" s="14"/>
      <c r="F671" s="14"/>
      <c r="G671" s="14"/>
      <c r="H671" s="14"/>
      <c r="J671" s="15"/>
      <c r="K671" s="39"/>
    </row>
    <row r="672" spans="3:11" x14ac:dyDescent="0.3">
      <c r="C672" s="45">
        <v>1</v>
      </c>
      <c r="D672" s="13" t="s">
        <v>18</v>
      </c>
      <c r="E672" s="17" t="s">
        <v>19</v>
      </c>
      <c r="F672" s="18">
        <v>0.06</v>
      </c>
      <c r="G672" s="19">
        <f>VLOOKUP(D672,upahbahan,3,FALSE)</f>
        <v>100000</v>
      </c>
      <c r="H672" s="19">
        <f t="shared" ref="H672:H675" si="70">F672*G672</f>
        <v>6000</v>
      </c>
      <c r="J672" s="15"/>
      <c r="K672" s="39"/>
    </row>
    <row r="673" spans="3:11" x14ac:dyDescent="0.3">
      <c r="C673" s="45">
        <v>2</v>
      </c>
      <c r="D673" s="13" t="str">
        <f>D656</f>
        <v>Tukang listrik</v>
      </c>
      <c r="E673" s="17" t="s">
        <v>19</v>
      </c>
      <c r="F673" s="18">
        <v>9.9000000000000005E-2</v>
      </c>
      <c r="G673" s="19">
        <f>VLOOKUP(D673,upahbahan,3,FALSE)</f>
        <v>145000</v>
      </c>
      <c r="H673" s="19">
        <f t="shared" si="70"/>
        <v>14355</v>
      </c>
      <c r="J673" s="15"/>
      <c r="K673" s="39"/>
    </row>
    <row r="674" spans="3:11" x14ac:dyDescent="0.3">
      <c r="C674" s="45">
        <v>3</v>
      </c>
      <c r="D674" s="13" t="s">
        <v>22</v>
      </c>
      <c r="E674" s="17" t="s">
        <v>19</v>
      </c>
      <c r="F674" s="18">
        <v>0.01</v>
      </c>
      <c r="G674" s="19">
        <f>VLOOKUP(D674,upahbahan,3,FALSE)</f>
        <v>175000</v>
      </c>
      <c r="H674" s="19">
        <f t="shared" si="70"/>
        <v>1750</v>
      </c>
      <c r="J674" s="15"/>
      <c r="K674" s="39"/>
    </row>
    <row r="675" spans="3:11" x14ac:dyDescent="0.3">
      <c r="C675" s="45">
        <v>4</v>
      </c>
      <c r="D675" s="13" t="s">
        <v>23</v>
      </c>
      <c r="E675" s="17" t="s">
        <v>19</v>
      </c>
      <c r="F675" s="18">
        <v>3.0000000000000001E-3</v>
      </c>
      <c r="G675" s="19">
        <f>VLOOKUP(D675,upahbahan,3,FALSE)</f>
        <v>200000</v>
      </c>
      <c r="H675" s="19">
        <f t="shared" si="70"/>
        <v>600</v>
      </c>
      <c r="J675" s="15"/>
      <c r="K675" s="39"/>
    </row>
    <row r="676" spans="3:11" x14ac:dyDescent="0.3">
      <c r="C676" s="21" t="s">
        <v>24</v>
      </c>
      <c r="D676" s="22"/>
      <c r="E676" s="22"/>
      <c r="F676" s="54"/>
      <c r="G676" s="24"/>
      <c r="H676" s="19">
        <f>SUM(H672:H675)</f>
        <v>22705</v>
      </c>
      <c r="I676" s="25"/>
      <c r="J676" s="15"/>
      <c r="K676" s="39"/>
    </row>
    <row r="677" spans="3:11" x14ac:dyDescent="0.25">
      <c r="C677" s="17" t="s">
        <v>25</v>
      </c>
      <c r="D677" s="13" t="s">
        <v>26</v>
      </c>
      <c r="E677" s="14"/>
      <c r="F677" s="55"/>
      <c r="G677" s="14"/>
      <c r="H677" s="14"/>
      <c r="J677" s="15"/>
      <c r="K677" s="39"/>
    </row>
    <row r="678" spans="3:11" x14ac:dyDescent="0.3">
      <c r="C678" s="45">
        <v>1</v>
      </c>
      <c r="D678" s="26" t="s">
        <v>155</v>
      </c>
      <c r="E678" s="27" t="s">
        <v>28</v>
      </c>
      <c r="F678" s="18">
        <v>1.1499999999999999</v>
      </c>
      <c r="G678" s="19">
        <f>VLOOKUP(D678,upahbahan,3,FALSE)</f>
        <v>310500</v>
      </c>
      <c r="H678" s="19">
        <f t="shared" ref="H678" si="71">F678*G678</f>
        <v>357075</v>
      </c>
      <c r="J678" s="15"/>
      <c r="K678" s="39"/>
    </row>
    <row r="679" spans="3:11" x14ac:dyDescent="0.3">
      <c r="C679" s="21" t="s">
        <v>29</v>
      </c>
      <c r="D679" s="22"/>
      <c r="E679" s="22"/>
      <c r="F679" s="22"/>
      <c r="G679" s="28"/>
      <c r="H679" s="19">
        <f>SUM(H678:H678)</f>
        <v>357075</v>
      </c>
      <c r="J679" s="15"/>
      <c r="K679" s="39"/>
    </row>
    <row r="680" spans="3:11" x14ac:dyDescent="0.25">
      <c r="C680" s="12" t="s">
        <v>30</v>
      </c>
      <c r="D680" s="13" t="s">
        <v>31</v>
      </c>
      <c r="E680" s="14"/>
      <c r="F680" s="14"/>
      <c r="G680" s="14"/>
      <c r="H680" s="14"/>
      <c r="J680" s="15"/>
      <c r="K680" s="39"/>
    </row>
    <row r="681" spans="3:11" x14ac:dyDescent="0.3">
      <c r="C681" s="21" t="s">
        <v>32</v>
      </c>
      <c r="D681" s="22"/>
      <c r="E681" s="22"/>
      <c r="F681" s="22"/>
      <c r="G681" s="28"/>
      <c r="H681" s="29">
        <v>0</v>
      </c>
      <c r="J681" s="15"/>
      <c r="K681" s="39"/>
    </row>
    <row r="682" spans="3:11" x14ac:dyDescent="0.3">
      <c r="C682" s="30" t="s">
        <v>33</v>
      </c>
      <c r="D682" s="31" t="s">
        <v>34</v>
      </c>
      <c r="E682" s="32"/>
      <c r="F682" s="32"/>
      <c r="G682" s="33"/>
      <c r="H682" s="46">
        <f>H681+H679+H676</f>
        <v>379780</v>
      </c>
      <c r="I682" s="47"/>
      <c r="J682" s="15"/>
      <c r="K682" s="39"/>
    </row>
    <row r="683" spans="3:11" x14ac:dyDescent="0.3">
      <c r="C683" s="30" t="s">
        <v>35</v>
      </c>
      <c r="D683" s="31" t="s">
        <v>36</v>
      </c>
      <c r="E683" s="32"/>
      <c r="F683" s="33"/>
      <c r="G683" s="34">
        <f>$M$9</f>
        <v>0.1</v>
      </c>
      <c r="H683" s="19">
        <f>H682*G683</f>
        <v>37978</v>
      </c>
      <c r="I683" s="47"/>
      <c r="J683" s="15"/>
      <c r="K683" s="39"/>
    </row>
    <row r="684" spans="3:11" x14ac:dyDescent="0.3">
      <c r="C684" s="30" t="s">
        <v>37</v>
      </c>
      <c r="D684" s="31" t="s">
        <v>38</v>
      </c>
      <c r="E684" s="32"/>
      <c r="F684" s="32"/>
      <c r="G684" s="33"/>
      <c r="H684" s="48">
        <f>SUM(H682:H683)</f>
        <v>417758</v>
      </c>
      <c r="I684" s="47"/>
      <c r="J684" s="15"/>
      <c r="K684" s="39"/>
    </row>
    <row r="685" spans="3:11" x14ac:dyDescent="0.3">
      <c r="J685" s="15"/>
      <c r="K685" s="39"/>
    </row>
    <row r="686" spans="3:11" x14ac:dyDescent="0.3">
      <c r="C686" s="40" t="s">
        <v>156</v>
      </c>
      <c r="D686" s="8" t="s">
        <v>157</v>
      </c>
      <c r="E686" s="44"/>
      <c r="F686" s="44"/>
      <c r="G686" s="44"/>
      <c r="H686" s="44"/>
      <c r="I686" s="10">
        <f>ROUNDDOWN(H701,0)</f>
        <v>551413</v>
      </c>
      <c r="J686" s="15"/>
      <c r="K686" s="39"/>
    </row>
    <row r="687" spans="3:11" ht="27.6" x14ac:dyDescent="0.3">
      <c r="C687" s="11" t="s">
        <v>9</v>
      </c>
      <c r="D687" s="11" t="s">
        <v>10</v>
      </c>
      <c r="E687" s="11" t="s">
        <v>11</v>
      </c>
      <c r="F687" s="11" t="s">
        <v>12</v>
      </c>
      <c r="G687" s="11" t="s">
        <v>13</v>
      </c>
      <c r="H687" s="11" t="s">
        <v>14</v>
      </c>
      <c r="J687" s="15"/>
      <c r="K687" s="39"/>
    </row>
    <row r="688" spans="3:11" x14ac:dyDescent="0.25">
      <c r="C688" s="17" t="s">
        <v>15</v>
      </c>
      <c r="D688" s="13" t="s">
        <v>16</v>
      </c>
      <c r="E688" s="14"/>
      <c r="F688" s="14"/>
      <c r="G688" s="14"/>
      <c r="H688" s="14"/>
      <c r="J688" s="15"/>
      <c r="K688" s="39"/>
    </row>
    <row r="689" spans="3:11" x14ac:dyDescent="0.3">
      <c r="C689" s="45">
        <v>1</v>
      </c>
      <c r="D689" s="13" t="s">
        <v>18</v>
      </c>
      <c r="E689" s="17" t="s">
        <v>19</v>
      </c>
      <c r="F689" s="49">
        <v>7.0999999999999994E-2</v>
      </c>
      <c r="G689" s="19">
        <f>VLOOKUP(D689,upahbahan,3,FALSE)</f>
        <v>100000</v>
      </c>
      <c r="H689" s="19">
        <f t="shared" ref="H689:H692" si="72">F689*G689</f>
        <v>7099.9999999999991</v>
      </c>
      <c r="J689" s="15"/>
      <c r="K689" s="39"/>
    </row>
    <row r="690" spans="3:11" x14ac:dyDescent="0.3">
      <c r="C690" s="45">
        <v>2</v>
      </c>
      <c r="D690" s="13" t="str">
        <f>D673</f>
        <v>Tukang listrik</v>
      </c>
      <c r="E690" s="17" t="s">
        <v>19</v>
      </c>
      <c r="F690" s="49">
        <v>0.11899999999999999</v>
      </c>
      <c r="G690" s="19">
        <f>VLOOKUP(D690,upahbahan,3,FALSE)</f>
        <v>145000</v>
      </c>
      <c r="H690" s="19">
        <f t="shared" si="72"/>
        <v>17255</v>
      </c>
      <c r="J690" s="15"/>
      <c r="K690" s="39"/>
    </row>
    <row r="691" spans="3:11" x14ac:dyDescent="0.3">
      <c r="C691" s="45">
        <v>3</v>
      </c>
      <c r="D691" s="13" t="s">
        <v>22</v>
      </c>
      <c r="E691" s="17" t="s">
        <v>19</v>
      </c>
      <c r="F691" s="49">
        <v>1.2E-2</v>
      </c>
      <c r="G691" s="19">
        <f>VLOOKUP(D691,upahbahan,3,FALSE)</f>
        <v>175000</v>
      </c>
      <c r="H691" s="19">
        <f t="shared" si="72"/>
        <v>2100</v>
      </c>
      <c r="J691" s="15"/>
      <c r="K691" s="39"/>
    </row>
    <row r="692" spans="3:11" x14ac:dyDescent="0.3">
      <c r="C692" s="45">
        <v>4</v>
      </c>
      <c r="D692" s="13" t="s">
        <v>23</v>
      </c>
      <c r="E692" s="17" t="s">
        <v>19</v>
      </c>
      <c r="F692" s="49">
        <v>4.0000000000000001E-3</v>
      </c>
      <c r="G692" s="19">
        <f>VLOOKUP(D692,upahbahan,3,FALSE)</f>
        <v>200000</v>
      </c>
      <c r="H692" s="19">
        <f t="shared" si="72"/>
        <v>800</v>
      </c>
      <c r="J692" s="15"/>
      <c r="K692" s="39"/>
    </row>
    <row r="693" spans="3:11" x14ac:dyDescent="0.3">
      <c r="C693" s="21" t="s">
        <v>24</v>
      </c>
      <c r="D693" s="22"/>
      <c r="E693" s="22"/>
      <c r="F693" s="54"/>
      <c r="G693" s="24"/>
      <c r="H693" s="19">
        <f>SUM(H689:H692)</f>
        <v>27255</v>
      </c>
      <c r="I693" s="25"/>
      <c r="J693" s="15"/>
      <c r="K693" s="39"/>
    </row>
    <row r="694" spans="3:11" x14ac:dyDescent="0.25">
      <c r="C694" s="17" t="s">
        <v>25</v>
      </c>
      <c r="D694" s="13" t="s">
        <v>26</v>
      </c>
      <c r="E694" s="14"/>
      <c r="F694" s="55"/>
      <c r="G694" s="14"/>
      <c r="H694" s="14"/>
      <c r="J694" s="15"/>
      <c r="K694" s="39"/>
    </row>
    <row r="695" spans="3:11" x14ac:dyDescent="0.3">
      <c r="C695" s="45">
        <v>1</v>
      </c>
      <c r="D695" s="26" t="s">
        <v>158</v>
      </c>
      <c r="E695" s="27" t="s">
        <v>28</v>
      </c>
      <c r="F695" s="18">
        <v>1.1499999999999999</v>
      </c>
      <c r="G695" s="19">
        <f>VLOOKUP(D695,upahbahan,3,FALSE)</f>
        <v>412200</v>
      </c>
      <c r="H695" s="19">
        <f t="shared" ref="H695" si="73">F695*G695</f>
        <v>474029.99999999994</v>
      </c>
      <c r="J695" s="15"/>
      <c r="K695" s="39"/>
    </row>
    <row r="696" spans="3:11" x14ac:dyDescent="0.3">
      <c r="C696" s="21" t="s">
        <v>29</v>
      </c>
      <c r="D696" s="22"/>
      <c r="E696" s="22"/>
      <c r="F696" s="22"/>
      <c r="G696" s="28"/>
      <c r="H696" s="19">
        <f>SUM(H695:H695)</f>
        <v>474029.99999999994</v>
      </c>
      <c r="J696" s="15"/>
      <c r="K696" s="39"/>
    </row>
    <row r="697" spans="3:11" x14ac:dyDescent="0.25">
      <c r="C697" s="12" t="s">
        <v>30</v>
      </c>
      <c r="D697" s="13" t="s">
        <v>31</v>
      </c>
      <c r="E697" s="14"/>
      <c r="F697" s="14"/>
      <c r="G697" s="14"/>
      <c r="H697" s="14"/>
      <c r="J697" s="15"/>
      <c r="K697" s="39"/>
    </row>
    <row r="698" spans="3:11" x14ac:dyDescent="0.3">
      <c r="C698" s="21" t="s">
        <v>32</v>
      </c>
      <c r="D698" s="22"/>
      <c r="E698" s="22"/>
      <c r="F698" s="22"/>
      <c r="G698" s="28"/>
      <c r="H698" s="29">
        <v>0</v>
      </c>
      <c r="J698" s="15"/>
      <c r="K698" s="39"/>
    </row>
    <row r="699" spans="3:11" x14ac:dyDescent="0.3">
      <c r="C699" s="30" t="s">
        <v>33</v>
      </c>
      <c r="D699" s="31" t="s">
        <v>34</v>
      </c>
      <c r="E699" s="32"/>
      <c r="F699" s="32"/>
      <c r="G699" s="33"/>
      <c r="H699" s="46">
        <f>H698+H696+H693</f>
        <v>501284.99999999994</v>
      </c>
      <c r="I699" s="47"/>
      <c r="J699" s="15"/>
      <c r="K699" s="39"/>
    </row>
    <row r="700" spans="3:11" x14ac:dyDescent="0.3">
      <c r="C700" s="30" t="s">
        <v>35</v>
      </c>
      <c r="D700" s="31" t="s">
        <v>36</v>
      </c>
      <c r="E700" s="32"/>
      <c r="F700" s="33"/>
      <c r="G700" s="34">
        <f>$M$9</f>
        <v>0.1</v>
      </c>
      <c r="H700" s="19">
        <f>H699*G700</f>
        <v>50128.5</v>
      </c>
      <c r="I700" s="47"/>
      <c r="J700" s="15"/>
      <c r="K700" s="39"/>
    </row>
    <row r="701" spans="3:11" x14ac:dyDescent="0.3">
      <c r="C701" s="30" t="s">
        <v>37</v>
      </c>
      <c r="D701" s="31" t="s">
        <v>38</v>
      </c>
      <c r="E701" s="32"/>
      <c r="F701" s="32"/>
      <c r="G701" s="33"/>
      <c r="H701" s="48">
        <f>SUM(H699:H700)</f>
        <v>551413.5</v>
      </c>
      <c r="I701" s="47"/>
      <c r="J701" s="15"/>
      <c r="K701" s="39"/>
    </row>
    <row r="702" spans="3:11" x14ac:dyDescent="0.3">
      <c r="J702" s="15"/>
      <c r="K702" s="39"/>
    </row>
    <row r="703" spans="3:11" x14ac:dyDescent="0.3">
      <c r="C703" s="40" t="s">
        <v>159</v>
      </c>
      <c r="D703" s="8" t="s">
        <v>160</v>
      </c>
      <c r="E703" s="44"/>
      <c r="F703" s="44"/>
      <c r="G703" s="44"/>
      <c r="H703" s="44"/>
      <c r="I703" s="10">
        <f>ROUNDDOWN(H718,0)</f>
        <v>784751</v>
      </c>
      <c r="J703" s="15"/>
      <c r="K703" s="39"/>
    </row>
    <row r="704" spans="3:11" ht="27.6" x14ac:dyDescent="0.3">
      <c r="C704" s="11" t="s">
        <v>9</v>
      </c>
      <c r="D704" s="11" t="s">
        <v>10</v>
      </c>
      <c r="E704" s="11" t="s">
        <v>11</v>
      </c>
      <c r="F704" s="11" t="s">
        <v>12</v>
      </c>
      <c r="G704" s="11" t="s">
        <v>13</v>
      </c>
      <c r="H704" s="11" t="s">
        <v>14</v>
      </c>
      <c r="J704" s="15"/>
      <c r="K704" s="39"/>
    </row>
    <row r="705" spans="3:11" x14ac:dyDescent="0.25">
      <c r="C705" s="17" t="s">
        <v>15</v>
      </c>
      <c r="D705" s="13" t="s">
        <v>16</v>
      </c>
      <c r="E705" s="14"/>
      <c r="F705" s="14"/>
      <c r="G705" s="14"/>
      <c r="H705" s="14"/>
      <c r="J705" s="15"/>
      <c r="K705" s="39"/>
    </row>
    <row r="706" spans="3:11" x14ac:dyDescent="0.3">
      <c r="C706" s="45">
        <v>1</v>
      </c>
      <c r="D706" s="13" t="s">
        <v>18</v>
      </c>
      <c r="E706" s="17" t="s">
        <v>19</v>
      </c>
      <c r="F706" s="49">
        <v>0.107</v>
      </c>
      <c r="G706" s="19">
        <f>VLOOKUP(D706,upahbahan,3,FALSE)</f>
        <v>100000</v>
      </c>
      <c r="H706" s="19">
        <f t="shared" ref="H706:H709" si="74">F706*G706</f>
        <v>10700</v>
      </c>
      <c r="J706" s="15"/>
      <c r="K706" s="39"/>
    </row>
    <row r="707" spans="3:11" x14ac:dyDescent="0.3">
      <c r="C707" s="45">
        <v>2</v>
      </c>
      <c r="D707" s="13" t="str">
        <f>D690</f>
        <v>Tukang listrik</v>
      </c>
      <c r="E707" s="17" t="s">
        <v>19</v>
      </c>
      <c r="F707" s="49">
        <v>0.17899999999999999</v>
      </c>
      <c r="G707" s="19">
        <f>VLOOKUP(D707,upahbahan,3,FALSE)</f>
        <v>145000</v>
      </c>
      <c r="H707" s="19">
        <f t="shared" si="74"/>
        <v>25955</v>
      </c>
      <c r="J707" s="15"/>
      <c r="K707" s="39"/>
    </row>
    <row r="708" spans="3:11" x14ac:dyDescent="0.3">
      <c r="C708" s="45">
        <v>3</v>
      </c>
      <c r="D708" s="13" t="s">
        <v>22</v>
      </c>
      <c r="E708" s="17" t="s">
        <v>19</v>
      </c>
      <c r="F708" s="49">
        <v>1.7999999999999999E-2</v>
      </c>
      <c r="G708" s="19">
        <f>VLOOKUP(D708,upahbahan,3,FALSE)</f>
        <v>175000</v>
      </c>
      <c r="H708" s="19">
        <f t="shared" si="74"/>
        <v>3149.9999999999995</v>
      </c>
      <c r="J708" s="15"/>
      <c r="K708" s="39"/>
    </row>
    <row r="709" spans="3:11" x14ac:dyDescent="0.3">
      <c r="C709" s="45">
        <v>4</v>
      </c>
      <c r="D709" s="13" t="s">
        <v>23</v>
      </c>
      <c r="E709" s="17" t="s">
        <v>19</v>
      </c>
      <c r="F709" s="49">
        <v>6.0000000000000001E-3</v>
      </c>
      <c r="G709" s="19">
        <f>VLOOKUP(D709,upahbahan,3,FALSE)</f>
        <v>200000</v>
      </c>
      <c r="H709" s="19">
        <f t="shared" si="74"/>
        <v>1200</v>
      </c>
      <c r="J709" s="15"/>
      <c r="K709" s="39"/>
    </row>
    <row r="710" spans="3:11" x14ac:dyDescent="0.3">
      <c r="C710" s="21" t="s">
        <v>24</v>
      </c>
      <c r="D710" s="22"/>
      <c r="E710" s="22"/>
      <c r="F710" s="54"/>
      <c r="G710" s="24"/>
      <c r="H710" s="19">
        <f>SUM(H706:H709)</f>
        <v>41005</v>
      </c>
      <c r="I710" s="25"/>
      <c r="J710" s="15"/>
      <c r="K710" s="39"/>
    </row>
    <row r="711" spans="3:11" x14ac:dyDescent="0.25">
      <c r="C711" s="17" t="s">
        <v>25</v>
      </c>
      <c r="D711" s="13" t="s">
        <v>26</v>
      </c>
      <c r="E711" s="14"/>
      <c r="F711" s="55"/>
      <c r="G711" s="14"/>
      <c r="H711" s="14"/>
      <c r="J711" s="15"/>
      <c r="K711" s="39"/>
    </row>
    <row r="712" spans="3:11" x14ac:dyDescent="0.3">
      <c r="C712" s="45">
        <v>1</v>
      </c>
      <c r="D712" s="26" t="s">
        <v>161</v>
      </c>
      <c r="E712" s="27" t="s">
        <v>28</v>
      </c>
      <c r="F712" s="18">
        <v>1.1499999999999999</v>
      </c>
      <c r="G712" s="19">
        <f>VLOOKUP(D712,upahbahan,3,FALSE)</f>
        <v>584700</v>
      </c>
      <c r="H712" s="19">
        <f>F712*G712</f>
        <v>672405</v>
      </c>
      <c r="J712" s="15"/>
      <c r="K712" s="39"/>
    </row>
    <row r="713" spans="3:11" x14ac:dyDescent="0.3">
      <c r="C713" s="21" t="s">
        <v>29</v>
      </c>
      <c r="D713" s="22"/>
      <c r="E713" s="22"/>
      <c r="F713" s="22"/>
      <c r="G713" s="28"/>
      <c r="H713" s="19">
        <f>SUM(H712:H712)</f>
        <v>672405</v>
      </c>
      <c r="J713" s="15"/>
      <c r="K713" s="39"/>
    </row>
    <row r="714" spans="3:11" x14ac:dyDescent="0.25">
      <c r="C714" s="12" t="s">
        <v>30</v>
      </c>
      <c r="D714" s="13" t="s">
        <v>31</v>
      </c>
      <c r="E714" s="14"/>
      <c r="F714" s="14"/>
      <c r="G714" s="14"/>
      <c r="H714" s="14"/>
      <c r="J714" s="15"/>
      <c r="K714" s="39"/>
    </row>
    <row r="715" spans="3:11" x14ac:dyDescent="0.3">
      <c r="C715" s="21" t="s">
        <v>32</v>
      </c>
      <c r="D715" s="22"/>
      <c r="E715" s="22"/>
      <c r="F715" s="22"/>
      <c r="G715" s="28"/>
      <c r="H715" s="29">
        <v>0</v>
      </c>
      <c r="J715" s="15"/>
      <c r="K715" s="39"/>
    </row>
    <row r="716" spans="3:11" x14ac:dyDescent="0.3">
      <c r="C716" s="30" t="s">
        <v>33</v>
      </c>
      <c r="D716" s="31" t="s">
        <v>34</v>
      </c>
      <c r="E716" s="32"/>
      <c r="F716" s="32"/>
      <c r="G716" s="33"/>
      <c r="H716" s="46">
        <f>H715+H713+H710</f>
        <v>713410</v>
      </c>
      <c r="I716" s="47"/>
      <c r="J716" s="15"/>
      <c r="K716" s="39"/>
    </row>
    <row r="717" spans="3:11" x14ac:dyDescent="0.3">
      <c r="C717" s="30" t="s">
        <v>35</v>
      </c>
      <c r="D717" s="31" t="s">
        <v>36</v>
      </c>
      <c r="E717" s="32"/>
      <c r="F717" s="33"/>
      <c r="G717" s="34">
        <f>$M$9</f>
        <v>0.1</v>
      </c>
      <c r="H717" s="19">
        <f>H716*G717</f>
        <v>71341</v>
      </c>
      <c r="I717" s="47"/>
      <c r="J717" s="15"/>
      <c r="K717" s="39"/>
    </row>
    <row r="718" spans="3:11" x14ac:dyDescent="0.3">
      <c r="C718" s="30" t="s">
        <v>37</v>
      </c>
      <c r="D718" s="31" t="s">
        <v>38</v>
      </c>
      <c r="E718" s="32"/>
      <c r="F718" s="32"/>
      <c r="G718" s="33"/>
      <c r="H718" s="48">
        <f>SUM(H716:H717)</f>
        <v>784751</v>
      </c>
      <c r="I718" s="47"/>
      <c r="J718" s="15"/>
      <c r="K718" s="39"/>
    </row>
    <row r="719" spans="3:11" x14ac:dyDescent="0.3">
      <c r="J719" s="15"/>
      <c r="K719" s="39"/>
    </row>
    <row r="720" spans="3:11" x14ac:dyDescent="0.3">
      <c r="C720" s="40" t="s">
        <v>162</v>
      </c>
      <c r="D720" s="8" t="s">
        <v>163</v>
      </c>
      <c r="E720" s="44"/>
      <c r="F720" s="44"/>
      <c r="G720" s="44"/>
      <c r="H720" s="44"/>
      <c r="I720" s="10">
        <f>ROUNDDOWN(H735,0)</f>
        <v>1078808</v>
      </c>
      <c r="J720" s="15"/>
      <c r="K720" s="39"/>
    </row>
    <row r="721" spans="3:11" ht="27.6" x14ac:dyDescent="0.3">
      <c r="C721" s="11" t="s">
        <v>9</v>
      </c>
      <c r="D721" s="11" t="s">
        <v>10</v>
      </c>
      <c r="E721" s="11" t="s">
        <v>11</v>
      </c>
      <c r="F721" s="11" t="s">
        <v>12</v>
      </c>
      <c r="G721" s="11" t="s">
        <v>13</v>
      </c>
      <c r="H721" s="11" t="s">
        <v>14</v>
      </c>
      <c r="J721" s="15"/>
      <c r="K721" s="39"/>
    </row>
    <row r="722" spans="3:11" x14ac:dyDescent="0.25">
      <c r="C722" s="17" t="s">
        <v>15</v>
      </c>
      <c r="D722" s="13" t="s">
        <v>16</v>
      </c>
      <c r="E722" s="14"/>
      <c r="F722" s="14"/>
      <c r="G722" s="19"/>
      <c r="H722" s="14"/>
      <c r="J722" s="15"/>
      <c r="K722" s="39"/>
    </row>
    <row r="723" spans="3:11" x14ac:dyDescent="0.3">
      <c r="C723" s="45">
        <v>1</v>
      </c>
      <c r="D723" s="13" t="s">
        <v>18</v>
      </c>
      <c r="E723" s="17" t="s">
        <v>19</v>
      </c>
      <c r="F723" s="49">
        <v>0.14299999999999999</v>
      </c>
      <c r="G723" s="19">
        <f>VLOOKUP(D723,upahbahan,3,FALSE)</f>
        <v>100000</v>
      </c>
      <c r="H723" s="19">
        <f t="shared" ref="H723:H726" si="75">F723*G723</f>
        <v>14299.999999999998</v>
      </c>
      <c r="J723" s="15"/>
      <c r="K723" s="39"/>
    </row>
    <row r="724" spans="3:11" x14ac:dyDescent="0.3">
      <c r="C724" s="45">
        <v>2</v>
      </c>
      <c r="D724" s="13" t="str">
        <f>D707</f>
        <v>Tukang listrik</v>
      </c>
      <c r="E724" s="17" t="s">
        <v>19</v>
      </c>
      <c r="F724" s="49">
        <v>0.23899999999999999</v>
      </c>
      <c r="G724" s="19">
        <f>VLOOKUP(D724,upahbahan,3,FALSE)</f>
        <v>145000</v>
      </c>
      <c r="H724" s="19">
        <f t="shared" si="75"/>
        <v>34655</v>
      </c>
      <c r="J724" s="15"/>
      <c r="K724" s="39"/>
    </row>
    <row r="725" spans="3:11" x14ac:dyDescent="0.3">
      <c r="C725" s="45">
        <v>3</v>
      </c>
      <c r="D725" s="13" t="s">
        <v>22</v>
      </c>
      <c r="E725" s="17" t="s">
        <v>19</v>
      </c>
      <c r="F725" s="49">
        <v>2.4E-2</v>
      </c>
      <c r="G725" s="19">
        <f>VLOOKUP(D725,upahbahan,3,FALSE)</f>
        <v>175000</v>
      </c>
      <c r="H725" s="19">
        <f t="shared" si="75"/>
        <v>4200</v>
      </c>
      <c r="J725" s="15"/>
      <c r="K725" s="39"/>
    </row>
    <row r="726" spans="3:11" x14ac:dyDescent="0.3">
      <c r="C726" s="45">
        <v>4</v>
      </c>
      <c r="D726" s="13" t="s">
        <v>23</v>
      </c>
      <c r="E726" s="17" t="s">
        <v>19</v>
      </c>
      <c r="F726" s="49">
        <v>8.0000000000000002E-3</v>
      </c>
      <c r="G726" s="19">
        <f>VLOOKUP(D726,upahbahan,3,FALSE)</f>
        <v>200000</v>
      </c>
      <c r="H726" s="19">
        <f t="shared" si="75"/>
        <v>1600</v>
      </c>
      <c r="J726" s="15"/>
      <c r="K726" s="39"/>
    </row>
    <row r="727" spans="3:11" x14ac:dyDescent="0.3">
      <c r="C727" s="21" t="s">
        <v>24</v>
      </c>
      <c r="D727" s="22"/>
      <c r="E727" s="22"/>
      <c r="F727" s="54"/>
      <c r="G727" s="24"/>
      <c r="H727" s="19">
        <f>SUM(H723:H726)</f>
        <v>54755</v>
      </c>
      <c r="I727" s="25"/>
      <c r="J727" s="15"/>
      <c r="K727" s="39"/>
    </row>
    <row r="728" spans="3:11" x14ac:dyDescent="0.25">
      <c r="C728" s="17" t="s">
        <v>25</v>
      </c>
      <c r="D728" s="13" t="s">
        <v>26</v>
      </c>
      <c r="E728" s="14"/>
      <c r="F728" s="55"/>
      <c r="G728" s="14"/>
      <c r="H728" s="14"/>
      <c r="J728" s="15"/>
      <c r="K728" s="39"/>
    </row>
    <row r="729" spans="3:11" x14ac:dyDescent="0.3">
      <c r="C729" s="45">
        <v>1</v>
      </c>
      <c r="D729" s="26" t="s">
        <v>164</v>
      </c>
      <c r="E729" s="27" t="s">
        <v>28</v>
      </c>
      <c r="F729" s="18">
        <v>1.1499999999999999</v>
      </c>
      <c r="G729" s="19">
        <f>VLOOKUP(D729,upahbahan,3,FALSE)</f>
        <v>805200</v>
      </c>
      <c r="H729" s="19">
        <f>F729*G729</f>
        <v>925979.99999999988</v>
      </c>
      <c r="J729" s="15"/>
      <c r="K729" s="39"/>
    </row>
    <row r="730" spans="3:11" x14ac:dyDescent="0.3">
      <c r="C730" s="21" t="s">
        <v>29</v>
      </c>
      <c r="D730" s="22"/>
      <c r="E730" s="22"/>
      <c r="F730" s="22"/>
      <c r="G730" s="28"/>
      <c r="H730" s="19">
        <f>SUM(H729:H729)</f>
        <v>925979.99999999988</v>
      </c>
      <c r="J730" s="15"/>
      <c r="K730" s="39"/>
    </row>
    <row r="731" spans="3:11" x14ac:dyDescent="0.25">
      <c r="C731" s="12" t="s">
        <v>30</v>
      </c>
      <c r="D731" s="13" t="s">
        <v>31</v>
      </c>
      <c r="E731" s="14"/>
      <c r="F731" s="14"/>
      <c r="G731" s="14"/>
      <c r="H731" s="14"/>
      <c r="J731" s="15"/>
      <c r="K731" s="39"/>
    </row>
    <row r="732" spans="3:11" x14ac:dyDescent="0.3">
      <c r="C732" s="21" t="s">
        <v>32</v>
      </c>
      <c r="D732" s="22"/>
      <c r="E732" s="22"/>
      <c r="F732" s="22"/>
      <c r="G732" s="28"/>
      <c r="H732" s="29">
        <v>0</v>
      </c>
      <c r="J732" s="15"/>
      <c r="K732" s="39"/>
    </row>
    <row r="733" spans="3:11" x14ac:dyDescent="0.3">
      <c r="C733" s="30" t="s">
        <v>33</v>
      </c>
      <c r="D733" s="31" t="s">
        <v>34</v>
      </c>
      <c r="E733" s="32"/>
      <c r="F733" s="32"/>
      <c r="G733" s="33"/>
      <c r="H733" s="46">
        <f>H732+H730+H727</f>
        <v>980734.99999999988</v>
      </c>
      <c r="I733" s="47"/>
      <c r="J733" s="15"/>
      <c r="K733" s="39"/>
    </row>
    <row r="734" spans="3:11" x14ac:dyDescent="0.3">
      <c r="C734" s="30" t="s">
        <v>35</v>
      </c>
      <c r="D734" s="31" t="s">
        <v>36</v>
      </c>
      <c r="E734" s="32"/>
      <c r="F734" s="33"/>
      <c r="G734" s="34">
        <f>$M$9</f>
        <v>0.1</v>
      </c>
      <c r="H734" s="19">
        <f>H733*G734</f>
        <v>98073.5</v>
      </c>
      <c r="I734" s="47"/>
      <c r="J734" s="15"/>
      <c r="K734" s="39"/>
    </row>
    <row r="735" spans="3:11" x14ac:dyDescent="0.3">
      <c r="C735" s="30" t="s">
        <v>37</v>
      </c>
      <c r="D735" s="31" t="s">
        <v>38</v>
      </c>
      <c r="E735" s="32"/>
      <c r="F735" s="32"/>
      <c r="G735" s="33"/>
      <c r="H735" s="48">
        <f>SUM(H733:H734)</f>
        <v>1078808.5</v>
      </c>
      <c r="I735" s="47"/>
      <c r="J735" s="15"/>
      <c r="K735" s="39"/>
    </row>
    <row r="736" spans="3:11" x14ac:dyDescent="0.3">
      <c r="J736" s="15"/>
      <c r="K736" s="39"/>
    </row>
    <row r="737" spans="3:11" x14ac:dyDescent="0.3">
      <c r="C737" s="60" t="s">
        <v>165</v>
      </c>
      <c r="D737" s="61" t="s">
        <v>166</v>
      </c>
      <c r="E737" s="62"/>
      <c r="F737" s="62"/>
      <c r="G737" s="62"/>
      <c r="H737" s="62"/>
      <c r="I737" s="10">
        <f>ROUNDDOWN(H752,0)</f>
        <v>1340284</v>
      </c>
      <c r="J737" s="15"/>
      <c r="K737" s="39"/>
    </row>
    <row r="738" spans="3:11" ht="27.6" x14ac:dyDescent="0.3">
      <c r="C738" s="11" t="s">
        <v>9</v>
      </c>
      <c r="D738" s="11" t="s">
        <v>10</v>
      </c>
      <c r="E738" s="11" t="s">
        <v>11</v>
      </c>
      <c r="F738" s="11" t="s">
        <v>12</v>
      </c>
      <c r="G738" s="11" t="s">
        <v>13</v>
      </c>
      <c r="H738" s="11" t="s">
        <v>14</v>
      </c>
      <c r="J738" s="15"/>
      <c r="K738" s="39"/>
    </row>
    <row r="739" spans="3:11" x14ac:dyDescent="0.25">
      <c r="C739" s="17" t="s">
        <v>15</v>
      </c>
      <c r="D739" s="13" t="s">
        <v>16</v>
      </c>
      <c r="E739" s="14"/>
      <c r="F739" s="14"/>
      <c r="G739" s="14"/>
      <c r="H739" s="14"/>
      <c r="J739" s="15"/>
      <c r="K739" s="39"/>
    </row>
    <row r="740" spans="3:11" x14ac:dyDescent="0.3">
      <c r="C740" s="45">
        <v>1</v>
      </c>
      <c r="D740" s="13" t="s">
        <v>18</v>
      </c>
      <c r="E740" s="17" t="s">
        <v>19</v>
      </c>
      <c r="F740" s="49">
        <v>0.14299999999999999</v>
      </c>
      <c r="G740" s="19">
        <f>VLOOKUP(D740,upahbahan,3,FALSE)</f>
        <v>100000</v>
      </c>
      <c r="H740" s="19">
        <f t="shared" ref="H740:H743" si="76">F740*G740</f>
        <v>14299.999999999998</v>
      </c>
      <c r="J740" s="15"/>
      <c r="K740" s="39"/>
    </row>
    <row r="741" spans="3:11" x14ac:dyDescent="0.3">
      <c r="C741" s="45">
        <v>2</v>
      </c>
      <c r="D741" s="13" t="str">
        <f>D724</f>
        <v>Tukang listrik</v>
      </c>
      <c r="E741" s="17" t="s">
        <v>19</v>
      </c>
      <c r="F741" s="49">
        <v>0.23899999999999999</v>
      </c>
      <c r="G741" s="19">
        <f>VLOOKUP(D741,upahbahan,3,FALSE)</f>
        <v>145000</v>
      </c>
      <c r="H741" s="19">
        <f t="shared" si="76"/>
        <v>34655</v>
      </c>
      <c r="J741" s="15"/>
      <c r="K741" s="39"/>
    </row>
    <row r="742" spans="3:11" x14ac:dyDescent="0.3">
      <c r="C742" s="45">
        <v>3</v>
      </c>
      <c r="D742" s="13" t="s">
        <v>22</v>
      </c>
      <c r="E742" s="17" t="s">
        <v>19</v>
      </c>
      <c r="F742" s="49">
        <v>2.4E-2</v>
      </c>
      <c r="G742" s="19">
        <f>VLOOKUP(D742,upahbahan,3,FALSE)</f>
        <v>175000</v>
      </c>
      <c r="H742" s="19">
        <f t="shared" si="76"/>
        <v>4200</v>
      </c>
      <c r="J742" s="15"/>
      <c r="K742" s="39"/>
    </row>
    <row r="743" spans="3:11" x14ac:dyDescent="0.3">
      <c r="C743" s="45">
        <v>4</v>
      </c>
      <c r="D743" s="13" t="s">
        <v>23</v>
      </c>
      <c r="E743" s="17" t="s">
        <v>19</v>
      </c>
      <c r="F743" s="49">
        <v>8.0000000000000002E-3</v>
      </c>
      <c r="G743" s="19">
        <f>VLOOKUP(D743,upahbahan,3,FALSE)</f>
        <v>200000</v>
      </c>
      <c r="H743" s="19">
        <f t="shared" si="76"/>
        <v>1600</v>
      </c>
      <c r="J743" s="15"/>
      <c r="K743" s="39"/>
    </row>
    <row r="744" spans="3:11" x14ac:dyDescent="0.3">
      <c r="C744" s="21" t="s">
        <v>24</v>
      </c>
      <c r="D744" s="22"/>
      <c r="E744" s="22"/>
      <c r="F744" s="54"/>
      <c r="G744" s="24"/>
      <c r="H744" s="19">
        <f>SUM(H740:H743)</f>
        <v>54755</v>
      </c>
      <c r="I744" s="25"/>
      <c r="J744" s="15"/>
      <c r="K744" s="39"/>
    </row>
    <row r="745" spans="3:11" x14ac:dyDescent="0.25">
      <c r="C745" s="17" t="s">
        <v>25</v>
      </c>
      <c r="D745" s="13" t="s">
        <v>26</v>
      </c>
      <c r="E745" s="14"/>
      <c r="F745" s="55"/>
      <c r="G745" s="14"/>
      <c r="H745" s="14"/>
      <c r="J745" s="15"/>
      <c r="K745" s="39"/>
    </row>
    <row r="746" spans="3:11" x14ac:dyDescent="0.3">
      <c r="C746" s="45">
        <v>1</v>
      </c>
      <c r="D746" s="26" t="s">
        <v>167</v>
      </c>
      <c r="E746" s="27" t="s">
        <v>28</v>
      </c>
      <c r="F746" s="18">
        <v>1.1499999999999999</v>
      </c>
      <c r="G746" s="19">
        <f>VLOOKUP(D746,upahbahan,3,FALSE)</f>
        <v>1011900</v>
      </c>
      <c r="H746" s="19">
        <f>F746*G746</f>
        <v>1163685</v>
      </c>
      <c r="J746" s="15"/>
      <c r="K746" s="39"/>
    </row>
    <row r="747" spans="3:11" x14ac:dyDescent="0.3">
      <c r="C747" s="21" t="s">
        <v>29</v>
      </c>
      <c r="D747" s="22"/>
      <c r="E747" s="22"/>
      <c r="F747" s="22"/>
      <c r="G747" s="28"/>
      <c r="H747" s="19">
        <f>SUM(H746:H746)</f>
        <v>1163685</v>
      </c>
      <c r="J747" s="15"/>
      <c r="K747" s="39"/>
    </row>
    <row r="748" spans="3:11" x14ac:dyDescent="0.25">
      <c r="C748" s="12" t="s">
        <v>30</v>
      </c>
      <c r="D748" s="13" t="s">
        <v>31</v>
      </c>
      <c r="E748" s="14"/>
      <c r="F748" s="14"/>
      <c r="G748" s="14"/>
      <c r="H748" s="14"/>
      <c r="J748" s="15"/>
      <c r="K748" s="39"/>
    </row>
    <row r="749" spans="3:11" x14ac:dyDescent="0.3">
      <c r="C749" s="21" t="s">
        <v>32</v>
      </c>
      <c r="D749" s="22"/>
      <c r="E749" s="22"/>
      <c r="F749" s="22"/>
      <c r="G749" s="28"/>
      <c r="H749" s="29">
        <v>0</v>
      </c>
      <c r="J749" s="15"/>
      <c r="K749" s="39"/>
    </row>
    <row r="750" spans="3:11" x14ac:dyDescent="0.3">
      <c r="C750" s="30" t="s">
        <v>33</v>
      </c>
      <c r="D750" s="31" t="s">
        <v>34</v>
      </c>
      <c r="E750" s="32"/>
      <c r="F750" s="32"/>
      <c r="G750" s="33"/>
      <c r="H750" s="46">
        <f>H749+H747+H744</f>
        <v>1218440</v>
      </c>
      <c r="I750" s="47"/>
      <c r="J750" s="15"/>
      <c r="K750" s="39"/>
    </row>
    <row r="751" spans="3:11" x14ac:dyDescent="0.3">
      <c r="C751" s="30" t="s">
        <v>35</v>
      </c>
      <c r="D751" s="31" t="s">
        <v>36</v>
      </c>
      <c r="E751" s="32"/>
      <c r="F751" s="33"/>
      <c r="G751" s="34">
        <f>$M$9</f>
        <v>0.1</v>
      </c>
      <c r="H751" s="19">
        <f>H750*G751</f>
        <v>121844</v>
      </c>
      <c r="I751" s="47"/>
      <c r="J751" s="15"/>
      <c r="K751" s="39"/>
    </row>
    <row r="752" spans="3:11" x14ac:dyDescent="0.3">
      <c r="C752" s="30" t="s">
        <v>37</v>
      </c>
      <c r="D752" s="31" t="s">
        <v>38</v>
      </c>
      <c r="E752" s="32"/>
      <c r="F752" s="32"/>
      <c r="G752" s="33"/>
      <c r="H752" s="48">
        <f>SUM(H750:H751)</f>
        <v>1340284</v>
      </c>
      <c r="I752" s="47"/>
      <c r="J752" s="15"/>
      <c r="K752" s="39"/>
    </row>
    <row r="753" spans="3:11" x14ac:dyDescent="0.3">
      <c r="J753" s="15"/>
      <c r="K753" s="39"/>
    </row>
    <row r="754" spans="3:11" x14ac:dyDescent="0.3">
      <c r="C754" s="40" t="s">
        <v>168</v>
      </c>
      <c r="D754" s="8" t="s">
        <v>169</v>
      </c>
      <c r="E754" s="44"/>
      <c r="F754" s="44"/>
      <c r="G754" s="44"/>
      <c r="H754" s="44"/>
      <c r="I754" s="10">
        <f>ROUNDDOWN(H769,0)</f>
        <v>1650121</v>
      </c>
      <c r="J754" s="15"/>
      <c r="K754" s="39"/>
    </row>
    <row r="755" spans="3:11" ht="27.6" x14ac:dyDescent="0.3">
      <c r="C755" s="11" t="s">
        <v>9</v>
      </c>
      <c r="D755" s="11" t="s">
        <v>10</v>
      </c>
      <c r="E755" s="11" t="s">
        <v>11</v>
      </c>
      <c r="F755" s="11" t="s">
        <v>12</v>
      </c>
      <c r="G755" s="11" t="s">
        <v>13</v>
      </c>
      <c r="H755" s="11" t="s">
        <v>14</v>
      </c>
      <c r="J755" s="15"/>
      <c r="K755" s="39"/>
    </row>
    <row r="756" spans="3:11" x14ac:dyDescent="0.25">
      <c r="C756" s="17" t="s">
        <v>15</v>
      </c>
      <c r="D756" s="13" t="s">
        <v>16</v>
      </c>
      <c r="E756" s="14"/>
      <c r="F756" s="14"/>
      <c r="G756" s="14"/>
      <c r="H756" s="14"/>
      <c r="J756" s="15"/>
      <c r="K756" s="39"/>
    </row>
    <row r="757" spans="3:11" x14ac:dyDescent="0.3">
      <c r="C757" s="45">
        <v>1</v>
      </c>
      <c r="D757" s="13" t="s">
        <v>18</v>
      </c>
      <c r="E757" s="17" t="s">
        <v>19</v>
      </c>
      <c r="F757" s="18">
        <v>0.17899999999999999</v>
      </c>
      <c r="G757" s="19">
        <f>VLOOKUP(D757,upahbahan,3,FALSE)</f>
        <v>100000</v>
      </c>
      <c r="H757" s="19">
        <f t="shared" ref="H757:H760" si="77">F757*G757</f>
        <v>17900</v>
      </c>
      <c r="J757" s="15"/>
      <c r="K757" s="39"/>
    </row>
    <row r="758" spans="3:11" x14ac:dyDescent="0.3">
      <c r="C758" s="45">
        <v>2</v>
      </c>
      <c r="D758" s="13" t="str">
        <f>D741</f>
        <v>Tukang listrik</v>
      </c>
      <c r="E758" s="17" t="s">
        <v>19</v>
      </c>
      <c r="F758" s="18">
        <v>0.29799999999999999</v>
      </c>
      <c r="G758" s="19">
        <f>VLOOKUP(D758,upahbahan,3,FALSE)</f>
        <v>145000</v>
      </c>
      <c r="H758" s="19">
        <f t="shared" si="77"/>
        <v>43210</v>
      </c>
      <c r="J758" s="15"/>
      <c r="K758" s="39"/>
    </row>
    <row r="759" spans="3:11" x14ac:dyDescent="0.3">
      <c r="C759" s="45">
        <v>3</v>
      </c>
      <c r="D759" s="13" t="s">
        <v>22</v>
      </c>
      <c r="E759" s="17" t="s">
        <v>19</v>
      </c>
      <c r="F759" s="18">
        <v>0.03</v>
      </c>
      <c r="G759" s="19">
        <f>VLOOKUP(D759,upahbahan,3,FALSE)</f>
        <v>175000</v>
      </c>
      <c r="H759" s="19">
        <f t="shared" si="77"/>
        <v>5250</v>
      </c>
      <c r="J759" s="15"/>
      <c r="K759" s="39"/>
    </row>
    <row r="760" spans="3:11" x14ac:dyDescent="0.3">
      <c r="C760" s="45">
        <v>4</v>
      </c>
      <c r="D760" s="13" t="s">
        <v>23</v>
      </c>
      <c r="E760" s="17" t="s">
        <v>19</v>
      </c>
      <c r="F760" s="18">
        <v>0.01</v>
      </c>
      <c r="G760" s="19">
        <f>VLOOKUP(D760,upahbahan,3,FALSE)</f>
        <v>200000</v>
      </c>
      <c r="H760" s="19">
        <f t="shared" si="77"/>
        <v>2000</v>
      </c>
      <c r="J760" s="15"/>
      <c r="K760" s="39"/>
    </row>
    <row r="761" spans="3:11" x14ac:dyDescent="0.3">
      <c r="C761" s="21" t="s">
        <v>24</v>
      </c>
      <c r="D761" s="22"/>
      <c r="E761" s="22"/>
      <c r="F761" s="54"/>
      <c r="G761" s="24"/>
      <c r="H761" s="19">
        <f>SUM(H757:H760)</f>
        <v>68360</v>
      </c>
      <c r="I761" s="25"/>
      <c r="J761" s="15"/>
      <c r="K761" s="39"/>
    </row>
    <row r="762" spans="3:11" x14ac:dyDescent="0.25">
      <c r="C762" s="17" t="s">
        <v>25</v>
      </c>
      <c r="D762" s="13" t="s">
        <v>26</v>
      </c>
      <c r="E762" s="14"/>
      <c r="F762" s="55"/>
      <c r="G762" s="14"/>
      <c r="H762" s="14"/>
      <c r="J762" s="15"/>
      <c r="K762" s="39"/>
    </row>
    <row r="763" spans="3:11" x14ac:dyDescent="0.3">
      <c r="C763" s="45">
        <v>1</v>
      </c>
      <c r="D763" s="26" t="s">
        <v>170</v>
      </c>
      <c r="E763" s="27" t="s">
        <v>28</v>
      </c>
      <c r="F763" s="18">
        <v>1.1499999999999999</v>
      </c>
      <c r="G763" s="19">
        <f>VLOOKUP(D763,upahbahan,3,FALSE)</f>
        <v>1245000</v>
      </c>
      <c r="H763" s="19">
        <f t="shared" ref="H763" si="78">F763*G763</f>
        <v>1431750</v>
      </c>
      <c r="J763" s="15"/>
      <c r="K763" s="39"/>
    </row>
    <row r="764" spans="3:11" x14ac:dyDescent="0.3">
      <c r="C764" s="21" t="s">
        <v>29</v>
      </c>
      <c r="D764" s="22"/>
      <c r="E764" s="22"/>
      <c r="F764" s="22"/>
      <c r="G764" s="28"/>
      <c r="H764" s="19">
        <f>SUM(H763:H763)</f>
        <v>1431750</v>
      </c>
      <c r="J764" s="15"/>
      <c r="K764" s="39"/>
    </row>
    <row r="765" spans="3:11" x14ac:dyDescent="0.25">
      <c r="C765" s="12" t="s">
        <v>30</v>
      </c>
      <c r="D765" s="13" t="s">
        <v>31</v>
      </c>
      <c r="E765" s="14"/>
      <c r="F765" s="14"/>
      <c r="G765" s="14"/>
      <c r="H765" s="14"/>
      <c r="J765" s="15"/>
      <c r="K765" s="39"/>
    </row>
    <row r="766" spans="3:11" x14ac:dyDescent="0.3">
      <c r="C766" s="21" t="s">
        <v>32</v>
      </c>
      <c r="D766" s="22"/>
      <c r="E766" s="22"/>
      <c r="F766" s="22"/>
      <c r="G766" s="28"/>
      <c r="H766" s="29">
        <v>0</v>
      </c>
      <c r="J766" s="15"/>
      <c r="K766" s="39"/>
    </row>
    <row r="767" spans="3:11" x14ac:dyDescent="0.3">
      <c r="C767" s="30" t="s">
        <v>33</v>
      </c>
      <c r="D767" s="31" t="s">
        <v>34</v>
      </c>
      <c r="E767" s="32"/>
      <c r="F767" s="32"/>
      <c r="G767" s="33"/>
      <c r="H767" s="46">
        <f>H766+H764+H761</f>
        <v>1500110</v>
      </c>
      <c r="I767" s="47"/>
      <c r="J767" s="15"/>
      <c r="K767" s="39"/>
    </row>
    <row r="768" spans="3:11" x14ac:dyDescent="0.3">
      <c r="C768" s="30" t="s">
        <v>35</v>
      </c>
      <c r="D768" s="31" t="s">
        <v>36</v>
      </c>
      <c r="E768" s="32"/>
      <c r="F768" s="33"/>
      <c r="G768" s="34">
        <f>$M$9</f>
        <v>0.1</v>
      </c>
      <c r="H768" s="19">
        <f>H767*G768</f>
        <v>150011</v>
      </c>
      <c r="I768" s="47"/>
      <c r="J768" s="15"/>
      <c r="K768" s="39"/>
    </row>
    <row r="769" spans="3:11" x14ac:dyDescent="0.3">
      <c r="C769" s="30" t="s">
        <v>37</v>
      </c>
      <c r="D769" s="31" t="s">
        <v>38</v>
      </c>
      <c r="E769" s="32"/>
      <c r="F769" s="32"/>
      <c r="G769" s="33"/>
      <c r="H769" s="48">
        <f>SUM(H767:H768)</f>
        <v>1650121</v>
      </c>
      <c r="I769" s="47"/>
      <c r="J769" s="15"/>
      <c r="K769" s="39"/>
    </row>
    <row r="770" spans="3:11" x14ac:dyDescent="0.3">
      <c r="J770" s="15"/>
      <c r="K770" s="39"/>
    </row>
    <row r="771" spans="3:11" x14ac:dyDescent="0.3">
      <c r="C771" s="40" t="s">
        <v>171</v>
      </c>
      <c r="D771" s="8" t="s">
        <v>172</v>
      </c>
      <c r="E771" s="44"/>
      <c r="F771" s="44"/>
      <c r="G771" s="44"/>
      <c r="H771" s="44"/>
      <c r="I771" s="10">
        <f>ROUNDDOWN(H786,0)</f>
        <v>2039488</v>
      </c>
      <c r="J771" s="15"/>
      <c r="K771" s="39"/>
    </row>
    <row r="772" spans="3:11" ht="27.6" x14ac:dyDescent="0.3">
      <c r="C772" s="11" t="s">
        <v>9</v>
      </c>
      <c r="D772" s="11" t="s">
        <v>10</v>
      </c>
      <c r="E772" s="11" t="s">
        <v>11</v>
      </c>
      <c r="F772" s="11" t="s">
        <v>12</v>
      </c>
      <c r="G772" s="11" t="s">
        <v>13</v>
      </c>
      <c r="H772" s="11" t="s">
        <v>14</v>
      </c>
      <c r="J772" s="15"/>
      <c r="K772" s="39"/>
    </row>
    <row r="773" spans="3:11" x14ac:dyDescent="0.25">
      <c r="C773" s="17" t="s">
        <v>15</v>
      </c>
      <c r="D773" s="13" t="s">
        <v>16</v>
      </c>
      <c r="E773" s="14"/>
      <c r="F773" s="14"/>
      <c r="G773" s="14"/>
      <c r="H773" s="14"/>
      <c r="J773" s="15"/>
      <c r="K773" s="39"/>
    </row>
    <row r="774" spans="3:11" x14ac:dyDescent="0.3">
      <c r="C774" s="45">
        <v>1</v>
      </c>
      <c r="D774" s="13" t="s">
        <v>18</v>
      </c>
      <c r="E774" s="17" t="s">
        <v>19</v>
      </c>
      <c r="F774" s="18">
        <v>0.17899999999999999</v>
      </c>
      <c r="G774" s="19">
        <f>VLOOKUP(D774,upahbahan,3,FALSE)</f>
        <v>100000</v>
      </c>
      <c r="H774" s="19">
        <f>F774*G774</f>
        <v>17900</v>
      </c>
      <c r="J774" s="15"/>
      <c r="K774" s="39"/>
    </row>
    <row r="775" spans="3:11" x14ac:dyDescent="0.3">
      <c r="C775" s="45">
        <v>2</v>
      </c>
      <c r="D775" s="13" t="str">
        <f>D758</f>
        <v>Tukang listrik</v>
      </c>
      <c r="E775" s="17" t="s">
        <v>19</v>
      </c>
      <c r="F775" s="18">
        <v>0.29799999999999999</v>
      </c>
      <c r="G775" s="19">
        <f>VLOOKUP(D775,upahbahan,3,FALSE)</f>
        <v>145000</v>
      </c>
      <c r="H775" s="19">
        <f t="shared" ref="H775:H777" si="79">F775*G775</f>
        <v>43210</v>
      </c>
      <c r="J775" s="15"/>
      <c r="K775" s="39"/>
    </row>
    <row r="776" spans="3:11" x14ac:dyDescent="0.3">
      <c r="C776" s="45">
        <v>3</v>
      </c>
      <c r="D776" s="13" t="s">
        <v>22</v>
      </c>
      <c r="E776" s="17" t="s">
        <v>19</v>
      </c>
      <c r="F776" s="18">
        <v>0.03</v>
      </c>
      <c r="G776" s="19">
        <f>VLOOKUP(D776,upahbahan,3,FALSE)</f>
        <v>175000</v>
      </c>
      <c r="H776" s="19">
        <f t="shared" si="79"/>
        <v>5250</v>
      </c>
      <c r="J776" s="15"/>
      <c r="K776" s="39"/>
    </row>
    <row r="777" spans="3:11" x14ac:dyDescent="0.3">
      <c r="C777" s="45">
        <v>4</v>
      </c>
      <c r="D777" s="13" t="s">
        <v>23</v>
      </c>
      <c r="E777" s="17" t="s">
        <v>19</v>
      </c>
      <c r="F777" s="18">
        <v>0.01</v>
      </c>
      <c r="G777" s="19">
        <f>VLOOKUP(D777,upahbahan,3,FALSE)</f>
        <v>200000</v>
      </c>
      <c r="H777" s="19">
        <f t="shared" si="79"/>
        <v>2000</v>
      </c>
      <c r="J777" s="15"/>
      <c r="K777" s="39"/>
    </row>
    <row r="778" spans="3:11" x14ac:dyDescent="0.3">
      <c r="C778" s="21" t="s">
        <v>24</v>
      </c>
      <c r="D778" s="22"/>
      <c r="E778" s="22"/>
      <c r="F778" s="54"/>
      <c r="G778" s="24"/>
      <c r="H778" s="19">
        <f>SUM(H774:H777)</f>
        <v>68360</v>
      </c>
      <c r="I778" s="25"/>
      <c r="J778" s="15"/>
      <c r="K778" s="39"/>
    </row>
    <row r="779" spans="3:11" x14ac:dyDescent="0.25">
      <c r="C779" s="17" t="s">
        <v>25</v>
      </c>
      <c r="D779" s="13" t="s">
        <v>26</v>
      </c>
      <c r="E779" s="14"/>
      <c r="F779" s="55"/>
      <c r="G779" s="14"/>
      <c r="H779" s="14"/>
      <c r="J779" s="15"/>
      <c r="K779" s="39"/>
    </row>
    <row r="780" spans="3:11" x14ac:dyDescent="0.3">
      <c r="C780" s="45">
        <v>1</v>
      </c>
      <c r="D780" s="26" t="s">
        <v>173</v>
      </c>
      <c r="E780" s="27" t="s">
        <v>28</v>
      </c>
      <c r="F780" s="18">
        <v>1.1499999999999999</v>
      </c>
      <c r="G780" s="19">
        <f>VLOOKUP(D780,upahbahan,3,FALSE)</f>
        <v>1552800</v>
      </c>
      <c r="H780" s="19">
        <f>F780*G780</f>
        <v>1785719.9999999998</v>
      </c>
      <c r="J780" s="15"/>
      <c r="K780" s="39"/>
    </row>
    <row r="781" spans="3:11" x14ac:dyDescent="0.3">
      <c r="C781" s="21" t="s">
        <v>29</v>
      </c>
      <c r="D781" s="22"/>
      <c r="E781" s="22"/>
      <c r="F781" s="22"/>
      <c r="G781" s="28"/>
      <c r="H781" s="19">
        <f>SUM(H780:H780)</f>
        <v>1785719.9999999998</v>
      </c>
      <c r="J781" s="15"/>
      <c r="K781" s="39"/>
    </row>
    <row r="782" spans="3:11" x14ac:dyDescent="0.25">
      <c r="C782" s="12" t="s">
        <v>30</v>
      </c>
      <c r="D782" s="13" t="s">
        <v>31</v>
      </c>
      <c r="E782" s="14"/>
      <c r="F782" s="14"/>
      <c r="G782" s="14"/>
      <c r="H782" s="14"/>
      <c r="J782" s="15"/>
      <c r="K782" s="39"/>
    </row>
    <row r="783" spans="3:11" x14ac:dyDescent="0.3">
      <c r="C783" s="21" t="s">
        <v>32</v>
      </c>
      <c r="D783" s="22"/>
      <c r="E783" s="22"/>
      <c r="F783" s="22"/>
      <c r="G783" s="28"/>
      <c r="H783" s="29">
        <v>0</v>
      </c>
      <c r="J783" s="15"/>
      <c r="K783" s="39"/>
    </row>
    <row r="784" spans="3:11" x14ac:dyDescent="0.3">
      <c r="C784" s="30" t="s">
        <v>33</v>
      </c>
      <c r="D784" s="31" t="s">
        <v>34</v>
      </c>
      <c r="E784" s="32"/>
      <c r="F784" s="32"/>
      <c r="G784" s="33"/>
      <c r="H784" s="46">
        <f>H783+H781+H778</f>
        <v>1854079.9999999998</v>
      </c>
      <c r="I784" s="47"/>
      <c r="J784" s="15"/>
      <c r="K784" s="39"/>
    </row>
    <row r="785" spans="3:11" x14ac:dyDescent="0.3">
      <c r="C785" s="30" t="s">
        <v>35</v>
      </c>
      <c r="D785" s="31" t="s">
        <v>36</v>
      </c>
      <c r="E785" s="32"/>
      <c r="F785" s="33"/>
      <c r="G785" s="34">
        <f>$M$9</f>
        <v>0.1</v>
      </c>
      <c r="H785" s="19">
        <f>H784*G785</f>
        <v>185408</v>
      </c>
      <c r="I785" s="47"/>
      <c r="J785" s="15"/>
      <c r="K785" s="39"/>
    </row>
    <row r="786" spans="3:11" x14ac:dyDescent="0.3">
      <c r="C786" s="30" t="s">
        <v>37</v>
      </c>
      <c r="D786" s="31" t="s">
        <v>38</v>
      </c>
      <c r="E786" s="32"/>
      <c r="F786" s="32"/>
      <c r="G786" s="33"/>
      <c r="H786" s="48">
        <f>SUM(H784:H785)</f>
        <v>2039487.9999999998</v>
      </c>
      <c r="I786" s="47"/>
      <c r="J786" s="15"/>
      <c r="K786" s="39"/>
    </row>
    <row r="787" spans="3:11" x14ac:dyDescent="0.3">
      <c r="J787" s="15"/>
      <c r="K787" s="39"/>
    </row>
    <row r="788" spans="3:11" x14ac:dyDescent="0.3">
      <c r="C788" s="40" t="s">
        <v>174</v>
      </c>
      <c r="D788" s="8" t="s">
        <v>175</v>
      </c>
      <c r="E788" s="44"/>
      <c r="F788" s="44"/>
      <c r="G788" s="44"/>
      <c r="H788" s="44"/>
      <c r="I788" s="10">
        <f>ROUNDDOWN(H803,0)</f>
        <v>2686893</v>
      </c>
      <c r="J788" s="15"/>
      <c r="K788" s="39"/>
    </row>
    <row r="789" spans="3:11" ht="27.6" x14ac:dyDescent="0.3">
      <c r="C789" s="11" t="s">
        <v>9</v>
      </c>
      <c r="D789" s="11" t="s">
        <v>10</v>
      </c>
      <c r="E789" s="11" t="s">
        <v>11</v>
      </c>
      <c r="F789" s="11" t="s">
        <v>12</v>
      </c>
      <c r="G789" s="11" t="s">
        <v>13</v>
      </c>
      <c r="H789" s="11" t="s">
        <v>14</v>
      </c>
      <c r="J789" s="15"/>
      <c r="K789" s="39"/>
    </row>
    <row r="790" spans="3:11" x14ac:dyDescent="0.25">
      <c r="C790" s="17" t="s">
        <v>15</v>
      </c>
      <c r="D790" s="13" t="s">
        <v>16</v>
      </c>
      <c r="E790" s="14"/>
      <c r="F790" s="14"/>
      <c r="G790" s="14"/>
      <c r="H790" s="14"/>
      <c r="J790" s="15"/>
      <c r="K790" s="39"/>
    </row>
    <row r="791" spans="3:11" x14ac:dyDescent="0.3">
      <c r="C791" s="45">
        <v>1</v>
      </c>
      <c r="D791" s="13" t="s">
        <v>18</v>
      </c>
      <c r="E791" s="17" t="s">
        <v>19</v>
      </c>
      <c r="F791" s="18">
        <v>0.23799999999999999</v>
      </c>
      <c r="G791" s="19">
        <f>VLOOKUP(D791,upahbahan,3,FALSE)</f>
        <v>100000</v>
      </c>
      <c r="H791" s="19">
        <f t="shared" ref="H791:H794" si="80">F791*G791</f>
        <v>23800</v>
      </c>
      <c r="J791" s="15"/>
      <c r="K791" s="39"/>
    </row>
    <row r="792" spans="3:11" x14ac:dyDescent="0.3">
      <c r="C792" s="45">
        <v>2</v>
      </c>
      <c r="D792" s="13" t="str">
        <f>D775</f>
        <v>Tukang listrik</v>
      </c>
      <c r="E792" s="17" t="s">
        <v>19</v>
      </c>
      <c r="F792" s="18">
        <v>0.39800000000000002</v>
      </c>
      <c r="G792" s="19">
        <f>VLOOKUP(D792,upahbahan,3,FALSE)</f>
        <v>145000</v>
      </c>
      <c r="H792" s="19">
        <f t="shared" si="80"/>
        <v>57710</v>
      </c>
      <c r="J792" s="15"/>
      <c r="K792" s="39"/>
    </row>
    <row r="793" spans="3:11" x14ac:dyDescent="0.3">
      <c r="C793" s="45">
        <v>3</v>
      </c>
      <c r="D793" s="13" t="s">
        <v>22</v>
      </c>
      <c r="E793" s="17" t="s">
        <v>19</v>
      </c>
      <c r="F793" s="18">
        <v>0.04</v>
      </c>
      <c r="G793" s="19">
        <f>VLOOKUP(D793,upahbahan,3,FALSE)</f>
        <v>175000</v>
      </c>
      <c r="H793" s="19">
        <f t="shared" si="80"/>
        <v>7000</v>
      </c>
      <c r="J793" s="15"/>
      <c r="K793" s="39"/>
    </row>
    <row r="794" spans="3:11" x14ac:dyDescent="0.3">
      <c r="C794" s="45">
        <v>4</v>
      </c>
      <c r="D794" s="13" t="s">
        <v>23</v>
      </c>
      <c r="E794" s="17" t="s">
        <v>19</v>
      </c>
      <c r="F794" s="18">
        <v>1.2999999999999999E-2</v>
      </c>
      <c r="G794" s="19">
        <f>VLOOKUP(D794,upahbahan,3,FALSE)</f>
        <v>200000</v>
      </c>
      <c r="H794" s="19">
        <f t="shared" si="80"/>
        <v>2600</v>
      </c>
      <c r="J794" s="15"/>
      <c r="K794" s="39"/>
    </row>
    <row r="795" spans="3:11" x14ac:dyDescent="0.3">
      <c r="C795" s="21" t="s">
        <v>24</v>
      </c>
      <c r="D795" s="22"/>
      <c r="E795" s="22"/>
      <c r="F795" s="54"/>
      <c r="G795" s="24"/>
      <c r="H795" s="19">
        <f>SUM(H791:H794)</f>
        <v>91110</v>
      </c>
      <c r="I795" s="25"/>
      <c r="J795" s="15"/>
      <c r="K795" s="39"/>
    </row>
    <row r="796" spans="3:11" x14ac:dyDescent="0.25">
      <c r="C796" s="17" t="s">
        <v>25</v>
      </c>
      <c r="D796" s="13" t="s">
        <v>26</v>
      </c>
      <c r="E796" s="14"/>
      <c r="F796" s="55"/>
      <c r="G796" s="14"/>
      <c r="H796" s="14"/>
      <c r="J796" s="15"/>
      <c r="K796" s="39"/>
    </row>
    <row r="797" spans="3:11" x14ac:dyDescent="0.3">
      <c r="C797" s="45">
        <v>1</v>
      </c>
      <c r="D797" s="26" t="s">
        <v>176</v>
      </c>
      <c r="E797" s="27" t="s">
        <v>28</v>
      </c>
      <c r="F797" s="18">
        <v>1.1499999999999999</v>
      </c>
      <c r="G797" s="19">
        <f>VLOOKUP(D797,upahbahan,3,FALSE)</f>
        <v>2044800</v>
      </c>
      <c r="H797" s="19">
        <f>F797*G797</f>
        <v>2351520</v>
      </c>
      <c r="J797" s="15"/>
      <c r="K797" s="39"/>
    </row>
    <row r="798" spans="3:11" x14ac:dyDescent="0.3">
      <c r="C798" s="21" t="s">
        <v>29</v>
      </c>
      <c r="D798" s="22"/>
      <c r="E798" s="22"/>
      <c r="F798" s="22"/>
      <c r="G798" s="28"/>
      <c r="H798" s="19">
        <f>SUM(H797:H797)</f>
        <v>2351520</v>
      </c>
      <c r="J798" s="15"/>
      <c r="K798" s="39"/>
    </row>
    <row r="799" spans="3:11" x14ac:dyDescent="0.25">
      <c r="C799" s="12" t="s">
        <v>30</v>
      </c>
      <c r="D799" s="13" t="s">
        <v>31</v>
      </c>
      <c r="E799" s="14"/>
      <c r="F799" s="14"/>
      <c r="G799" s="14"/>
      <c r="H799" s="14"/>
      <c r="J799" s="15"/>
      <c r="K799" s="39"/>
    </row>
    <row r="800" spans="3:11" x14ac:dyDescent="0.3">
      <c r="C800" s="21" t="s">
        <v>32</v>
      </c>
      <c r="D800" s="22"/>
      <c r="E800" s="22"/>
      <c r="F800" s="22"/>
      <c r="G800" s="28"/>
      <c r="H800" s="29">
        <v>0</v>
      </c>
      <c r="J800" s="15"/>
      <c r="K800" s="39"/>
    </row>
    <row r="801" spans="3:11" x14ac:dyDescent="0.3">
      <c r="C801" s="30" t="s">
        <v>33</v>
      </c>
      <c r="D801" s="31" t="s">
        <v>34</v>
      </c>
      <c r="E801" s="32"/>
      <c r="F801" s="32"/>
      <c r="G801" s="33"/>
      <c r="H801" s="46">
        <f>H800+H798+H795</f>
        <v>2442630</v>
      </c>
      <c r="I801" s="47"/>
      <c r="J801" s="15"/>
      <c r="K801" s="39"/>
    </row>
    <row r="802" spans="3:11" x14ac:dyDescent="0.3">
      <c r="C802" s="30" t="s">
        <v>35</v>
      </c>
      <c r="D802" s="31" t="s">
        <v>36</v>
      </c>
      <c r="E802" s="32"/>
      <c r="F802" s="33"/>
      <c r="G802" s="34">
        <f>$M$9</f>
        <v>0.1</v>
      </c>
      <c r="H802" s="19">
        <f>H801*G802</f>
        <v>244263</v>
      </c>
      <c r="I802" s="47"/>
      <c r="J802" s="15"/>
      <c r="K802" s="39"/>
    </row>
    <row r="803" spans="3:11" x14ac:dyDescent="0.3">
      <c r="C803" s="30" t="s">
        <v>37</v>
      </c>
      <c r="D803" s="31" t="s">
        <v>38</v>
      </c>
      <c r="E803" s="32"/>
      <c r="F803" s="32"/>
      <c r="G803" s="33"/>
      <c r="H803" s="48">
        <f>SUM(H801:H802)</f>
        <v>2686893</v>
      </c>
      <c r="I803" s="47"/>
      <c r="J803" s="15"/>
      <c r="K803" s="39"/>
    </row>
    <row r="804" spans="3:11" x14ac:dyDescent="0.3">
      <c r="J804" s="15"/>
      <c r="K804" s="39"/>
    </row>
    <row r="805" spans="3:11" x14ac:dyDescent="0.3">
      <c r="C805" s="60" t="s">
        <v>177</v>
      </c>
      <c r="D805" s="61" t="s">
        <v>178</v>
      </c>
      <c r="E805" s="62"/>
      <c r="F805" s="62"/>
      <c r="G805" s="62"/>
      <c r="H805" s="62"/>
      <c r="I805" s="10">
        <f>ROUNDDOWN(H820,0)</f>
        <v>3327109</v>
      </c>
      <c r="J805" s="15"/>
      <c r="K805" s="39"/>
    </row>
    <row r="806" spans="3:11" ht="27.6" x14ac:dyDescent="0.3">
      <c r="C806" s="11" t="s">
        <v>9</v>
      </c>
      <c r="D806" s="11" t="s">
        <v>10</v>
      </c>
      <c r="E806" s="11" t="s">
        <v>11</v>
      </c>
      <c r="F806" s="11" t="s">
        <v>12</v>
      </c>
      <c r="G806" s="11" t="s">
        <v>13</v>
      </c>
      <c r="H806" s="11" t="s">
        <v>14</v>
      </c>
      <c r="J806" s="15"/>
      <c r="K806" s="39"/>
    </row>
    <row r="807" spans="3:11" x14ac:dyDescent="0.25">
      <c r="C807" s="17" t="s">
        <v>15</v>
      </c>
      <c r="D807" s="13" t="s">
        <v>16</v>
      </c>
      <c r="E807" s="14"/>
      <c r="F807" s="14"/>
      <c r="G807" s="14"/>
      <c r="H807" s="14"/>
      <c r="J807" s="15"/>
      <c r="K807" s="39"/>
    </row>
    <row r="808" spans="3:11" x14ac:dyDescent="0.3">
      <c r="C808" s="45">
        <v>1</v>
      </c>
      <c r="D808" s="13" t="s">
        <v>18</v>
      </c>
      <c r="E808" s="17" t="s">
        <v>19</v>
      </c>
      <c r="F808" s="18">
        <v>0.23799999999999999</v>
      </c>
      <c r="G808" s="19">
        <f>VLOOKUP(D808,upahbahan,3,FALSE)</f>
        <v>100000</v>
      </c>
      <c r="H808" s="19">
        <f t="shared" ref="H808:H811" si="81">F808*G808</f>
        <v>23800</v>
      </c>
      <c r="J808" s="15"/>
      <c r="K808" s="39"/>
    </row>
    <row r="809" spans="3:11" x14ac:dyDescent="0.3">
      <c r="C809" s="45">
        <v>2</v>
      </c>
      <c r="D809" s="13" t="str">
        <f>D792</f>
        <v>Tukang listrik</v>
      </c>
      <c r="E809" s="17" t="s">
        <v>19</v>
      </c>
      <c r="F809" s="18">
        <v>0.39800000000000002</v>
      </c>
      <c r="G809" s="19">
        <f>VLOOKUP(D809,upahbahan,3,FALSE)</f>
        <v>145000</v>
      </c>
      <c r="H809" s="19">
        <f t="shared" si="81"/>
        <v>57710</v>
      </c>
      <c r="J809" s="15"/>
      <c r="K809" s="39"/>
    </row>
    <row r="810" spans="3:11" x14ac:dyDescent="0.3">
      <c r="C810" s="45">
        <v>3</v>
      </c>
      <c r="D810" s="13" t="s">
        <v>22</v>
      </c>
      <c r="E810" s="17" t="s">
        <v>19</v>
      </c>
      <c r="F810" s="18">
        <v>0.04</v>
      </c>
      <c r="G810" s="19">
        <f>VLOOKUP(D810,upahbahan,3,FALSE)</f>
        <v>175000</v>
      </c>
      <c r="H810" s="19">
        <f t="shared" si="81"/>
        <v>7000</v>
      </c>
      <c r="J810" s="15"/>
      <c r="K810" s="39"/>
    </row>
    <row r="811" spans="3:11" x14ac:dyDescent="0.3">
      <c r="C811" s="45">
        <v>4</v>
      </c>
      <c r="D811" s="13" t="s">
        <v>23</v>
      </c>
      <c r="E811" s="17" t="s">
        <v>19</v>
      </c>
      <c r="F811" s="18">
        <v>1.2999999999999999E-2</v>
      </c>
      <c r="G811" s="19">
        <f>VLOOKUP(D811,upahbahan,3,FALSE)</f>
        <v>200000</v>
      </c>
      <c r="H811" s="19">
        <f t="shared" si="81"/>
        <v>2600</v>
      </c>
      <c r="J811" s="15"/>
      <c r="K811" s="39"/>
    </row>
    <row r="812" spans="3:11" x14ac:dyDescent="0.3">
      <c r="C812" s="21" t="s">
        <v>24</v>
      </c>
      <c r="D812" s="22"/>
      <c r="E812" s="22"/>
      <c r="F812" s="54"/>
      <c r="G812" s="24"/>
      <c r="H812" s="19">
        <f>SUM(H808:H811)</f>
        <v>91110</v>
      </c>
      <c r="I812" s="25"/>
      <c r="J812" s="15"/>
      <c r="K812" s="39"/>
    </row>
    <row r="813" spans="3:11" x14ac:dyDescent="0.25">
      <c r="C813" s="17" t="s">
        <v>25</v>
      </c>
      <c r="D813" s="13" t="s">
        <v>26</v>
      </c>
      <c r="E813" s="14"/>
      <c r="F813" s="55"/>
      <c r="G813" s="14"/>
      <c r="H813" s="14"/>
      <c r="J813" s="15"/>
      <c r="K813" s="39"/>
    </row>
    <row r="814" spans="3:11" x14ac:dyDescent="0.3">
      <c r="C814" s="45">
        <v>1</v>
      </c>
      <c r="D814" s="26" t="s">
        <v>179</v>
      </c>
      <c r="E814" s="27" t="s">
        <v>28</v>
      </c>
      <c r="F814" s="18">
        <v>1.1499999999999999</v>
      </c>
      <c r="G814" s="19">
        <f>VLOOKUP(D814,upahbahan,3,FALSE)</f>
        <v>2550900</v>
      </c>
      <c r="H814" s="19">
        <f t="shared" ref="H814" si="82">F814*G814</f>
        <v>2933535</v>
      </c>
      <c r="J814" s="15"/>
      <c r="K814" s="39"/>
    </row>
    <row r="815" spans="3:11" x14ac:dyDescent="0.3">
      <c r="C815" s="21" t="s">
        <v>29</v>
      </c>
      <c r="D815" s="22"/>
      <c r="E815" s="22"/>
      <c r="F815" s="22"/>
      <c r="G815" s="28"/>
      <c r="H815" s="19">
        <f>SUM(H814:H814)</f>
        <v>2933535</v>
      </c>
      <c r="J815" s="15"/>
      <c r="K815" s="39"/>
    </row>
    <row r="816" spans="3:11" x14ac:dyDescent="0.25">
      <c r="C816" s="12" t="s">
        <v>30</v>
      </c>
      <c r="D816" s="13" t="s">
        <v>31</v>
      </c>
      <c r="E816" s="14"/>
      <c r="F816" s="14"/>
      <c r="G816" s="14"/>
      <c r="H816" s="14"/>
      <c r="J816" s="15"/>
      <c r="K816" s="39"/>
    </row>
    <row r="817" spans="3:11" x14ac:dyDescent="0.3">
      <c r="C817" s="21" t="s">
        <v>32</v>
      </c>
      <c r="D817" s="22"/>
      <c r="E817" s="22"/>
      <c r="F817" s="22"/>
      <c r="G817" s="28"/>
      <c r="H817" s="29">
        <v>0</v>
      </c>
      <c r="J817" s="15"/>
      <c r="K817" s="39"/>
    </row>
    <row r="818" spans="3:11" x14ac:dyDescent="0.3">
      <c r="C818" s="30" t="s">
        <v>33</v>
      </c>
      <c r="D818" s="31" t="s">
        <v>34</v>
      </c>
      <c r="E818" s="32"/>
      <c r="F818" s="32"/>
      <c r="G818" s="33"/>
      <c r="H818" s="46">
        <f>H817+H815+H812</f>
        <v>3024645</v>
      </c>
      <c r="I818" s="47"/>
      <c r="J818" s="15"/>
      <c r="K818" s="39"/>
    </row>
    <row r="819" spans="3:11" x14ac:dyDescent="0.3">
      <c r="C819" s="30" t="s">
        <v>35</v>
      </c>
      <c r="D819" s="31" t="s">
        <v>36</v>
      </c>
      <c r="E819" s="32"/>
      <c r="F819" s="33"/>
      <c r="G819" s="34">
        <f>$M$9</f>
        <v>0.1</v>
      </c>
      <c r="H819" s="19">
        <f>H818*G819</f>
        <v>302464.5</v>
      </c>
      <c r="I819" s="47"/>
      <c r="J819" s="15"/>
      <c r="K819" s="39"/>
    </row>
    <row r="820" spans="3:11" x14ac:dyDescent="0.3">
      <c r="C820" s="30" t="s">
        <v>37</v>
      </c>
      <c r="D820" s="31" t="s">
        <v>38</v>
      </c>
      <c r="E820" s="32"/>
      <c r="F820" s="32"/>
      <c r="G820" s="33"/>
      <c r="H820" s="48">
        <f>SUM(H818:H819)</f>
        <v>3327109.5</v>
      </c>
      <c r="I820" s="47"/>
      <c r="J820" s="15"/>
      <c r="K820" s="39"/>
    </row>
    <row r="821" spans="3:11" x14ac:dyDescent="0.3">
      <c r="J821" s="15"/>
      <c r="K821" s="39"/>
    </row>
    <row r="822" spans="3:11" x14ac:dyDescent="0.3">
      <c r="C822" s="2" t="s">
        <v>180</v>
      </c>
      <c r="D822" s="2" t="s">
        <v>181</v>
      </c>
      <c r="J822" s="15"/>
      <c r="K822" s="39"/>
    </row>
    <row r="823" spans="3:11" x14ac:dyDescent="0.3">
      <c r="C823" s="40" t="s">
        <v>182</v>
      </c>
      <c r="D823" s="8" t="s">
        <v>183</v>
      </c>
      <c r="E823" s="44"/>
      <c r="F823" s="44"/>
      <c r="G823" s="44"/>
      <c r="H823" s="44"/>
      <c r="I823" s="10">
        <f>ROUNDDOWN(H838,0)</f>
        <v>9163</v>
      </c>
      <c r="J823" s="15"/>
      <c r="K823" s="39"/>
    </row>
    <row r="824" spans="3:11" ht="27.6" x14ac:dyDescent="0.3">
      <c r="C824" s="11" t="s">
        <v>9</v>
      </c>
      <c r="D824" s="11" t="s">
        <v>10</v>
      </c>
      <c r="E824" s="11" t="s">
        <v>11</v>
      </c>
      <c r="F824" s="11" t="s">
        <v>12</v>
      </c>
      <c r="G824" s="11" t="s">
        <v>13</v>
      </c>
      <c r="H824" s="11" t="s">
        <v>14</v>
      </c>
      <c r="J824" s="15"/>
      <c r="K824" s="39"/>
    </row>
    <row r="825" spans="3:11" x14ac:dyDescent="0.25">
      <c r="C825" s="12" t="s">
        <v>15</v>
      </c>
      <c r="D825" s="13" t="s">
        <v>16</v>
      </c>
      <c r="E825" s="14"/>
      <c r="F825" s="14"/>
      <c r="G825" s="14"/>
      <c r="H825" s="14"/>
      <c r="J825" s="15"/>
      <c r="K825" s="39"/>
    </row>
    <row r="826" spans="3:11" x14ac:dyDescent="0.3">
      <c r="C826" s="16">
        <v>1</v>
      </c>
      <c r="D826" s="13" t="s">
        <v>18</v>
      </c>
      <c r="E826" s="17" t="s">
        <v>19</v>
      </c>
      <c r="F826" s="18">
        <v>1.2E-2</v>
      </c>
      <c r="G826" s="19">
        <f>VLOOKUP(D826,upahbahan,3,FALSE)</f>
        <v>100000</v>
      </c>
      <c r="H826" s="19">
        <f>F826*G826</f>
        <v>1200</v>
      </c>
      <c r="J826" s="15"/>
      <c r="K826" s="39"/>
    </row>
    <row r="827" spans="3:11" x14ac:dyDescent="0.3">
      <c r="C827" s="16">
        <v>2</v>
      </c>
      <c r="D827" s="13" t="str">
        <f>D809</f>
        <v>Tukang listrik</v>
      </c>
      <c r="E827" s="17" t="s">
        <v>19</v>
      </c>
      <c r="F827" s="18">
        <v>0.02</v>
      </c>
      <c r="G827" s="19">
        <f>VLOOKUP(D827,upahbahan,3,FALSE)</f>
        <v>145000</v>
      </c>
      <c r="H827" s="19">
        <f t="shared" ref="H827:H829" si="83">F827*G827</f>
        <v>2900</v>
      </c>
      <c r="J827" s="15"/>
      <c r="K827" s="39"/>
    </row>
    <row r="828" spans="3:11" x14ac:dyDescent="0.3">
      <c r="C828" s="16">
        <v>3</v>
      </c>
      <c r="D828" s="13" t="s">
        <v>22</v>
      </c>
      <c r="E828" s="17" t="s">
        <v>19</v>
      </c>
      <c r="F828" s="18">
        <v>2E-3</v>
      </c>
      <c r="G828" s="19">
        <f>VLOOKUP(D828,upahbahan,3,FALSE)</f>
        <v>175000</v>
      </c>
      <c r="H828" s="19">
        <f t="shared" si="83"/>
        <v>350</v>
      </c>
      <c r="J828" s="15"/>
      <c r="K828" s="39"/>
    </row>
    <row r="829" spans="3:11" x14ac:dyDescent="0.3">
      <c r="C829" s="16">
        <v>4</v>
      </c>
      <c r="D829" s="13" t="s">
        <v>23</v>
      </c>
      <c r="E829" s="17" t="s">
        <v>19</v>
      </c>
      <c r="F829" s="18">
        <v>1E-3</v>
      </c>
      <c r="G829" s="19">
        <f>VLOOKUP(D829,upahbahan,3,FALSE)</f>
        <v>200000</v>
      </c>
      <c r="H829" s="19">
        <f t="shared" si="83"/>
        <v>200</v>
      </c>
      <c r="J829" s="15"/>
      <c r="K829" s="39"/>
    </row>
    <row r="830" spans="3:11" x14ac:dyDescent="0.3">
      <c r="C830" s="21" t="s">
        <v>24</v>
      </c>
      <c r="D830" s="22"/>
      <c r="E830" s="22"/>
      <c r="F830" s="54"/>
      <c r="G830" s="24"/>
      <c r="H830" s="19">
        <f>SUM(H826:H829)</f>
        <v>4650</v>
      </c>
      <c r="I830" s="25"/>
      <c r="J830" s="15"/>
      <c r="K830" s="39"/>
    </row>
    <row r="831" spans="3:11" x14ac:dyDescent="0.25">
      <c r="C831" s="12" t="s">
        <v>25</v>
      </c>
      <c r="D831" s="13" t="s">
        <v>26</v>
      </c>
      <c r="E831" s="14"/>
      <c r="F831" s="55"/>
      <c r="G831" s="14"/>
      <c r="H831" s="14"/>
      <c r="J831" s="15"/>
      <c r="K831" s="39"/>
    </row>
    <row r="832" spans="3:11" x14ac:dyDescent="0.3">
      <c r="C832" s="16">
        <v>1</v>
      </c>
      <c r="D832" s="26" t="s">
        <v>184</v>
      </c>
      <c r="E832" s="27" t="s">
        <v>28</v>
      </c>
      <c r="F832" s="18">
        <v>1.1499999999999999</v>
      </c>
      <c r="G832" s="19">
        <f>VLOOKUP(D832,upahbahan,3,FALSE)</f>
        <v>3200</v>
      </c>
      <c r="H832" s="19">
        <f t="shared" ref="H832" si="84">F832*G832</f>
        <v>3679.9999999999995</v>
      </c>
      <c r="J832" s="15"/>
      <c r="K832" s="39"/>
    </row>
    <row r="833" spans="3:11" x14ac:dyDescent="0.3">
      <c r="C833" s="21" t="s">
        <v>29</v>
      </c>
      <c r="D833" s="22"/>
      <c r="E833" s="22"/>
      <c r="F833" s="22"/>
      <c r="G833" s="28"/>
      <c r="H833" s="19">
        <f>SUM(H832:H832)</f>
        <v>3679.9999999999995</v>
      </c>
      <c r="J833" s="15"/>
      <c r="K833" s="39"/>
    </row>
    <row r="834" spans="3:11" x14ac:dyDescent="0.25">
      <c r="C834" s="12" t="s">
        <v>30</v>
      </c>
      <c r="D834" s="13" t="s">
        <v>31</v>
      </c>
      <c r="E834" s="14"/>
      <c r="F834" s="14"/>
      <c r="G834" s="14"/>
      <c r="H834" s="14"/>
      <c r="J834" s="15"/>
      <c r="K834" s="39"/>
    </row>
    <row r="835" spans="3:11" x14ac:dyDescent="0.3">
      <c r="C835" s="21" t="s">
        <v>32</v>
      </c>
      <c r="D835" s="22"/>
      <c r="E835" s="22"/>
      <c r="F835" s="22"/>
      <c r="G835" s="28"/>
      <c r="H835" s="29">
        <v>0</v>
      </c>
      <c r="J835" s="15"/>
      <c r="K835" s="39"/>
    </row>
    <row r="836" spans="3:11" x14ac:dyDescent="0.3">
      <c r="C836" s="30" t="s">
        <v>33</v>
      </c>
      <c r="D836" s="31" t="s">
        <v>34</v>
      </c>
      <c r="E836" s="32"/>
      <c r="F836" s="32"/>
      <c r="G836" s="33"/>
      <c r="H836" s="46">
        <f>H835+H833+H830</f>
        <v>8330</v>
      </c>
      <c r="I836" s="47"/>
      <c r="J836" s="15"/>
      <c r="K836" s="39"/>
    </row>
    <row r="837" spans="3:11" x14ac:dyDescent="0.3">
      <c r="C837" s="30" t="s">
        <v>35</v>
      </c>
      <c r="D837" s="31" t="s">
        <v>36</v>
      </c>
      <c r="E837" s="32"/>
      <c r="F837" s="33"/>
      <c r="G837" s="34">
        <f>$M$9</f>
        <v>0.1</v>
      </c>
      <c r="H837" s="19">
        <f>H836*G837</f>
        <v>833</v>
      </c>
      <c r="I837" s="47"/>
      <c r="J837" s="15"/>
      <c r="K837" s="39"/>
    </row>
    <row r="838" spans="3:11" x14ac:dyDescent="0.3">
      <c r="C838" s="30" t="s">
        <v>37</v>
      </c>
      <c r="D838" s="31" t="s">
        <v>38</v>
      </c>
      <c r="E838" s="32"/>
      <c r="F838" s="32"/>
      <c r="G838" s="33"/>
      <c r="H838" s="48">
        <f>SUM(H836:H837)</f>
        <v>9163</v>
      </c>
      <c r="I838" s="47"/>
      <c r="J838" s="15"/>
      <c r="K838" s="39"/>
    </row>
    <row r="839" spans="3:11" x14ac:dyDescent="0.3">
      <c r="J839" s="15"/>
      <c r="K839" s="39"/>
    </row>
    <row r="840" spans="3:11" x14ac:dyDescent="0.3">
      <c r="C840" s="40" t="s">
        <v>185</v>
      </c>
      <c r="D840" s="8" t="s">
        <v>186</v>
      </c>
      <c r="E840" s="44"/>
      <c r="F840" s="44"/>
      <c r="G840" s="44"/>
      <c r="H840" s="44"/>
      <c r="I840" s="10">
        <f>ROUNDDOWN(H855,0)</f>
        <v>11819</v>
      </c>
      <c r="J840" s="15"/>
      <c r="K840" s="39"/>
    </row>
    <row r="841" spans="3:11" ht="27.6" x14ac:dyDescent="0.3">
      <c r="C841" s="11" t="s">
        <v>9</v>
      </c>
      <c r="D841" s="11" t="s">
        <v>10</v>
      </c>
      <c r="E841" s="11" t="s">
        <v>11</v>
      </c>
      <c r="F841" s="11" t="s">
        <v>12</v>
      </c>
      <c r="G841" s="11" t="s">
        <v>13</v>
      </c>
      <c r="H841" s="11" t="s">
        <v>14</v>
      </c>
      <c r="J841" s="15"/>
      <c r="K841" s="39"/>
    </row>
    <row r="842" spans="3:11" x14ac:dyDescent="0.25">
      <c r="C842" s="17" t="s">
        <v>15</v>
      </c>
      <c r="D842" s="13" t="s">
        <v>16</v>
      </c>
      <c r="E842" s="14"/>
      <c r="F842" s="14"/>
      <c r="G842" s="14"/>
      <c r="H842" s="14"/>
      <c r="J842" s="15"/>
      <c r="K842" s="39"/>
    </row>
    <row r="843" spans="3:11" x14ac:dyDescent="0.3">
      <c r="C843" s="45">
        <v>1</v>
      </c>
      <c r="D843" s="13" t="s">
        <v>18</v>
      </c>
      <c r="E843" s="17" t="s">
        <v>19</v>
      </c>
      <c r="F843" s="18">
        <v>1.2E-2</v>
      </c>
      <c r="G843" s="19">
        <f>VLOOKUP(D843,upahbahan,3,FALSE)</f>
        <v>100000</v>
      </c>
      <c r="H843" s="19">
        <f>F843*G843</f>
        <v>1200</v>
      </c>
      <c r="J843" s="15"/>
      <c r="K843" s="39"/>
    </row>
    <row r="844" spans="3:11" x14ac:dyDescent="0.3">
      <c r="C844" s="45">
        <v>2</v>
      </c>
      <c r="D844" s="13" t="str">
        <f>D827</f>
        <v>Tukang listrik</v>
      </c>
      <c r="E844" s="17" t="s">
        <v>19</v>
      </c>
      <c r="F844" s="18">
        <v>0.02</v>
      </c>
      <c r="G844" s="19">
        <f>VLOOKUP(D844,upahbahan,3,FALSE)</f>
        <v>145000</v>
      </c>
      <c r="H844" s="19">
        <f t="shared" ref="H844:H846" si="85">F844*G844</f>
        <v>2900</v>
      </c>
      <c r="J844" s="15"/>
      <c r="K844" s="39"/>
    </row>
    <row r="845" spans="3:11" x14ac:dyDescent="0.3">
      <c r="C845" s="45">
        <v>3</v>
      </c>
      <c r="D845" s="13" t="s">
        <v>22</v>
      </c>
      <c r="E845" s="17" t="s">
        <v>19</v>
      </c>
      <c r="F845" s="18">
        <v>2E-3</v>
      </c>
      <c r="G845" s="19">
        <f>VLOOKUP(D845,upahbahan,3,FALSE)</f>
        <v>175000</v>
      </c>
      <c r="H845" s="19">
        <f t="shared" si="85"/>
        <v>350</v>
      </c>
      <c r="J845" s="15"/>
      <c r="K845" s="39"/>
    </row>
    <row r="846" spans="3:11" x14ac:dyDescent="0.3">
      <c r="C846" s="45">
        <v>4</v>
      </c>
      <c r="D846" s="13" t="s">
        <v>23</v>
      </c>
      <c r="E846" s="17" t="s">
        <v>19</v>
      </c>
      <c r="F846" s="18">
        <v>1E-3</v>
      </c>
      <c r="G846" s="19">
        <f>VLOOKUP(D846,upahbahan,3,FALSE)</f>
        <v>200000</v>
      </c>
      <c r="H846" s="19">
        <f t="shared" si="85"/>
        <v>200</v>
      </c>
      <c r="J846" s="15"/>
      <c r="K846" s="39"/>
    </row>
    <row r="847" spans="3:11" x14ac:dyDescent="0.3">
      <c r="C847" s="21" t="s">
        <v>24</v>
      </c>
      <c r="D847" s="22"/>
      <c r="E847" s="22"/>
      <c r="F847" s="54"/>
      <c r="G847" s="24"/>
      <c r="H847" s="19">
        <f>SUM(H843:H846)</f>
        <v>4650</v>
      </c>
      <c r="I847" s="25"/>
      <c r="J847" s="15"/>
      <c r="K847" s="39"/>
    </row>
    <row r="848" spans="3:11" x14ac:dyDescent="0.25">
      <c r="C848" s="17" t="s">
        <v>25</v>
      </c>
      <c r="D848" s="13" t="s">
        <v>26</v>
      </c>
      <c r="E848" s="14"/>
      <c r="F848" s="55"/>
      <c r="G848" s="14"/>
      <c r="H848" s="14"/>
      <c r="J848" s="15"/>
      <c r="K848" s="39"/>
    </row>
    <row r="849" spans="3:11" x14ac:dyDescent="0.3">
      <c r="C849" s="45">
        <v>1</v>
      </c>
      <c r="D849" s="26" t="s">
        <v>187</v>
      </c>
      <c r="E849" s="27" t="s">
        <v>28</v>
      </c>
      <c r="F849" s="18">
        <v>1.1499999999999999</v>
      </c>
      <c r="G849" s="19">
        <f>VLOOKUP(D849,upahbahan,3,FALSE)</f>
        <v>5300</v>
      </c>
      <c r="H849" s="19">
        <f t="shared" ref="H849" si="86">F849*G849</f>
        <v>6094.9999999999991</v>
      </c>
      <c r="J849" s="15"/>
      <c r="K849" s="39"/>
    </row>
    <row r="850" spans="3:11" x14ac:dyDescent="0.3">
      <c r="C850" s="21" t="s">
        <v>29</v>
      </c>
      <c r="D850" s="22"/>
      <c r="E850" s="22"/>
      <c r="F850" s="22"/>
      <c r="G850" s="28"/>
      <c r="H850" s="19">
        <f>SUM(H849:H849)</f>
        <v>6094.9999999999991</v>
      </c>
      <c r="J850" s="15"/>
      <c r="K850" s="39"/>
    </row>
    <row r="851" spans="3:11" x14ac:dyDescent="0.25">
      <c r="C851" s="12" t="s">
        <v>30</v>
      </c>
      <c r="D851" s="13" t="s">
        <v>31</v>
      </c>
      <c r="E851" s="14"/>
      <c r="F851" s="14"/>
      <c r="G851" s="14"/>
      <c r="H851" s="14"/>
      <c r="J851" s="15"/>
      <c r="K851" s="39"/>
    </row>
    <row r="852" spans="3:11" x14ac:dyDescent="0.3">
      <c r="C852" s="21" t="s">
        <v>32</v>
      </c>
      <c r="D852" s="22"/>
      <c r="E852" s="22"/>
      <c r="F852" s="22"/>
      <c r="G852" s="28"/>
      <c r="H852" s="29">
        <v>0</v>
      </c>
      <c r="J852" s="15"/>
      <c r="K852" s="39"/>
    </row>
    <row r="853" spans="3:11" x14ac:dyDescent="0.3">
      <c r="C853" s="30" t="s">
        <v>33</v>
      </c>
      <c r="D853" s="31" t="s">
        <v>34</v>
      </c>
      <c r="E853" s="32"/>
      <c r="F853" s="32"/>
      <c r="G853" s="33"/>
      <c r="H853" s="46">
        <f>H852+H850+H847</f>
        <v>10745</v>
      </c>
      <c r="I853" s="47"/>
      <c r="J853" s="15"/>
      <c r="K853" s="39"/>
    </row>
    <row r="854" spans="3:11" x14ac:dyDescent="0.3">
      <c r="C854" s="30" t="s">
        <v>35</v>
      </c>
      <c r="D854" s="31" t="s">
        <v>36</v>
      </c>
      <c r="E854" s="32"/>
      <c r="F854" s="33"/>
      <c r="G854" s="34">
        <f>$M$9</f>
        <v>0.1</v>
      </c>
      <c r="H854" s="19">
        <f>H853*G854</f>
        <v>1074.5</v>
      </c>
      <c r="I854" s="47"/>
      <c r="J854" s="15"/>
      <c r="K854" s="39"/>
    </row>
    <row r="855" spans="3:11" x14ac:dyDescent="0.3">
      <c r="C855" s="30" t="s">
        <v>37</v>
      </c>
      <c r="D855" s="31" t="s">
        <v>38</v>
      </c>
      <c r="E855" s="32"/>
      <c r="F855" s="32"/>
      <c r="G855" s="33"/>
      <c r="H855" s="48">
        <f>SUM(H853:H854)</f>
        <v>11819.5</v>
      </c>
      <c r="I855" s="47"/>
      <c r="J855" s="15"/>
      <c r="K855" s="39"/>
    </row>
    <row r="856" spans="3:11" x14ac:dyDescent="0.3">
      <c r="J856" s="15"/>
      <c r="K856" s="39"/>
    </row>
    <row r="857" spans="3:11" x14ac:dyDescent="0.3">
      <c r="C857" s="40" t="s">
        <v>188</v>
      </c>
      <c r="D857" s="8" t="s">
        <v>189</v>
      </c>
      <c r="E857" s="44"/>
      <c r="F857" s="44"/>
      <c r="G857" s="44"/>
      <c r="H857" s="44"/>
      <c r="I857" s="10">
        <f>ROUNDDOWN(H872,0)</f>
        <v>18491</v>
      </c>
      <c r="J857" s="15"/>
      <c r="K857" s="39"/>
    </row>
    <row r="858" spans="3:11" ht="27.6" x14ac:dyDescent="0.3">
      <c r="C858" s="11" t="s">
        <v>9</v>
      </c>
      <c r="D858" s="11" t="s">
        <v>10</v>
      </c>
      <c r="E858" s="11" t="s">
        <v>11</v>
      </c>
      <c r="F858" s="11" t="s">
        <v>12</v>
      </c>
      <c r="G858" s="11" t="s">
        <v>13</v>
      </c>
      <c r="H858" s="11" t="s">
        <v>14</v>
      </c>
      <c r="J858" s="15"/>
      <c r="K858" s="39"/>
    </row>
    <row r="859" spans="3:11" x14ac:dyDescent="0.25">
      <c r="C859" s="17" t="s">
        <v>15</v>
      </c>
      <c r="D859" s="13" t="s">
        <v>16</v>
      </c>
      <c r="E859" s="14"/>
      <c r="F859" s="14"/>
      <c r="G859" s="14"/>
      <c r="H859" s="14"/>
      <c r="J859" s="15"/>
      <c r="K859" s="39"/>
    </row>
    <row r="860" spans="3:11" x14ac:dyDescent="0.3">
      <c r="C860" s="45">
        <v>1</v>
      </c>
      <c r="D860" s="13" t="s">
        <v>18</v>
      </c>
      <c r="E860" s="17" t="s">
        <v>19</v>
      </c>
      <c r="F860" s="49">
        <v>1.9E-2</v>
      </c>
      <c r="G860" s="19">
        <f>VLOOKUP(D860,upahbahan,3,FALSE)</f>
        <v>100000</v>
      </c>
      <c r="H860" s="19">
        <f t="shared" ref="H860:H863" si="87">F860*G860</f>
        <v>1900</v>
      </c>
      <c r="J860" s="15"/>
      <c r="K860" s="39"/>
    </row>
    <row r="861" spans="3:11" x14ac:dyDescent="0.3">
      <c r="C861" s="45">
        <v>2</v>
      </c>
      <c r="D861" s="13" t="str">
        <f>D844</f>
        <v>Tukang listrik</v>
      </c>
      <c r="E861" s="17" t="s">
        <v>19</v>
      </c>
      <c r="F861" s="49">
        <v>3.2000000000000001E-2</v>
      </c>
      <c r="G861" s="19">
        <f>VLOOKUP(D861,upahbahan,3,FALSE)</f>
        <v>145000</v>
      </c>
      <c r="H861" s="19">
        <f t="shared" si="87"/>
        <v>4640</v>
      </c>
      <c r="J861" s="15"/>
      <c r="K861" s="39"/>
    </row>
    <row r="862" spans="3:11" x14ac:dyDescent="0.3">
      <c r="C862" s="45">
        <v>3</v>
      </c>
      <c r="D862" s="13" t="s">
        <v>22</v>
      </c>
      <c r="E862" s="17" t="s">
        <v>19</v>
      </c>
      <c r="F862" s="49">
        <v>3.0000000000000001E-3</v>
      </c>
      <c r="G862" s="19">
        <f>VLOOKUP(D862,upahbahan,3,FALSE)</f>
        <v>175000</v>
      </c>
      <c r="H862" s="19">
        <f t="shared" si="87"/>
        <v>525</v>
      </c>
      <c r="J862" s="15"/>
      <c r="K862" s="39"/>
    </row>
    <row r="863" spans="3:11" x14ac:dyDescent="0.3">
      <c r="C863" s="45">
        <v>4</v>
      </c>
      <c r="D863" s="13" t="s">
        <v>23</v>
      </c>
      <c r="E863" s="17" t="s">
        <v>19</v>
      </c>
      <c r="F863" s="49">
        <v>1E-3</v>
      </c>
      <c r="G863" s="19">
        <f>VLOOKUP(D863,upahbahan,3,FALSE)</f>
        <v>200000</v>
      </c>
      <c r="H863" s="19">
        <f t="shared" si="87"/>
        <v>200</v>
      </c>
      <c r="J863" s="15"/>
      <c r="K863" s="39"/>
    </row>
    <row r="864" spans="3:11" x14ac:dyDescent="0.3">
      <c r="C864" s="21" t="s">
        <v>24</v>
      </c>
      <c r="D864" s="22"/>
      <c r="E864" s="22"/>
      <c r="F864" s="54"/>
      <c r="G864" s="24"/>
      <c r="H864" s="19">
        <f>SUM(H860:H863)</f>
        <v>7265</v>
      </c>
      <c r="I864" s="25"/>
      <c r="J864" s="15"/>
      <c r="K864" s="39"/>
    </row>
    <row r="865" spans="3:11" x14ac:dyDescent="0.25">
      <c r="C865" s="17" t="s">
        <v>25</v>
      </c>
      <c r="D865" s="13" t="s">
        <v>26</v>
      </c>
      <c r="E865" s="14"/>
      <c r="F865" s="55"/>
      <c r="G865" s="14"/>
      <c r="H865" s="14"/>
      <c r="J865" s="15"/>
      <c r="K865" s="39"/>
    </row>
    <row r="866" spans="3:11" x14ac:dyDescent="0.3">
      <c r="C866" s="45">
        <v>1</v>
      </c>
      <c r="D866" s="26" t="s">
        <v>190</v>
      </c>
      <c r="E866" s="27" t="s">
        <v>28</v>
      </c>
      <c r="F866" s="18">
        <v>1.1499999999999999</v>
      </c>
      <c r="G866" s="19">
        <f>VLOOKUP(D866,upahbahan,3,FALSE)</f>
        <v>8300</v>
      </c>
      <c r="H866" s="19">
        <f t="shared" ref="H866" si="88">F866*G866</f>
        <v>9545</v>
      </c>
      <c r="J866" s="15"/>
      <c r="K866" s="39"/>
    </row>
    <row r="867" spans="3:11" x14ac:dyDescent="0.3">
      <c r="C867" s="21" t="s">
        <v>29</v>
      </c>
      <c r="D867" s="22"/>
      <c r="E867" s="22"/>
      <c r="F867" s="22"/>
      <c r="G867" s="28"/>
      <c r="H867" s="19">
        <f>SUM(H866:H866)</f>
        <v>9545</v>
      </c>
      <c r="J867" s="15"/>
      <c r="K867" s="39"/>
    </row>
    <row r="868" spans="3:11" x14ac:dyDescent="0.25">
      <c r="C868" s="12" t="s">
        <v>30</v>
      </c>
      <c r="D868" s="13" t="s">
        <v>31</v>
      </c>
      <c r="E868" s="14"/>
      <c r="F868" s="14"/>
      <c r="G868" s="14"/>
      <c r="H868" s="14"/>
      <c r="J868" s="15"/>
      <c r="K868" s="39"/>
    </row>
    <row r="869" spans="3:11" x14ac:dyDescent="0.3">
      <c r="C869" s="21" t="s">
        <v>32</v>
      </c>
      <c r="D869" s="22"/>
      <c r="E869" s="22"/>
      <c r="F869" s="22"/>
      <c r="G869" s="28"/>
      <c r="H869" s="29">
        <v>0</v>
      </c>
      <c r="J869" s="15"/>
      <c r="K869" s="39"/>
    </row>
    <row r="870" spans="3:11" x14ac:dyDescent="0.3">
      <c r="C870" s="30" t="s">
        <v>33</v>
      </c>
      <c r="D870" s="31" t="s">
        <v>34</v>
      </c>
      <c r="E870" s="32"/>
      <c r="F870" s="32"/>
      <c r="G870" s="33"/>
      <c r="H870" s="46">
        <f>H869+H867+H864</f>
        <v>16810</v>
      </c>
      <c r="I870" s="47"/>
      <c r="J870" s="15"/>
      <c r="K870" s="39"/>
    </row>
    <row r="871" spans="3:11" x14ac:dyDescent="0.3">
      <c r="C871" s="30" t="s">
        <v>35</v>
      </c>
      <c r="D871" s="31" t="s">
        <v>36</v>
      </c>
      <c r="E871" s="32"/>
      <c r="F871" s="33"/>
      <c r="G871" s="34">
        <f>$M$9</f>
        <v>0.1</v>
      </c>
      <c r="H871" s="19">
        <f>H870*G871</f>
        <v>1681</v>
      </c>
      <c r="I871" s="47"/>
      <c r="J871" s="15"/>
      <c r="K871" s="39"/>
    </row>
    <row r="872" spans="3:11" x14ac:dyDescent="0.3">
      <c r="C872" s="30" t="s">
        <v>37</v>
      </c>
      <c r="D872" s="31" t="s">
        <v>38</v>
      </c>
      <c r="E872" s="32"/>
      <c r="F872" s="32"/>
      <c r="G872" s="33"/>
      <c r="H872" s="48">
        <f>SUM(H870:H871)</f>
        <v>18491</v>
      </c>
      <c r="I872" s="47"/>
      <c r="J872" s="15"/>
      <c r="K872" s="39"/>
    </row>
    <row r="873" spans="3:11" x14ac:dyDescent="0.3">
      <c r="J873" s="15"/>
      <c r="K873" s="39"/>
    </row>
    <row r="874" spans="3:11" x14ac:dyDescent="0.3">
      <c r="C874" s="40" t="s">
        <v>191</v>
      </c>
      <c r="D874" s="8" t="s">
        <v>192</v>
      </c>
      <c r="E874" s="44"/>
      <c r="F874" s="44"/>
      <c r="G874" s="44"/>
      <c r="H874" s="44"/>
      <c r="I874" s="10">
        <f>ROUNDDOWN(H889,0)</f>
        <v>23424</v>
      </c>
      <c r="J874" s="15"/>
      <c r="K874" s="39"/>
    </row>
    <row r="875" spans="3:11" ht="27.6" x14ac:dyDescent="0.3">
      <c r="C875" s="11" t="s">
        <v>9</v>
      </c>
      <c r="D875" s="11" t="s">
        <v>10</v>
      </c>
      <c r="E875" s="11" t="s">
        <v>11</v>
      </c>
      <c r="F875" s="11" t="s">
        <v>12</v>
      </c>
      <c r="G875" s="11" t="s">
        <v>13</v>
      </c>
      <c r="H875" s="11" t="s">
        <v>14</v>
      </c>
      <c r="J875" s="15"/>
      <c r="K875" s="39"/>
    </row>
    <row r="876" spans="3:11" x14ac:dyDescent="0.25">
      <c r="C876" s="17" t="s">
        <v>15</v>
      </c>
      <c r="D876" s="13" t="s">
        <v>16</v>
      </c>
      <c r="E876" s="14"/>
      <c r="F876" s="14"/>
      <c r="G876" s="14"/>
      <c r="H876" s="14"/>
      <c r="J876" s="15"/>
      <c r="K876" s="39"/>
    </row>
    <row r="877" spans="3:11" x14ac:dyDescent="0.3">
      <c r="C877" s="45">
        <v>1</v>
      </c>
      <c r="D877" s="13" t="s">
        <v>18</v>
      </c>
      <c r="E877" s="17" t="s">
        <v>19</v>
      </c>
      <c r="F877" s="49">
        <v>1.9E-2</v>
      </c>
      <c r="G877" s="19">
        <f>VLOOKUP(D877,upahbahan,3,FALSE)</f>
        <v>100000</v>
      </c>
      <c r="H877" s="19">
        <f>F877*G877</f>
        <v>1900</v>
      </c>
      <c r="J877" s="15"/>
      <c r="K877" s="39"/>
    </row>
    <row r="878" spans="3:11" x14ac:dyDescent="0.3">
      <c r="C878" s="45">
        <v>2</v>
      </c>
      <c r="D878" s="13" t="str">
        <f>D861</f>
        <v>Tukang listrik</v>
      </c>
      <c r="E878" s="17" t="s">
        <v>19</v>
      </c>
      <c r="F878" s="49">
        <v>3.2000000000000001E-2</v>
      </c>
      <c r="G878" s="19">
        <f>VLOOKUP(D878,upahbahan,3,FALSE)</f>
        <v>145000</v>
      </c>
      <c r="H878" s="19">
        <f t="shared" ref="H878:H880" si="89">F878*G878</f>
        <v>4640</v>
      </c>
      <c r="J878" s="15"/>
      <c r="K878" s="39"/>
    </row>
    <row r="879" spans="3:11" x14ac:dyDescent="0.3">
      <c r="C879" s="45">
        <v>3</v>
      </c>
      <c r="D879" s="13" t="s">
        <v>22</v>
      </c>
      <c r="E879" s="17" t="s">
        <v>19</v>
      </c>
      <c r="F879" s="49">
        <v>3.0000000000000001E-3</v>
      </c>
      <c r="G879" s="19">
        <f>VLOOKUP(D879,upahbahan,3,FALSE)</f>
        <v>175000</v>
      </c>
      <c r="H879" s="19">
        <f t="shared" si="89"/>
        <v>525</v>
      </c>
      <c r="J879" s="15"/>
      <c r="K879" s="39"/>
    </row>
    <row r="880" spans="3:11" x14ac:dyDescent="0.3">
      <c r="C880" s="45">
        <v>4</v>
      </c>
      <c r="D880" s="13" t="s">
        <v>23</v>
      </c>
      <c r="E880" s="17" t="s">
        <v>19</v>
      </c>
      <c r="F880" s="49">
        <v>1E-3</v>
      </c>
      <c r="G880" s="19">
        <f>VLOOKUP(D880,upahbahan,3,FALSE)</f>
        <v>200000</v>
      </c>
      <c r="H880" s="19">
        <f t="shared" si="89"/>
        <v>200</v>
      </c>
      <c r="J880" s="15"/>
      <c r="K880" s="39"/>
    </row>
    <row r="881" spans="3:11" x14ac:dyDescent="0.3">
      <c r="C881" s="21" t="s">
        <v>24</v>
      </c>
      <c r="D881" s="22"/>
      <c r="E881" s="22"/>
      <c r="F881" s="54"/>
      <c r="G881" s="24"/>
      <c r="H881" s="19">
        <f>SUM(H877:H880)</f>
        <v>7265</v>
      </c>
      <c r="I881" s="25"/>
      <c r="J881" s="15"/>
      <c r="K881" s="39"/>
    </row>
    <row r="882" spans="3:11" x14ac:dyDescent="0.25">
      <c r="C882" s="17" t="s">
        <v>25</v>
      </c>
      <c r="D882" s="13" t="s">
        <v>26</v>
      </c>
      <c r="E882" s="14"/>
      <c r="F882" s="55"/>
      <c r="G882" s="14"/>
      <c r="H882" s="14"/>
      <c r="J882" s="15"/>
      <c r="K882" s="39"/>
    </row>
    <row r="883" spans="3:11" x14ac:dyDescent="0.3">
      <c r="C883" s="45">
        <v>1</v>
      </c>
      <c r="D883" s="26" t="s">
        <v>193</v>
      </c>
      <c r="E883" s="27" t="s">
        <v>28</v>
      </c>
      <c r="F883" s="18">
        <v>1.1499999999999999</v>
      </c>
      <c r="G883" s="19">
        <f>VLOOKUP(D883,upahbahan,3,FALSE)</f>
        <v>12200</v>
      </c>
      <c r="H883" s="19">
        <f>F883*G883</f>
        <v>14029.999999999998</v>
      </c>
      <c r="J883" s="15"/>
      <c r="K883" s="39"/>
    </row>
    <row r="884" spans="3:11" x14ac:dyDescent="0.3">
      <c r="C884" s="21" t="s">
        <v>29</v>
      </c>
      <c r="D884" s="22"/>
      <c r="E884" s="22"/>
      <c r="F884" s="22"/>
      <c r="G884" s="28"/>
      <c r="H884" s="19">
        <f>SUM(H883:H883)</f>
        <v>14029.999999999998</v>
      </c>
      <c r="J884" s="15"/>
      <c r="K884" s="39"/>
    </row>
    <row r="885" spans="3:11" x14ac:dyDescent="0.25">
      <c r="C885" s="12" t="s">
        <v>30</v>
      </c>
      <c r="D885" s="13" t="s">
        <v>31</v>
      </c>
      <c r="E885" s="14"/>
      <c r="F885" s="14"/>
      <c r="G885" s="14"/>
      <c r="H885" s="14"/>
      <c r="J885" s="15"/>
      <c r="K885" s="39"/>
    </row>
    <row r="886" spans="3:11" x14ac:dyDescent="0.3">
      <c r="C886" s="21" t="s">
        <v>32</v>
      </c>
      <c r="D886" s="22"/>
      <c r="E886" s="22"/>
      <c r="F886" s="22"/>
      <c r="G886" s="28"/>
      <c r="H886" s="29">
        <v>0</v>
      </c>
      <c r="J886" s="15"/>
      <c r="K886" s="39"/>
    </row>
    <row r="887" spans="3:11" x14ac:dyDescent="0.3">
      <c r="C887" s="30" t="s">
        <v>33</v>
      </c>
      <c r="D887" s="31" t="s">
        <v>34</v>
      </c>
      <c r="E887" s="32"/>
      <c r="F887" s="32"/>
      <c r="G887" s="33"/>
      <c r="H887" s="46">
        <f>H886+H884+H881</f>
        <v>21295</v>
      </c>
      <c r="I887" s="47"/>
      <c r="J887" s="15"/>
      <c r="K887" s="39"/>
    </row>
    <row r="888" spans="3:11" x14ac:dyDescent="0.3">
      <c r="C888" s="30" t="s">
        <v>35</v>
      </c>
      <c r="D888" s="31" t="s">
        <v>36</v>
      </c>
      <c r="E888" s="32"/>
      <c r="F888" s="33"/>
      <c r="G888" s="34">
        <f>$M$9</f>
        <v>0.1</v>
      </c>
      <c r="H888" s="19">
        <f>H887*G888</f>
        <v>2129.5</v>
      </c>
      <c r="I888" s="47"/>
      <c r="J888" s="15"/>
      <c r="K888" s="39"/>
    </row>
    <row r="889" spans="3:11" x14ac:dyDescent="0.3">
      <c r="C889" s="30" t="s">
        <v>37</v>
      </c>
      <c r="D889" s="31" t="s">
        <v>38</v>
      </c>
      <c r="E889" s="32"/>
      <c r="F889" s="32"/>
      <c r="G889" s="33"/>
      <c r="H889" s="48">
        <f>SUM(H887:H888)</f>
        <v>23424.5</v>
      </c>
      <c r="I889" s="47"/>
      <c r="J889" s="15"/>
      <c r="K889" s="39"/>
    </row>
    <row r="890" spans="3:11" x14ac:dyDescent="0.3">
      <c r="J890" s="15"/>
      <c r="K890" s="39"/>
    </row>
    <row r="891" spans="3:11" x14ac:dyDescent="0.3">
      <c r="C891" s="40" t="s">
        <v>194</v>
      </c>
      <c r="D891" s="8" t="s">
        <v>195</v>
      </c>
      <c r="E891" s="44"/>
      <c r="F891" s="44"/>
      <c r="G891" s="44"/>
      <c r="H891" s="44"/>
      <c r="I891" s="10">
        <f>ROUNDDOWN(H906,0)</f>
        <v>35310</v>
      </c>
      <c r="J891" s="15"/>
      <c r="K891" s="39"/>
    </row>
    <row r="892" spans="3:11" ht="27.6" x14ac:dyDescent="0.3">
      <c r="C892" s="11" t="s">
        <v>9</v>
      </c>
      <c r="D892" s="11" t="s">
        <v>10</v>
      </c>
      <c r="E892" s="11" t="s">
        <v>11</v>
      </c>
      <c r="F892" s="11" t="s">
        <v>12</v>
      </c>
      <c r="G892" s="11" t="s">
        <v>13</v>
      </c>
      <c r="H892" s="11" t="s">
        <v>14</v>
      </c>
      <c r="J892" s="15"/>
      <c r="K892" s="39"/>
    </row>
    <row r="893" spans="3:11" x14ac:dyDescent="0.25">
      <c r="C893" s="17" t="s">
        <v>15</v>
      </c>
      <c r="D893" s="13" t="s">
        <v>16</v>
      </c>
      <c r="E893" s="14"/>
      <c r="F893" s="14"/>
      <c r="G893" s="14"/>
      <c r="H893" s="14"/>
      <c r="J893" s="15"/>
      <c r="K893" s="39"/>
    </row>
    <row r="894" spans="3:11" x14ac:dyDescent="0.3">
      <c r="C894" s="45">
        <v>1</v>
      </c>
      <c r="D894" s="13" t="s">
        <v>18</v>
      </c>
      <c r="E894" s="17" t="s">
        <v>19</v>
      </c>
      <c r="F894" s="18">
        <v>2.4E-2</v>
      </c>
      <c r="G894" s="19">
        <f>VLOOKUP(D894,upahbahan,3,FALSE)</f>
        <v>100000</v>
      </c>
      <c r="H894" s="19">
        <f t="shared" ref="H894:H897" si="90">F894*G894</f>
        <v>2400</v>
      </c>
      <c r="J894" s="15"/>
      <c r="K894" s="39"/>
    </row>
    <row r="895" spans="3:11" x14ac:dyDescent="0.3">
      <c r="C895" s="45">
        <v>2</v>
      </c>
      <c r="D895" s="13" t="str">
        <f>D878</f>
        <v>Tukang listrik</v>
      </c>
      <c r="E895" s="17" t="s">
        <v>19</v>
      </c>
      <c r="F895" s="18">
        <v>0.04</v>
      </c>
      <c r="G895" s="19">
        <f>VLOOKUP(D895,upahbahan,3,FALSE)</f>
        <v>145000</v>
      </c>
      <c r="H895" s="19">
        <f t="shared" si="90"/>
        <v>5800</v>
      </c>
      <c r="J895" s="15"/>
      <c r="K895" s="39"/>
    </row>
    <row r="896" spans="3:11" x14ac:dyDescent="0.3">
      <c r="C896" s="45">
        <v>3</v>
      </c>
      <c r="D896" s="13" t="s">
        <v>22</v>
      </c>
      <c r="E896" s="17" t="s">
        <v>19</v>
      </c>
      <c r="F896" s="18">
        <v>4.0000000000000001E-3</v>
      </c>
      <c r="G896" s="19">
        <f>VLOOKUP(D896,upahbahan,3,FALSE)</f>
        <v>175000</v>
      </c>
      <c r="H896" s="19">
        <f t="shared" si="90"/>
        <v>700</v>
      </c>
      <c r="J896" s="15"/>
      <c r="K896" s="39"/>
    </row>
    <row r="897" spans="3:11" x14ac:dyDescent="0.3">
      <c r="C897" s="45">
        <v>4</v>
      </c>
      <c r="D897" s="13" t="s">
        <v>23</v>
      </c>
      <c r="E897" s="17" t="s">
        <v>19</v>
      </c>
      <c r="F897" s="18">
        <v>1E-3</v>
      </c>
      <c r="G897" s="19">
        <f>VLOOKUP(D897,upahbahan,3,FALSE)</f>
        <v>200000</v>
      </c>
      <c r="H897" s="19">
        <f t="shared" si="90"/>
        <v>200</v>
      </c>
      <c r="J897" s="15"/>
      <c r="K897" s="39"/>
    </row>
    <row r="898" spans="3:11" x14ac:dyDescent="0.3">
      <c r="C898" s="21" t="s">
        <v>24</v>
      </c>
      <c r="D898" s="22"/>
      <c r="E898" s="22"/>
      <c r="F898" s="54"/>
      <c r="G898" s="24"/>
      <c r="H898" s="19">
        <f>SUM(H894:H897)</f>
        <v>9100</v>
      </c>
      <c r="I898" s="25"/>
      <c r="J898" s="15"/>
      <c r="K898" s="39"/>
    </row>
    <row r="899" spans="3:11" x14ac:dyDescent="0.25">
      <c r="C899" s="17" t="s">
        <v>25</v>
      </c>
      <c r="D899" s="13" t="s">
        <v>26</v>
      </c>
      <c r="E899" s="14"/>
      <c r="F899" s="55"/>
      <c r="G899" s="14"/>
      <c r="H899" s="14"/>
      <c r="J899" s="15"/>
      <c r="K899" s="39"/>
    </row>
    <row r="900" spans="3:11" x14ac:dyDescent="0.3">
      <c r="C900" s="45">
        <v>1</v>
      </c>
      <c r="D900" s="26" t="s">
        <v>196</v>
      </c>
      <c r="E900" s="27" t="s">
        <v>28</v>
      </c>
      <c r="F900" s="18">
        <v>1.1499999999999999</v>
      </c>
      <c r="G900" s="19">
        <f>VLOOKUP(D900,upahbahan,3,FALSE)</f>
        <v>20000</v>
      </c>
      <c r="H900" s="19">
        <f t="shared" ref="H900" si="91">F900*G900</f>
        <v>23000</v>
      </c>
      <c r="J900" s="15"/>
      <c r="K900" s="39"/>
    </row>
    <row r="901" spans="3:11" x14ac:dyDescent="0.3">
      <c r="C901" s="21" t="s">
        <v>29</v>
      </c>
      <c r="D901" s="22"/>
      <c r="E901" s="22"/>
      <c r="F901" s="22"/>
      <c r="G901" s="28"/>
      <c r="H901" s="19">
        <f>SUM(H900:H900)</f>
        <v>23000</v>
      </c>
      <c r="J901" s="15"/>
      <c r="K901" s="39"/>
    </row>
    <row r="902" spans="3:11" x14ac:dyDescent="0.25">
      <c r="C902" s="12" t="s">
        <v>30</v>
      </c>
      <c r="D902" s="13" t="s">
        <v>31</v>
      </c>
      <c r="E902" s="14"/>
      <c r="F902" s="14"/>
      <c r="G902" s="14"/>
      <c r="H902" s="14"/>
      <c r="J902" s="15"/>
      <c r="K902" s="39"/>
    </row>
    <row r="903" spans="3:11" x14ac:dyDescent="0.3">
      <c r="C903" s="21" t="s">
        <v>32</v>
      </c>
      <c r="D903" s="22"/>
      <c r="E903" s="22"/>
      <c r="F903" s="22"/>
      <c r="G903" s="28"/>
      <c r="H903" s="29">
        <v>0</v>
      </c>
      <c r="J903" s="15"/>
      <c r="K903" s="39"/>
    </row>
    <row r="904" spans="3:11" x14ac:dyDescent="0.3">
      <c r="C904" s="30" t="s">
        <v>33</v>
      </c>
      <c r="D904" s="31" t="s">
        <v>34</v>
      </c>
      <c r="E904" s="32"/>
      <c r="F904" s="32"/>
      <c r="G904" s="33"/>
      <c r="H904" s="46">
        <f>H903+H901+H898</f>
        <v>32100</v>
      </c>
      <c r="I904" s="47"/>
      <c r="J904" s="15"/>
      <c r="K904" s="39"/>
    </row>
    <row r="905" spans="3:11" x14ac:dyDescent="0.3">
      <c r="C905" s="30" t="s">
        <v>35</v>
      </c>
      <c r="D905" s="31" t="s">
        <v>36</v>
      </c>
      <c r="E905" s="32"/>
      <c r="F905" s="33"/>
      <c r="G905" s="34">
        <f>$M$9</f>
        <v>0.1</v>
      </c>
      <c r="H905" s="19">
        <f>H904*G905</f>
        <v>3210</v>
      </c>
      <c r="I905" s="47"/>
      <c r="J905" s="15"/>
      <c r="K905" s="39"/>
    </row>
    <row r="906" spans="3:11" x14ac:dyDescent="0.3">
      <c r="C906" s="30" t="s">
        <v>37</v>
      </c>
      <c r="D906" s="31" t="s">
        <v>38</v>
      </c>
      <c r="E906" s="32"/>
      <c r="F906" s="32"/>
      <c r="G906" s="33"/>
      <c r="H906" s="48">
        <f>SUM(H904:H905)</f>
        <v>35310</v>
      </c>
      <c r="I906" s="47"/>
      <c r="J906" s="15"/>
      <c r="K906" s="39"/>
    </row>
    <row r="907" spans="3:11" x14ac:dyDescent="0.3">
      <c r="J907" s="15"/>
      <c r="K907" s="39"/>
    </row>
    <row r="908" spans="3:11" x14ac:dyDescent="0.3">
      <c r="C908" s="40" t="s">
        <v>197</v>
      </c>
      <c r="D908" s="8" t="s">
        <v>198</v>
      </c>
      <c r="E908" s="44"/>
      <c r="F908" s="44"/>
      <c r="G908" s="44"/>
      <c r="H908" s="44"/>
      <c r="I908" s="10">
        <f>ROUNDDOWN(H923,0)</f>
        <v>51755</v>
      </c>
      <c r="J908" s="15"/>
      <c r="K908" s="39"/>
    </row>
    <row r="909" spans="3:11" ht="27.6" x14ac:dyDescent="0.3">
      <c r="C909" s="11" t="s">
        <v>9</v>
      </c>
      <c r="D909" s="11" t="s">
        <v>10</v>
      </c>
      <c r="E909" s="11" t="s">
        <v>11</v>
      </c>
      <c r="F909" s="11" t="s">
        <v>12</v>
      </c>
      <c r="G909" s="11" t="s">
        <v>13</v>
      </c>
      <c r="H909" s="11" t="s">
        <v>14</v>
      </c>
      <c r="J909" s="15"/>
      <c r="K909" s="39"/>
    </row>
    <row r="910" spans="3:11" x14ac:dyDescent="0.25">
      <c r="C910" s="17" t="s">
        <v>15</v>
      </c>
      <c r="D910" s="13" t="s">
        <v>16</v>
      </c>
      <c r="E910" s="14"/>
      <c r="F910" s="14"/>
      <c r="G910" s="14"/>
      <c r="H910" s="14"/>
      <c r="J910" s="15"/>
      <c r="K910" s="39"/>
    </row>
    <row r="911" spans="3:11" x14ac:dyDescent="0.3">
      <c r="C911" s="45">
        <v>1</v>
      </c>
      <c r="D911" s="13" t="s">
        <v>18</v>
      </c>
      <c r="E911" s="17" t="s">
        <v>19</v>
      </c>
      <c r="F911" s="18">
        <v>2.4E-2</v>
      </c>
      <c r="G911" s="19">
        <f>VLOOKUP(D911,upahbahan,3,FALSE)</f>
        <v>100000</v>
      </c>
      <c r="H911" s="19">
        <f t="shared" ref="H911:H914" si="92">F911*G911</f>
        <v>2400</v>
      </c>
      <c r="J911" s="15"/>
      <c r="K911" s="39"/>
    </row>
    <row r="912" spans="3:11" x14ac:dyDescent="0.3">
      <c r="C912" s="45">
        <v>2</v>
      </c>
      <c r="D912" s="13" t="str">
        <f>D895</f>
        <v>Tukang listrik</v>
      </c>
      <c r="E912" s="17" t="s">
        <v>19</v>
      </c>
      <c r="F912" s="18">
        <v>0.04</v>
      </c>
      <c r="G912" s="19">
        <f>VLOOKUP(D912,upahbahan,3,FALSE)</f>
        <v>145000</v>
      </c>
      <c r="H912" s="19">
        <f t="shared" si="92"/>
        <v>5800</v>
      </c>
      <c r="J912" s="15"/>
      <c r="K912" s="39"/>
    </row>
    <row r="913" spans="3:11" x14ac:dyDescent="0.3">
      <c r="C913" s="45">
        <v>3</v>
      </c>
      <c r="D913" s="13" t="s">
        <v>22</v>
      </c>
      <c r="E913" s="17" t="s">
        <v>19</v>
      </c>
      <c r="F913" s="18">
        <v>4.0000000000000001E-3</v>
      </c>
      <c r="G913" s="19">
        <f>VLOOKUP(D913,upahbahan,3,FALSE)</f>
        <v>175000</v>
      </c>
      <c r="H913" s="19">
        <f t="shared" si="92"/>
        <v>700</v>
      </c>
      <c r="J913" s="15"/>
      <c r="K913" s="39"/>
    </row>
    <row r="914" spans="3:11" x14ac:dyDescent="0.3">
      <c r="C914" s="45">
        <v>4</v>
      </c>
      <c r="D914" s="13" t="s">
        <v>23</v>
      </c>
      <c r="E914" s="17" t="s">
        <v>19</v>
      </c>
      <c r="F914" s="18">
        <v>1E-3</v>
      </c>
      <c r="G914" s="19">
        <f>VLOOKUP(D914,upahbahan,3,FALSE)</f>
        <v>200000</v>
      </c>
      <c r="H914" s="19">
        <f t="shared" si="92"/>
        <v>200</v>
      </c>
      <c r="J914" s="15"/>
      <c r="K914" s="39"/>
    </row>
    <row r="915" spans="3:11" x14ac:dyDescent="0.3">
      <c r="C915" s="21" t="s">
        <v>24</v>
      </c>
      <c r="D915" s="22"/>
      <c r="E915" s="22"/>
      <c r="F915" s="54"/>
      <c r="G915" s="24"/>
      <c r="H915" s="19">
        <f>SUM(H911:H914)</f>
        <v>9100</v>
      </c>
      <c r="I915" s="25"/>
      <c r="J915" s="15"/>
      <c r="K915" s="39"/>
    </row>
    <row r="916" spans="3:11" x14ac:dyDescent="0.25">
      <c r="C916" s="17" t="s">
        <v>25</v>
      </c>
      <c r="D916" s="13" t="s">
        <v>26</v>
      </c>
      <c r="E916" s="14"/>
      <c r="F916" s="55"/>
      <c r="G916" s="14"/>
      <c r="H916" s="14"/>
      <c r="J916" s="15"/>
      <c r="K916" s="39"/>
    </row>
    <row r="917" spans="3:11" x14ac:dyDescent="0.3">
      <c r="C917" s="45">
        <v>1</v>
      </c>
      <c r="D917" s="26" t="s">
        <v>199</v>
      </c>
      <c r="E917" s="27" t="s">
        <v>28</v>
      </c>
      <c r="F917" s="18">
        <v>1.1499999999999999</v>
      </c>
      <c r="G917" s="19">
        <f>VLOOKUP(D917,upahbahan,3,FALSE)</f>
        <v>33000</v>
      </c>
      <c r="H917" s="19">
        <f t="shared" ref="H917" si="93">F917*G917</f>
        <v>37950</v>
      </c>
      <c r="J917" s="15"/>
      <c r="K917" s="39"/>
    </row>
    <row r="918" spans="3:11" x14ac:dyDescent="0.3">
      <c r="C918" s="21" t="s">
        <v>29</v>
      </c>
      <c r="D918" s="22"/>
      <c r="E918" s="22"/>
      <c r="F918" s="22"/>
      <c r="G918" s="28"/>
      <c r="H918" s="19">
        <f>SUM(H917:H917)</f>
        <v>37950</v>
      </c>
      <c r="J918" s="15"/>
      <c r="K918" s="39"/>
    </row>
    <row r="919" spans="3:11" x14ac:dyDescent="0.25">
      <c r="C919" s="12" t="s">
        <v>30</v>
      </c>
      <c r="D919" s="13" t="s">
        <v>31</v>
      </c>
      <c r="E919" s="14"/>
      <c r="F919" s="14"/>
      <c r="G919" s="14"/>
      <c r="H919" s="14"/>
      <c r="J919" s="15"/>
      <c r="K919" s="39"/>
    </row>
    <row r="920" spans="3:11" x14ac:dyDescent="0.3">
      <c r="C920" s="21" t="s">
        <v>32</v>
      </c>
      <c r="D920" s="22"/>
      <c r="E920" s="22"/>
      <c r="F920" s="22"/>
      <c r="G920" s="28"/>
      <c r="H920" s="29">
        <v>0</v>
      </c>
      <c r="J920" s="15"/>
      <c r="K920" s="39"/>
    </row>
    <row r="921" spans="3:11" x14ac:dyDescent="0.3">
      <c r="C921" s="30" t="s">
        <v>33</v>
      </c>
      <c r="D921" s="31" t="s">
        <v>34</v>
      </c>
      <c r="E921" s="32"/>
      <c r="F921" s="32"/>
      <c r="G921" s="33"/>
      <c r="H921" s="46">
        <f>H920+H918+H915</f>
        <v>47050</v>
      </c>
      <c r="I921" s="47"/>
      <c r="J921" s="15"/>
      <c r="K921" s="39"/>
    </row>
    <row r="922" spans="3:11" x14ac:dyDescent="0.3">
      <c r="C922" s="30" t="s">
        <v>35</v>
      </c>
      <c r="D922" s="31" t="s">
        <v>36</v>
      </c>
      <c r="E922" s="32"/>
      <c r="F922" s="33"/>
      <c r="G922" s="34">
        <f>$M$9</f>
        <v>0.1</v>
      </c>
      <c r="H922" s="19">
        <f>H921*G922</f>
        <v>4705</v>
      </c>
      <c r="I922" s="47"/>
      <c r="J922" s="15"/>
      <c r="K922" s="39"/>
    </row>
    <row r="923" spans="3:11" x14ac:dyDescent="0.3">
      <c r="C923" s="30" t="s">
        <v>37</v>
      </c>
      <c r="D923" s="31" t="s">
        <v>38</v>
      </c>
      <c r="E923" s="32"/>
      <c r="F923" s="32"/>
      <c r="G923" s="33"/>
      <c r="H923" s="48">
        <f>SUM(H921:H922)</f>
        <v>51755</v>
      </c>
      <c r="I923" s="47"/>
      <c r="J923" s="15"/>
      <c r="K923" s="39"/>
    </row>
    <row r="924" spans="3:11" x14ac:dyDescent="0.3">
      <c r="J924" s="15"/>
      <c r="K924" s="39"/>
    </row>
    <row r="925" spans="3:11" x14ac:dyDescent="0.3">
      <c r="C925" s="56" t="s">
        <v>200</v>
      </c>
      <c r="D925" s="57" t="s">
        <v>201</v>
      </c>
      <c r="E925" s="58"/>
      <c r="F925" s="58"/>
      <c r="G925" s="58"/>
      <c r="H925" s="58"/>
      <c r="I925" s="10">
        <f>ROUNDDOWN(H941,0)</f>
        <v>26834</v>
      </c>
      <c r="J925" s="15"/>
      <c r="K925" s="39"/>
    </row>
    <row r="926" spans="3:11" ht="27.6" x14ac:dyDescent="0.3">
      <c r="C926" s="11" t="s">
        <v>9</v>
      </c>
      <c r="D926" s="11" t="s">
        <v>10</v>
      </c>
      <c r="E926" s="11" t="s">
        <v>11</v>
      </c>
      <c r="F926" s="11" t="s">
        <v>12</v>
      </c>
      <c r="G926" s="11" t="s">
        <v>13</v>
      </c>
      <c r="H926" s="11" t="s">
        <v>14</v>
      </c>
      <c r="J926" s="15"/>
      <c r="K926" s="39"/>
    </row>
    <row r="927" spans="3:11" x14ac:dyDescent="0.25">
      <c r="C927" s="12" t="s">
        <v>15</v>
      </c>
      <c r="D927" s="13" t="s">
        <v>16</v>
      </c>
      <c r="E927" s="14"/>
      <c r="F927" s="14"/>
      <c r="G927" s="14"/>
      <c r="H927" s="14"/>
      <c r="J927" s="15"/>
      <c r="K927" s="39"/>
    </row>
    <row r="928" spans="3:11" x14ac:dyDescent="0.3">
      <c r="C928" s="16">
        <v>1</v>
      </c>
      <c r="D928" s="13" t="s">
        <v>18</v>
      </c>
      <c r="E928" s="17" t="s">
        <v>19</v>
      </c>
      <c r="F928" s="18">
        <v>2.4E-2</v>
      </c>
      <c r="G928" s="19">
        <f>VLOOKUP(D928,upahbahan,3,FALSE)</f>
        <v>100000</v>
      </c>
      <c r="H928" s="19">
        <f t="shared" ref="H928:H931" si="94">F928*G928</f>
        <v>2400</v>
      </c>
      <c r="J928" s="15"/>
      <c r="K928" s="39"/>
    </row>
    <row r="929" spans="3:11" x14ac:dyDescent="0.3">
      <c r="C929" s="16">
        <v>2</v>
      </c>
      <c r="D929" s="13" t="str">
        <f>D912</f>
        <v>Tukang listrik</v>
      </c>
      <c r="E929" s="17" t="s">
        <v>19</v>
      </c>
      <c r="F929" s="18">
        <v>0.04</v>
      </c>
      <c r="G929" s="19">
        <f>VLOOKUP(D929,upahbahan,3,FALSE)</f>
        <v>145000</v>
      </c>
      <c r="H929" s="19">
        <f t="shared" si="94"/>
        <v>5800</v>
      </c>
      <c r="J929" s="15"/>
      <c r="K929" s="39"/>
    </row>
    <row r="930" spans="3:11" x14ac:dyDescent="0.3">
      <c r="C930" s="16">
        <v>3</v>
      </c>
      <c r="D930" s="13" t="s">
        <v>22</v>
      </c>
      <c r="E930" s="17" t="s">
        <v>19</v>
      </c>
      <c r="F930" s="18">
        <v>4.0000000000000001E-3</v>
      </c>
      <c r="G930" s="19">
        <f>VLOOKUP(D930,upahbahan,3,FALSE)</f>
        <v>175000</v>
      </c>
      <c r="H930" s="19">
        <f t="shared" si="94"/>
        <v>700</v>
      </c>
      <c r="J930" s="15"/>
      <c r="K930" s="39"/>
    </row>
    <row r="931" spans="3:11" x14ac:dyDescent="0.3">
      <c r="C931" s="16">
        <v>4</v>
      </c>
      <c r="D931" s="13" t="s">
        <v>23</v>
      </c>
      <c r="E931" s="17" t="s">
        <v>19</v>
      </c>
      <c r="F931" s="18">
        <v>1E-3</v>
      </c>
      <c r="G931" s="19">
        <f>VLOOKUP(D931,upahbahan,3,FALSE)</f>
        <v>200000</v>
      </c>
      <c r="H931" s="19">
        <f t="shared" si="94"/>
        <v>200</v>
      </c>
      <c r="J931" s="15"/>
      <c r="K931" s="39"/>
    </row>
    <row r="932" spans="3:11" x14ac:dyDescent="0.3">
      <c r="C932" s="21" t="s">
        <v>24</v>
      </c>
      <c r="D932" s="22"/>
      <c r="E932" s="22"/>
      <c r="F932" s="54"/>
      <c r="G932" s="24"/>
      <c r="H932" s="19">
        <f>SUM(H928:H931)</f>
        <v>9100</v>
      </c>
      <c r="I932" s="25"/>
      <c r="J932" s="15"/>
      <c r="K932" s="39"/>
    </row>
    <row r="933" spans="3:11" x14ac:dyDescent="0.25">
      <c r="C933" s="12" t="s">
        <v>25</v>
      </c>
      <c r="D933" s="13" t="s">
        <v>26</v>
      </c>
      <c r="E933" s="14"/>
      <c r="F933" s="55"/>
      <c r="G933" s="14"/>
      <c r="H933" s="14"/>
      <c r="J933" s="15"/>
      <c r="K933" s="39"/>
    </row>
    <row r="934" spans="3:11" x14ac:dyDescent="0.3">
      <c r="C934" s="63" t="s">
        <v>202</v>
      </c>
      <c r="D934" s="26" t="s">
        <v>203</v>
      </c>
      <c r="E934" s="27" t="s">
        <v>28</v>
      </c>
      <c r="F934" s="18">
        <v>1.1499999999999999</v>
      </c>
      <c r="G934" s="19">
        <f>VLOOKUP(D934,upahbahan,3,FALSE)</f>
        <v>9200</v>
      </c>
      <c r="H934" s="19">
        <f t="shared" ref="H934:H935" si="95">F934*G934</f>
        <v>10580</v>
      </c>
      <c r="J934" s="15"/>
      <c r="K934" s="39"/>
    </row>
    <row r="935" spans="3:11" x14ac:dyDescent="0.3">
      <c r="C935" s="63" t="s">
        <v>204</v>
      </c>
      <c r="D935" s="26" t="s">
        <v>205</v>
      </c>
      <c r="E935" s="27" t="s">
        <v>28</v>
      </c>
      <c r="F935" s="18">
        <v>1.1499999999999999</v>
      </c>
      <c r="G935" s="19">
        <f>VLOOKUP(D935,upahbahan,3,FALSE)</f>
        <v>4100</v>
      </c>
      <c r="H935" s="19">
        <f t="shared" si="95"/>
        <v>4715</v>
      </c>
      <c r="J935" s="15"/>
      <c r="K935" s="39"/>
    </row>
    <row r="936" spans="3:11" x14ac:dyDescent="0.3">
      <c r="C936" s="21" t="s">
        <v>29</v>
      </c>
      <c r="D936" s="22"/>
      <c r="E936" s="22"/>
      <c r="F936" s="22"/>
      <c r="G936" s="28"/>
      <c r="H936" s="19">
        <f>SUM(H934:H935)</f>
        <v>15295</v>
      </c>
      <c r="J936" s="15"/>
      <c r="K936" s="39"/>
    </row>
    <row r="937" spans="3:11" x14ac:dyDescent="0.25">
      <c r="C937" s="12" t="s">
        <v>30</v>
      </c>
      <c r="D937" s="13" t="s">
        <v>31</v>
      </c>
      <c r="E937" s="14"/>
      <c r="F937" s="14"/>
      <c r="G937" s="14"/>
      <c r="H937" s="14"/>
      <c r="J937" s="15"/>
      <c r="K937" s="39"/>
    </row>
    <row r="938" spans="3:11" x14ac:dyDescent="0.3">
      <c r="C938" s="21" t="s">
        <v>32</v>
      </c>
      <c r="D938" s="22"/>
      <c r="E938" s="22"/>
      <c r="F938" s="22"/>
      <c r="G938" s="28"/>
      <c r="H938" s="29">
        <v>0</v>
      </c>
      <c r="J938" s="15"/>
      <c r="K938" s="39"/>
    </row>
    <row r="939" spans="3:11" x14ac:dyDescent="0.3">
      <c r="C939" s="30" t="s">
        <v>33</v>
      </c>
      <c r="D939" s="31" t="s">
        <v>34</v>
      </c>
      <c r="E939" s="32"/>
      <c r="F939" s="32"/>
      <c r="G939" s="33"/>
      <c r="H939" s="46">
        <f>H938+H936+H932</f>
        <v>24395</v>
      </c>
      <c r="I939" s="47"/>
      <c r="J939" s="15"/>
      <c r="K939" s="39"/>
    </row>
    <row r="940" spans="3:11" x14ac:dyDescent="0.3">
      <c r="C940" s="30" t="s">
        <v>35</v>
      </c>
      <c r="D940" s="31" t="s">
        <v>36</v>
      </c>
      <c r="E940" s="32"/>
      <c r="F940" s="33"/>
      <c r="G940" s="34">
        <f>$M$9</f>
        <v>0.1</v>
      </c>
      <c r="H940" s="19">
        <f>H939*G940</f>
        <v>2439.5</v>
      </c>
      <c r="I940" s="47"/>
      <c r="J940" s="15"/>
      <c r="K940" s="39"/>
    </row>
    <row r="941" spans="3:11" x14ac:dyDescent="0.3">
      <c r="C941" s="30" t="s">
        <v>37</v>
      </c>
      <c r="D941" s="31" t="s">
        <v>38</v>
      </c>
      <c r="E941" s="32"/>
      <c r="F941" s="32"/>
      <c r="G941" s="33"/>
      <c r="H941" s="48">
        <f>SUM(H939:H940)</f>
        <v>26834.5</v>
      </c>
      <c r="I941" s="47"/>
      <c r="J941" s="15"/>
      <c r="K941" s="39"/>
    </row>
    <row r="942" spans="3:11" x14ac:dyDescent="0.3">
      <c r="J942" s="15"/>
      <c r="K942" s="39"/>
    </row>
    <row r="943" spans="3:11" x14ac:dyDescent="0.3">
      <c r="C943" s="40" t="s">
        <v>206</v>
      </c>
      <c r="D943" s="8" t="s">
        <v>207</v>
      </c>
      <c r="E943" s="44"/>
      <c r="F943" s="44"/>
      <c r="G943" s="44"/>
      <c r="H943" s="44"/>
      <c r="I943" s="10">
        <f>ROUNDDOWN(H959,0)</f>
        <v>32906</v>
      </c>
      <c r="J943" s="15"/>
      <c r="K943" s="39"/>
    </row>
    <row r="944" spans="3:11" ht="27.6" x14ac:dyDescent="0.3">
      <c r="C944" s="11" t="s">
        <v>9</v>
      </c>
      <c r="D944" s="11" t="s">
        <v>10</v>
      </c>
      <c r="E944" s="11" t="s">
        <v>11</v>
      </c>
      <c r="F944" s="11" t="s">
        <v>12</v>
      </c>
      <c r="G944" s="11" t="s">
        <v>13</v>
      </c>
      <c r="H944" s="11" t="s">
        <v>14</v>
      </c>
      <c r="J944" s="15"/>
      <c r="K944" s="39"/>
    </row>
    <row r="945" spans="3:11" x14ac:dyDescent="0.25">
      <c r="C945" s="12" t="s">
        <v>15</v>
      </c>
      <c r="D945" s="13" t="s">
        <v>16</v>
      </c>
      <c r="E945" s="14"/>
      <c r="F945" s="14"/>
      <c r="G945" s="14"/>
      <c r="H945" s="14"/>
      <c r="J945" s="15"/>
      <c r="K945" s="39"/>
    </row>
    <row r="946" spans="3:11" x14ac:dyDescent="0.3">
      <c r="C946" s="16">
        <v>1</v>
      </c>
      <c r="D946" s="13" t="s">
        <v>18</v>
      </c>
      <c r="E946" s="17" t="s">
        <v>19</v>
      </c>
      <c r="F946" s="18">
        <v>2.4E-2</v>
      </c>
      <c r="G946" s="19">
        <f>VLOOKUP(D946,upahbahan,3,FALSE)</f>
        <v>100000</v>
      </c>
      <c r="H946" s="19">
        <f t="shared" ref="H946:H949" si="96">F946*G946</f>
        <v>2400</v>
      </c>
      <c r="J946" s="15"/>
      <c r="K946" s="39"/>
    </row>
    <row r="947" spans="3:11" x14ac:dyDescent="0.3">
      <c r="C947" s="16">
        <v>2</v>
      </c>
      <c r="D947" s="13" t="str">
        <f>D929</f>
        <v>Tukang listrik</v>
      </c>
      <c r="E947" s="17" t="s">
        <v>19</v>
      </c>
      <c r="F947" s="18">
        <v>0.04</v>
      </c>
      <c r="G947" s="19">
        <f>VLOOKUP(D947,upahbahan,3,FALSE)</f>
        <v>145000</v>
      </c>
      <c r="H947" s="19">
        <f t="shared" si="96"/>
        <v>5800</v>
      </c>
      <c r="J947" s="15"/>
      <c r="K947" s="39"/>
    </row>
    <row r="948" spans="3:11" x14ac:dyDescent="0.3">
      <c r="C948" s="16">
        <v>3</v>
      </c>
      <c r="D948" s="13" t="s">
        <v>22</v>
      </c>
      <c r="E948" s="17" t="s">
        <v>19</v>
      </c>
      <c r="F948" s="18">
        <v>4.0000000000000001E-3</v>
      </c>
      <c r="G948" s="19">
        <f>VLOOKUP(D948,upahbahan,3,FALSE)</f>
        <v>175000</v>
      </c>
      <c r="H948" s="19">
        <f t="shared" si="96"/>
        <v>700</v>
      </c>
      <c r="J948" s="15"/>
      <c r="K948" s="39"/>
    </row>
    <row r="949" spans="3:11" x14ac:dyDescent="0.3">
      <c r="C949" s="16">
        <v>4</v>
      </c>
      <c r="D949" s="13" t="s">
        <v>23</v>
      </c>
      <c r="E949" s="17" t="s">
        <v>19</v>
      </c>
      <c r="F949" s="18">
        <v>1E-3</v>
      </c>
      <c r="G949" s="19">
        <f>VLOOKUP(D949,upahbahan,3,FALSE)</f>
        <v>200000</v>
      </c>
      <c r="H949" s="19">
        <f t="shared" si="96"/>
        <v>200</v>
      </c>
      <c r="J949" s="15"/>
      <c r="K949" s="39"/>
    </row>
    <row r="950" spans="3:11" x14ac:dyDescent="0.3">
      <c r="C950" s="21" t="s">
        <v>24</v>
      </c>
      <c r="D950" s="22"/>
      <c r="E950" s="22"/>
      <c r="F950" s="54"/>
      <c r="G950" s="24"/>
      <c r="H950" s="19">
        <f>SUM(H946:H949)</f>
        <v>9100</v>
      </c>
      <c r="I950" s="25"/>
      <c r="J950" s="15"/>
      <c r="K950" s="39"/>
    </row>
    <row r="951" spans="3:11" x14ac:dyDescent="0.25">
      <c r="C951" s="12" t="s">
        <v>25</v>
      </c>
      <c r="D951" s="13" t="s">
        <v>26</v>
      </c>
      <c r="E951" s="14"/>
      <c r="F951" s="55"/>
      <c r="G951" s="14"/>
      <c r="H951" s="14"/>
      <c r="J951" s="15"/>
      <c r="K951" s="39"/>
    </row>
    <row r="952" spans="3:11" x14ac:dyDescent="0.3">
      <c r="C952" s="63" t="s">
        <v>202</v>
      </c>
      <c r="D952" s="26" t="s">
        <v>208</v>
      </c>
      <c r="E952" s="27" t="s">
        <v>28</v>
      </c>
      <c r="F952" s="18">
        <v>1.1499999999999999</v>
      </c>
      <c r="G952" s="19">
        <f>VLOOKUP(D952,upahbahan,3,FALSE)</f>
        <v>14000</v>
      </c>
      <c r="H952" s="19">
        <f t="shared" ref="H952:H953" si="97">F952*G952</f>
        <v>16099.999999999998</v>
      </c>
      <c r="J952" s="15"/>
      <c r="K952" s="39"/>
    </row>
    <row r="953" spans="3:11" x14ac:dyDescent="0.3">
      <c r="C953" s="63" t="s">
        <v>204</v>
      </c>
      <c r="D953" s="26" t="s">
        <v>205</v>
      </c>
      <c r="E953" s="27" t="s">
        <v>28</v>
      </c>
      <c r="F953" s="18">
        <v>1.1499999999999999</v>
      </c>
      <c r="G953" s="19">
        <f>VLOOKUP(D953,upahbahan,3,FALSE)</f>
        <v>4100</v>
      </c>
      <c r="H953" s="19">
        <f t="shared" si="97"/>
        <v>4715</v>
      </c>
      <c r="J953" s="15"/>
      <c r="K953" s="39"/>
    </row>
    <row r="954" spans="3:11" x14ac:dyDescent="0.3">
      <c r="C954" s="21" t="s">
        <v>29</v>
      </c>
      <c r="D954" s="22"/>
      <c r="E954" s="22"/>
      <c r="F954" s="22"/>
      <c r="G954" s="28"/>
      <c r="H954" s="19">
        <f>SUM(H952:H953)</f>
        <v>20815</v>
      </c>
      <c r="J954" s="15"/>
      <c r="K954" s="39"/>
    </row>
    <row r="955" spans="3:11" x14ac:dyDescent="0.25">
      <c r="C955" s="12" t="s">
        <v>30</v>
      </c>
      <c r="D955" s="13" t="s">
        <v>31</v>
      </c>
      <c r="E955" s="14"/>
      <c r="F955" s="14"/>
      <c r="G955" s="14"/>
      <c r="H955" s="14"/>
      <c r="J955" s="15"/>
      <c r="K955" s="39"/>
    </row>
    <row r="956" spans="3:11" x14ac:dyDescent="0.3">
      <c r="C956" s="21" t="s">
        <v>32</v>
      </c>
      <c r="D956" s="22"/>
      <c r="E956" s="22"/>
      <c r="F956" s="22"/>
      <c r="G956" s="28"/>
      <c r="H956" s="29">
        <v>0</v>
      </c>
      <c r="J956" s="15"/>
      <c r="K956" s="39"/>
    </row>
    <row r="957" spans="3:11" x14ac:dyDescent="0.3">
      <c r="C957" s="30" t="s">
        <v>33</v>
      </c>
      <c r="D957" s="31" t="s">
        <v>34</v>
      </c>
      <c r="E957" s="32"/>
      <c r="F957" s="32"/>
      <c r="G957" s="33"/>
      <c r="H957" s="46">
        <f>H956+H954+H950</f>
        <v>29915</v>
      </c>
      <c r="I957" s="47"/>
      <c r="J957" s="15"/>
      <c r="K957" s="39"/>
    </row>
    <row r="958" spans="3:11" x14ac:dyDescent="0.3">
      <c r="C958" s="30" t="s">
        <v>35</v>
      </c>
      <c r="D958" s="31" t="s">
        <v>36</v>
      </c>
      <c r="E958" s="32"/>
      <c r="F958" s="33"/>
      <c r="G958" s="34">
        <f>$M$9</f>
        <v>0.1</v>
      </c>
      <c r="H958" s="19">
        <f>H957*G958</f>
        <v>2991.5</v>
      </c>
      <c r="I958" s="47"/>
      <c r="J958" s="15"/>
      <c r="K958" s="39"/>
    </row>
    <row r="959" spans="3:11" x14ac:dyDescent="0.3">
      <c r="C959" s="30" t="s">
        <v>37</v>
      </c>
      <c r="D959" s="31" t="s">
        <v>38</v>
      </c>
      <c r="E959" s="32"/>
      <c r="F959" s="32"/>
      <c r="G959" s="33"/>
      <c r="H959" s="48">
        <f>SUM(H957:H958)</f>
        <v>32906.5</v>
      </c>
      <c r="I959" s="47"/>
      <c r="J959" s="15"/>
      <c r="K959" s="39"/>
    </row>
    <row r="960" spans="3:11" x14ac:dyDescent="0.3">
      <c r="J960" s="15"/>
      <c r="K960" s="39"/>
    </row>
    <row r="961" spans="3:11" x14ac:dyDescent="0.3">
      <c r="C961" s="40" t="s">
        <v>209</v>
      </c>
      <c r="D961" s="8" t="s">
        <v>210</v>
      </c>
      <c r="E961" s="44"/>
      <c r="F961" s="44"/>
      <c r="G961" s="44"/>
      <c r="H961" s="44"/>
      <c r="I961" s="10">
        <f>ROUNDDOWN(H977,0)</f>
        <v>39798</v>
      </c>
      <c r="J961" s="15"/>
      <c r="K961" s="39"/>
    </row>
    <row r="962" spans="3:11" ht="27.6" x14ac:dyDescent="0.3">
      <c r="C962" s="11" t="s">
        <v>9</v>
      </c>
      <c r="D962" s="11" t="s">
        <v>10</v>
      </c>
      <c r="E962" s="11" t="s">
        <v>11</v>
      </c>
      <c r="F962" s="11" t="s">
        <v>12</v>
      </c>
      <c r="G962" s="11" t="s">
        <v>13</v>
      </c>
      <c r="H962" s="11" t="s">
        <v>14</v>
      </c>
      <c r="J962" s="15"/>
      <c r="K962" s="39"/>
    </row>
    <row r="963" spans="3:11" x14ac:dyDescent="0.25">
      <c r="C963" s="12" t="s">
        <v>15</v>
      </c>
      <c r="D963" s="13" t="s">
        <v>16</v>
      </c>
      <c r="E963" s="14"/>
      <c r="F963" s="14"/>
      <c r="G963" s="14"/>
      <c r="H963" s="14"/>
      <c r="J963" s="15"/>
      <c r="K963" s="39"/>
    </row>
    <row r="964" spans="3:11" x14ac:dyDescent="0.3">
      <c r="C964" s="16">
        <v>1</v>
      </c>
      <c r="D964" s="13" t="s">
        <v>18</v>
      </c>
      <c r="E964" s="17" t="s">
        <v>19</v>
      </c>
      <c r="F964" s="18">
        <v>2.4E-2</v>
      </c>
      <c r="G964" s="19">
        <f>VLOOKUP(D964,upahbahan,3,FALSE)</f>
        <v>100000</v>
      </c>
      <c r="H964" s="19">
        <f t="shared" ref="H964:H967" si="98">F964*G964</f>
        <v>2400</v>
      </c>
      <c r="J964" s="15"/>
      <c r="K964" s="39"/>
    </row>
    <row r="965" spans="3:11" x14ac:dyDescent="0.3">
      <c r="C965" s="16">
        <v>2</v>
      </c>
      <c r="D965" s="13" t="str">
        <f>D947</f>
        <v>Tukang listrik</v>
      </c>
      <c r="E965" s="17" t="s">
        <v>19</v>
      </c>
      <c r="F965" s="18">
        <v>0.04</v>
      </c>
      <c r="G965" s="19">
        <f>VLOOKUP(D965,upahbahan,3,FALSE)</f>
        <v>145000</v>
      </c>
      <c r="H965" s="19">
        <f t="shared" si="98"/>
        <v>5800</v>
      </c>
      <c r="J965" s="15"/>
      <c r="K965" s="39"/>
    </row>
    <row r="966" spans="3:11" x14ac:dyDescent="0.3">
      <c r="C966" s="16">
        <v>3</v>
      </c>
      <c r="D966" s="13" t="s">
        <v>22</v>
      </c>
      <c r="E966" s="17" t="s">
        <v>19</v>
      </c>
      <c r="F966" s="18">
        <v>4.0000000000000001E-3</v>
      </c>
      <c r="G966" s="19">
        <f>VLOOKUP(D966,upahbahan,3,FALSE)</f>
        <v>175000</v>
      </c>
      <c r="H966" s="19">
        <f t="shared" si="98"/>
        <v>700</v>
      </c>
      <c r="J966" s="15"/>
      <c r="K966" s="39"/>
    </row>
    <row r="967" spans="3:11" x14ac:dyDescent="0.3">
      <c r="C967" s="16">
        <v>4</v>
      </c>
      <c r="D967" s="13" t="s">
        <v>23</v>
      </c>
      <c r="E967" s="17" t="s">
        <v>19</v>
      </c>
      <c r="F967" s="18">
        <v>1E-3</v>
      </c>
      <c r="G967" s="19">
        <f>VLOOKUP(D967,upahbahan,3,FALSE)</f>
        <v>200000</v>
      </c>
      <c r="H967" s="19">
        <f t="shared" si="98"/>
        <v>200</v>
      </c>
      <c r="J967" s="15"/>
      <c r="K967" s="39"/>
    </row>
    <row r="968" spans="3:11" x14ac:dyDescent="0.3">
      <c r="C968" s="21" t="s">
        <v>24</v>
      </c>
      <c r="D968" s="22"/>
      <c r="E968" s="22"/>
      <c r="F968" s="54"/>
      <c r="G968" s="24"/>
      <c r="H968" s="19">
        <f>SUM(H964:H967)</f>
        <v>9100</v>
      </c>
      <c r="I968" s="25"/>
      <c r="J968" s="15"/>
      <c r="K968" s="39"/>
    </row>
    <row r="969" spans="3:11" x14ac:dyDescent="0.25">
      <c r="C969" s="12" t="s">
        <v>25</v>
      </c>
      <c r="D969" s="13" t="s">
        <v>26</v>
      </c>
      <c r="E969" s="14"/>
      <c r="F969" s="55"/>
      <c r="G969" s="14"/>
      <c r="H969" s="14"/>
      <c r="J969" s="15"/>
      <c r="K969" s="39"/>
    </row>
    <row r="970" spans="3:11" x14ac:dyDescent="0.3">
      <c r="C970" s="63" t="s">
        <v>202</v>
      </c>
      <c r="D970" s="26" t="s">
        <v>211</v>
      </c>
      <c r="E970" s="27" t="s">
        <v>28</v>
      </c>
      <c r="F970" s="18">
        <v>1.1499999999999999</v>
      </c>
      <c r="G970" s="19">
        <f>VLOOKUP(D970,upahbahan,3,FALSE)</f>
        <v>19448</v>
      </c>
      <c r="H970" s="19">
        <f>F970*G970</f>
        <v>22365.199999999997</v>
      </c>
      <c r="J970" s="15"/>
      <c r="K970" s="39"/>
    </row>
    <row r="971" spans="3:11" x14ac:dyDescent="0.3">
      <c r="C971" s="63" t="s">
        <v>204</v>
      </c>
      <c r="D971" s="26" t="s">
        <v>205</v>
      </c>
      <c r="E971" s="27" t="s">
        <v>28</v>
      </c>
      <c r="F971" s="18">
        <v>1.1499999999999999</v>
      </c>
      <c r="G971" s="19">
        <f>VLOOKUP(D971,upahbahan,3,FALSE)</f>
        <v>4100</v>
      </c>
      <c r="H971" s="19">
        <f t="shared" ref="H971" si="99">F971*G971</f>
        <v>4715</v>
      </c>
      <c r="J971" s="15"/>
      <c r="K971" s="39"/>
    </row>
    <row r="972" spans="3:11" x14ac:dyDescent="0.3">
      <c r="C972" s="21" t="s">
        <v>29</v>
      </c>
      <c r="D972" s="22"/>
      <c r="E972" s="22"/>
      <c r="F972" s="22"/>
      <c r="G972" s="28"/>
      <c r="H972" s="19">
        <f>SUM(H970:H971)</f>
        <v>27080.199999999997</v>
      </c>
      <c r="J972" s="15"/>
      <c r="K972" s="39"/>
    </row>
    <row r="973" spans="3:11" x14ac:dyDescent="0.25">
      <c r="C973" s="12" t="s">
        <v>30</v>
      </c>
      <c r="D973" s="13" t="s">
        <v>31</v>
      </c>
      <c r="E973" s="14"/>
      <c r="F973" s="14"/>
      <c r="G973" s="14"/>
      <c r="H973" s="14"/>
      <c r="J973" s="15"/>
      <c r="K973" s="39"/>
    </row>
    <row r="974" spans="3:11" x14ac:dyDescent="0.3">
      <c r="C974" s="21" t="s">
        <v>32</v>
      </c>
      <c r="D974" s="22"/>
      <c r="E974" s="22"/>
      <c r="F974" s="22"/>
      <c r="G974" s="28"/>
      <c r="H974" s="29">
        <v>0</v>
      </c>
      <c r="J974" s="15"/>
      <c r="K974" s="39"/>
    </row>
    <row r="975" spans="3:11" x14ac:dyDescent="0.3">
      <c r="C975" s="30" t="s">
        <v>33</v>
      </c>
      <c r="D975" s="31" t="s">
        <v>34</v>
      </c>
      <c r="E975" s="32"/>
      <c r="F975" s="32"/>
      <c r="G975" s="33"/>
      <c r="H975" s="46">
        <f>H974+H972+H968</f>
        <v>36180.199999999997</v>
      </c>
      <c r="I975" s="47"/>
      <c r="J975" s="15"/>
      <c r="K975" s="39"/>
    </row>
    <row r="976" spans="3:11" x14ac:dyDescent="0.3">
      <c r="C976" s="30" t="s">
        <v>35</v>
      </c>
      <c r="D976" s="31" t="s">
        <v>36</v>
      </c>
      <c r="E976" s="32"/>
      <c r="F976" s="33"/>
      <c r="G976" s="34">
        <f>$M$9</f>
        <v>0.1</v>
      </c>
      <c r="H976" s="19">
        <f>H975*G976</f>
        <v>3618.02</v>
      </c>
      <c r="I976" s="47"/>
      <c r="J976" s="15"/>
      <c r="K976" s="39"/>
    </row>
    <row r="977" spans="3:11" x14ac:dyDescent="0.3">
      <c r="C977" s="30" t="s">
        <v>37</v>
      </c>
      <c r="D977" s="31" t="s">
        <v>38</v>
      </c>
      <c r="E977" s="32"/>
      <c r="F977" s="32"/>
      <c r="G977" s="33"/>
      <c r="H977" s="48">
        <f>SUM(H975:H976)</f>
        <v>39798.219999999994</v>
      </c>
      <c r="I977" s="47"/>
      <c r="J977" s="15"/>
      <c r="K977" s="39"/>
    </row>
    <row r="978" spans="3:11" x14ac:dyDescent="0.3">
      <c r="C978" s="50"/>
      <c r="D978" s="64"/>
      <c r="E978" s="64"/>
      <c r="F978" s="64"/>
      <c r="G978" s="64"/>
      <c r="H978" s="65"/>
      <c r="J978" s="15"/>
      <c r="K978" s="39"/>
    </row>
    <row r="979" spans="3:11" x14ac:dyDescent="0.3">
      <c r="C979" s="50"/>
      <c r="D979" s="64"/>
      <c r="E979" s="64"/>
      <c r="F979" s="64"/>
      <c r="G979" s="64"/>
      <c r="H979" s="65"/>
      <c r="J979" s="15"/>
      <c r="K979" s="39"/>
    </row>
    <row r="980" spans="3:11" x14ac:dyDescent="0.3">
      <c r="C980" s="40" t="s">
        <v>212</v>
      </c>
      <c r="D980" s="8" t="s">
        <v>213</v>
      </c>
      <c r="E980" s="44"/>
      <c r="F980" s="44"/>
      <c r="G980" s="44"/>
      <c r="H980" s="44"/>
      <c r="I980" s="10">
        <f>ROUNDDOWN(H996,0)</f>
        <v>59911</v>
      </c>
      <c r="J980" s="15"/>
      <c r="K980" s="39"/>
    </row>
    <row r="981" spans="3:11" ht="27.6" x14ac:dyDescent="0.3">
      <c r="C981" s="11" t="s">
        <v>9</v>
      </c>
      <c r="D981" s="11" t="s">
        <v>10</v>
      </c>
      <c r="E981" s="11" t="s">
        <v>11</v>
      </c>
      <c r="F981" s="11" t="s">
        <v>12</v>
      </c>
      <c r="G981" s="11" t="s">
        <v>13</v>
      </c>
      <c r="H981" s="11" t="s">
        <v>14</v>
      </c>
      <c r="J981" s="15"/>
      <c r="K981" s="39"/>
    </row>
    <row r="982" spans="3:11" x14ac:dyDescent="0.25">
      <c r="C982" s="12" t="s">
        <v>15</v>
      </c>
      <c r="D982" s="13" t="s">
        <v>16</v>
      </c>
      <c r="E982" s="14"/>
      <c r="F982" s="14"/>
      <c r="G982" s="14"/>
      <c r="H982" s="14"/>
      <c r="J982" s="15"/>
      <c r="K982" s="39"/>
    </row>
    <row r="983" spans="3:11" x14ac:dyDescent="0.3">
      <c r="C983" s="16">
        <v>1</v>
      </c>
      <c r="D983" s="13" t="s">
        <v>18</v>
      </c>
      <c r="E983" s="17" t="s">
        <v>19</v>
      </c>
      <c r="F983" s="18">
        <v>2.4E-2</v>
      </c>
      <c r="G983" s="19">
        <f>VLOOKUP(D983,upahbahan,3,FALSE)</f>
        <v>100000</v>
      </c>
      <c r="H983" s="19">
        <f t="shared" ref="H983:H986" si="100">F983*G983</f>
        <v>2400</v>
      </c>
      <c r="J983" s="15"/>
      <c r="K983" s="39"/>
    </row>
    <row r="984" spans="3:11" x14ac:dyDescent="0.3">
      <c r="C984" s="16">
        <v>2</v>
      </c>
      <c r="D984" s="13" t="s">
        <v>214</v>
      </c>
      <c r="E984" s="17" t="s">
        <v>19</v>
      </c>
      <c r="F984" s="18">
        <v>0.04</v>
      </c>
      <c r="G984" s="19">
        <f>VLOOKUP(D984,upahbahan,3,FALSE)</f>
        <v>145000</v>
      </c>
      <c r="H984" s="19">
        <f t="shared" si="100"/>
        <v>5800</v>
      </c>
      <c r="J984" s="15"/>
      <c r="K984" s="39"/>
    </row>
    <row r="985" spans="3:11" x14ac:dyDescent="0.3">
      <c r="C985" s="16">
        <v>3</v>
      </c>
      <c r="D985" s="13" t="s">
        <v>22</v>
      </c>
      <c r="E985" s="17" t="s">
        <v>19</v>
      </c>
      <c r="F985" s="18">
        <v>4.0000000000000001E-3</v>
      </c>
      <c r="G985" s="19">
        <f>VLOOKUP(D985,upahbahan,3,FALSE)</f>
        <v>175000</v>
      </c>
      <c r="H985" s="19">
        <f t="shared" si="100"/>
        <v>700</v>
      </c>
      <c r="J985" s="15"/>
      <c r="K985" s="39"/>
    </row>
    <row r="986" spans="3:11" x14ac:dyDescent="0.3">
      <c r="C986" s="16">
        <v>4</v>
      </c>
      <c r="D986" s="13" t="s">
        <v>23</v>
      </c>
      <c r="E986" s="17" t="s">
        <v>19</v>
      </c>
      <c r="F986" s="18">
        <v>1E-3</v>
      </c>
      <c r="G986" s="19">
        <f>VLOOKUP(D986,upahbahan,3,FALSE)</f>
        <v>200000</v>
      </c>
      <c r="H986" s="19">
        <f t="shared" si="100"/>
        <v>200</v>
      </c>
      <c r="J986" s="15"/>
      <c r="K986" s="39"/>
    </row>
    <row r="987" spans="3:11" x14ac:dyDescent="0.3">
      <c r="C987" s="21" t="s">
        <v>24</v>
      </c>
      <c r="D987" s="22"/>
      <c r="E987" s="22"/>
      <c r="F987" s="54"/>
      <c r="G987" s="24"/>
      <c r="H987" s="19">
        <f>SUM(H983:H986)</f>
        <v>9100</v>
      </c>
      <c r="I987" s="25"/>
      <c r="J987" s="15"/>
      <c r="K987" s="39"/>
    </row>
    <row r="988" spans="3:11" x14ac:dyDescent="0.25">
      <c r="C988" s="12" t="s">
        <v>25</v>
      </c>
      <c r="D988" s="13" t="s">
        <v>26</v>
      </c>
      <c r="E988" s="14"/>
      <c r="F988" s="55"/>
      <c r="G988" s="14"/>
      <c r="H988" s="14"/>
      <c r="J988" s="15"/>
      <c r="K988" s="39"/>
    </row>
    <row r="989" spans="3:11" x14ac:dyDescent="0.3">
      <c r="C989" s="63" t="s">
        <v>202</v>
      </c>
      <c r="D989" s="26" t="s">
        <v>211</v>
      </c>
      <c r="E989" s="27" t="s">
        <v>28</v>
      </c>
      <c r="F989" s="18">
        <v>1.1499999999999999</v>
      </c>
      <c r="G989" s="19">
        <f>VLOOKUP(D989,upahbahan,3,FALSE)</f>
        <v>19448</v>
      </c>
      <c r="H989" s="19">
        <f>F989*G989</f>
        <v>22365.199999999997</v>
      </c>
      <c r="J989" s="15"/>
      <c r="K989" s="39"/>
    </row>
    <row r="990" spans="3:11" x14ac:dyDescent="0.3">
      <c r="C990" s="63" t="s">
        <v>204</v>
      </c>
      <c r="D990" s="26" t="s">
        <v>215</v>
      </c>
      <c r="E990" s="27" t="s">
        <v>28</v>
      </c>
      <c r="F990" s="18">
        <v>1.1499999999999999</v>
      </c>
      <c r="G990" s="19">
        <f>VLOOKUP(D990,upahbahan,3,FALSE)</f>
        <v>20000</v>
      </c>
      <c r="H990" s="19">
        <f t="shared" ref="H990" si="101">F990*G990</f>
        <v>23000</v>
      </c>
      <c r="J990" s="15"/>
      <c r="K990" s="39"/>
    </row>
    <row r="991" spans="3:11" x14ac:dyDescent="0.3">
      <c r="C991" s="21" t="s">
        <v>29</v>
      </c>
      <c r="D991" s="22"/>
      <c r="E991" s="22"/>
      <c r="F991" s="22"/>
      <c r="G991" s="28"/>
      <c r="H991" s="19">
        <f>SUM(H989:H990)</f>
        <v>45365.2</v>
      </c>
      <c r="J991" s="15"/>
      <c r="K991" s="39"/>
    </row>
    <row r="992" spans="3:11" x14ac:dyDescent="0.25">
      <c r="C992" s="12" t="s">
        <v>30</v>
      </c>
      <c r="D992" s="13" t="s">
        <v>31</v>
      </c>
      <c r="E992" s="14"/>
      <c r="F992" s="14"/>
      <c r="G992" s="14"/>
      <c r="H992" s="14"/>
      <c r="J992" s="15"/>
      <c r="K992" s="39"/>
    </row>
    <row r="993" spans="3:11" x14ac:dyDescent="0.3">
      <c r="C993" s="21" t="s">
        <v>32</v>
      </c>
      <c r="D993" s="22"/>
      <c r="E993" s="22"/>
      <c r="F993" s="22"/>
      <c r="G993" s="28"/>
      <c r="H993" s="29">
        <v>0</v>
      </c>
      <c r="J993" s="15"/>
      <c r="K993" s="39"/>
    </row>
    <row r="994" spans="3:11" x14ac:dyDescent="0.3">
      <c r="C994" s="30" t="s">
        <v>33</v>
      </c>
      <c r="D994" s="31" t="s">
        <v>34</v>
      </c>
      <c r="E994" s="32"/>
      <c r="F994" s="32"/>
      <c r="G994" s="33"/>
      <c r="H994" s="46">
        <f>H993+H991+H987</f>
        <v>54465.2</v>
      </c>
      <c r="I994" s="47"/>
      <c r="J994" s="15"/>
      <c r="K994" s="39"/>
    </row>
    <row r="995" spans="3:11" x14ac:dyDescent="0.3">
      <c r="C995" s="30" t="s">
        <v>35</v>
      </c>
      <c r="D995" s="31" t="s">
        <v>36</v>
      </c>
      <c r="E995" s="32"/>
      <c r="F995" s="33"/>
      <c r="G995" s="34">
        <f>$M$9</f>
        <v>0.1</v>
      </c>
      <c r="H995" s="19">
        <f>H994*G995</f>
        <v>5446.52</v>
      </c>
      <c r="I995" s="47"/>
      <c r="J995" s="15"/>
      <c r="K995" s="39"/>
    </row>
    <row r="996" spans="3:11" x14ac:dyDescent="0.3">
      <c r="C996" s="30" t="s">
        <v>37</v>
      </c>
      <c r="D996" s="31" t="s">
        <v>38</v>
      </c>
      <c r="E996" s="32"/>
      <c r="F996" s="32"/>
      <c r="G996" s="33"/>
      <c r="H996" s="48">
        <f>SUM(H994:H995)</f>
        <v>59911.72</v>
      </c>
      <c r="I996" s="47"/>
      <c r="J996" s="15"/>
      <c r="K996" s="39"/>
    </row>
    <row r="997" spans="3:11" x14ac:dyDescent="0.3">
      <c r="C997" s="50"/>
      <c r="D997" s="64"/>
      <c r="E997" s="64"/>
      <c r="F997" s="64"/>
      <c r="G997" s="64"/>
      <c r="H997" s="65"/>
      <c r="J997" s="15"/>
      <c r="K997" s="39"/>
    </row>
    <row r="998" spans="3:11" x14ac:dyDescent="0.3">
      <c r="C998" s="50"/>
      <c r="D998" s="64"/>
      <c r="E998" s="64"/>
      <c r="F998" s="64"/>
      <c r="G998" s="64"/>
      <c r="H998" s="65"/>
      <c r="J998" s="15"/>
      <c r="K998" s="39"/>
    </row>
    <row r="999" spans="3:11" x14ac:dyDescent="0.3">
      <c r="C999" s="40" t="s">
        <v>216</v>
      </c>
      <c r="D999" s="8" t="s">
        <v>217</v>
      </c>
      <c r="E999" s="44"/>
      <c r="F999" s="44"/>
      <c r="G999" s="44"/>
      <c r="H999" s="44"/>
      <c r="I999" s="10">
        <f>ROUNDDOWN(H1015,0)</f>
        <v>80344</v>
      </c>
      <c r="J999" s="15"/>
      <c r="K999" s="39"/>
    </row>
    <row r="1000" spans="3:11" ht="27.6" x14ac:dyDescent="0.3">
      <c r="C1000" s="11" t="s">
        <v>9</v>
      </c>
      <c r="D1000" s="11" t="s">
        <v>10</v>
      </c>
      <c r="E1000" s="11" t="s">
        <v>11</v>
      </c>
      <c r="F1000" s="11" t="s">
        <v>12</v>
      </c>
      <c r="G1000" s="11" t="s">
        <v>13</v>
      </c>
      <c r="H1000" s="11" t="s">
        <v>14</v>
      </c>
      <c r="J1000" s="15"/>
      <c r="K1000" s="39"/>
    </row>
    <row r="1001" spans="3:11" x14ac:dyDescent="0.25">
      <c r="C1001" s="12" t="s">
        <v>15</v>
      </c>
      <c r="D1001" s="13" t="s">
        <v>16</v>
      </c>
      <c r="E1001" s="14"/>
      <c r="F1001" s="14"/>
      <c r="G1001" s="14"/>
      <c r="H1001" s="14"/>
      <c r="J1001" s="15"/>
      <c r="K1001" s="39"/>
    </row>
    <row r="1002" spans="3:11" x14ac:dyDescent="0.3">
      <c r="C1002" s="16">
        <v>1</v>
      </c>
      <c r="D1002" s="13" t="s">
        <v>18</v>
      </c>
      <c r="E1002" s="17" t="s">
        <v>19</v>
      </c>
      <c r="F1002" s="18">
        <v>2.4E-2</v>
      </c>
      <c r="G1002" s="19">
        <f>VLOOKUP(D1002,upahbahan,3,FALSE)</f>
        <v>100000</v>
      </c>
      <c r="H1002" s="19">
        <f t="shared" ref="H1002:H1005" si="102">F1002*G1002</f>
        <v>2400</v>
      </c>
      <c r="J1002" s="15"/>
      <c r="K1002" s="39"/>
    </row>
    <row r="1003" spans="3:11" x14ac:dyDescent="0.3">
      <c r="C1003" s="16">
        <v>2</v>
      </c>
      <c r="D1003" s="13" t="s">
        <v>214</v>
      </c>
      <c r="E1003" s="17" t="s">
        <v>19</v>
      </c>
      <c r="F1003" s="18">
        <v>0.04</v>
      </c>
      <c r="G1003" s="19">
        <f>VLOOKUP(D1003,upahbahan,3,FALSE)</f>
        <v>145000</v>
      </c>
      <c r="H1003" s="19">
        <f t="shared" si="102"/>
        <v>5800</v>
      </c>
      <c r="J1003" s="15"/>
      <c r="K1003" s="39"/>
    </row>
    <row r="1004" spans="3:11" x14ac:dyDescent="0.3">
      <c r="C1004" s="16">
        <v>3</v>
      </c>
      <c r="D1004" s="13" t="s">
        <v>22</v>
      </c>
      <c r="E1004" s="17" t="s">
        <v>19</v>
      </c>
      <c r="F1004" s="18">
        <v>4.0000000000000001E-3</v>
      </c>
      <c r="G1004" s="19">
        <f>VLOOKUP(D1004,upahbahan,3,FALSE)</f>
        <v>175000</v>
      </c>
      <c r="H1004" s="19">
        <f t="shared" si="102"/>
        <v>700</v>
      </c>
      <c r="J1004" s="15"/>
      <c r="K1004" s="39"/>
    </row>
    <row r="1005" spans="3:11" x14ac:dyDescent="0.3">
      <c r="C1005" s="16">
        <v>4</v>
      </c>
      <c r="D1005" s="13" t="s">
        <v>23</v>
      </c>
      <c r="E1005" s="17" t="s">
        <v>19</v>
      </c>
      <c r="F1005" s="18">
        <v>1E-3</v>
      </c>
      <c r="G1005" s="19">
        <f>VLOOKUP(D1005,upahbahan,3,FALSE)</f>
        <v>200000</v>
      </c>
      <c r="H1005" s="19">
        <f t="shared" si="102"/>
        <v>200</v>
      </c>
      <c r="J1005" s="15"/>
      <c r="K1005" s="39"/>
    </row>
    <row r="1006" spans="3:11" x14ac:dyDescent="0.3">
      <c r="C1006" s="21" t="s">
        <v>24</v>
      </c>
      <c r="D1006" s="22"/>
      <c r="E1006" s="22"/>
      <c r="F1006" s="54"/>
      <c r="G1006" s="24"/>
      <c r="H1006" s="19">
        <f>SUM(H1002:H1005)</f>
        <v>9100</v>
      </c>
      <c r="I1006" s="25"/>
      <c r="J1006" s="15"/>
      <c r="K1006" s="39"/>
    </row>
    <row r="1007" spans="3:11" x14ac:dyDescent="0.25">
      <c r="C1007" s="12" t="s">
        <v>25</v>
      </c>
      <c r="D1007" s="13" t="s">
        <v>26</v>
      </c>
      <c r="E1007" s="14"/>
      <c r="F1007" s="55"/>
      <c r="G1007" s="14"/>
      <c r="H1007" s="14"/>
      <c r="J1007" s="15"/>
      <c r="K1007" s="39"/>
    </row>
    <row r="1008" spans="3:11" x14ac:dyDescent="0.3">
      <c r="C1008" s="63" t="s">
        <v>202</v>
      </c>
      <c r="D1008" s="26" t="s">
        <v>218</v>
      </c>
      <c r="E1008" s="27" t="s">
        <v>28</v>
      </c>
      <c r="F1008" s="18">
        <v>1.1499999999999999</v>
      </c>
      <c r="G1008" s="19">
        <f>VLOOKUP(D1008,upahbahan,3,FALSE)</f>
        <v>51500</v>
      </c>
      <c r="H1008" s="19">
        <f>F1008*G1008</f>
        <v>59224.999999999993</v>
      </c>
      <c r="J1008" s="15"/>
      <c r="K1008" s="39"/>
    </row>
    <row r="1009" spans="3:11" x14ac:dyDescent="0.3">
      <c r="C1009" s="63" t="s">
        <v>204</v>
      </c>
      <c r="D1009" s="26" t="s">
        <v>205</v>
      </c>
      <c r="E1009" s="27" t="s">
        <v>28</v>
      </c>
      <c r="F1009" s="18">
        <v>1.1499999999999999</v>
      </c>
      <c r="G1009" s="19">
        <f>VLOOKUP(D1009,upahbahan,3,FALSE)</f>
        <v>4100</v>
      </c>
      <c r="H1009" s="19">
        <f t="shared" ref="H1009" si="103">F1009*G1009</f>
        <v>4715</v>
      </c>
      <c r="J1009" s="15"/>
      <c r="K1009" s="39"/>
    </row>
    <row r="1010" spans="3:11" x14ac:dyDescent="0.3">
      <c r="C1010" s="21" t="s">
        <v>29</v>
      </c>
      <c r="D1010" s="22"/>
      <c r="E1010" s="22"/>
      <c r="F1010" s="22"/>
      <c r="G1010" s="28"/>
      <c r="H1010" s="19">
        <f>SUM(H1008:H1009)</f>
        <v>63939.999999999993</v>
      </c>
      <c r="J1010" s="15"/>
      <c r="K1010" s="39"/>
    </row>
    <row r="1011" spans="3:11" x14ac:dyDescent="0.25">
      <c r="C1011" s="12" t="s">
        <v>30</v>
      </c>
      <c r="D1011" s="13" t="s">
        <v>31</v>
      </c>
      <c r="E1011" s="14"/>
      <c r="F1011" s="14"/>
      <c r="G1011" s="14"/>
      <c r="H1011" s="14"/>
      <c r="J1011" s="15"/>
      <c r="K1011" s="39"/>
    </row>
    <row r="1012" spans="3:11" x14ac:dyDescent="0.3">
      <c r="C1012" s="21" t="s">
        <v>32</v>
      </c>
      <c r="D1012" s="22"/>
      <c r="E1012" s="22"/>
      <c r="F1012" s="22"/>
      <c r="G1012" s="28"/>
      <c r="H1012" s="29">
        <v>0</v>
      </c>
      <c r="J1012" s="15"/>
      <c r="K1012" s="39"/>
    </row>
    <row r="1013" spans="3:11" x14ac:dyDescent="0.3">
      <c r="C1013" s="30" t="s">
        <v>33</v>
      </c>
      <c r="D1013" s="31" t="s">
        <v>34</v>
      </c>
      <c r="E1013" s="32"/>
      <c r="F1013" s="32"/>
      <c r="G1013" s="33"/>
      <c r="H1013" s="46">
        <f>H1012+H1010+H1006</f>
        <v>73040</v>
      </c>
      <c r="I1013" s="47"/>
      <c r="J1013" s="15"/>
      <c r="K1013" s="39"/>
    </row>
    <row r="1014" spans="3:11" x14ac:dyDescent="0.3">
      <c r="C1014" s="30" t="s">
        <v>35</v>
      </c>
      <c r="D1014" s="31" t="s">
        <v>36</v>
      </c>
      <c r="E1014" s="32"/>
      <c r="F1014" s="33"/>
      <c r="G1014" s="34">
        <f>$M$9</f>
        <v>0.1</v>
      </c>
      <c r="H1014" s="19">
        <f>H1013*G1014</f>
        <v>7304</v>
      </c>
      <c r="I1014" s="47"/>
      <c r="J1014" s="15"/>
      <c r="K1014" s="39"/>
    </row>
    <row r="1015" spans="3:11" x14ac:dyDescent="0.3">
      <c r="C1015" s="30" t="s">
        <v>37</v>
      </c>
      <c r="D1015" s="31" t="s">
        <v>38</v>
      </c>
      <c r="E1015" s="32"/>
      <c r="F1015" s="32"/>
      <c r="G1015" s="33"/>
      <c r="H1015" s="48">
        <f>SUM(H1013:H1014)</f>
        <v>80344</v>
      </c>
      <c r="I1015" s="47"/>
      <c r="J1015" s="15"/>
      <c r="K1015" s="39"/>
    </row>
    <row r="1016" spans="3:11" x14ac:dyDescent="0.3">
      <c r="C1016" s="50"/>
      <c r="D1016" s="64"/>
      <c r="E1016" s="64"/>
      <c r="F1016" s="64"/>
      <c r="G1016" s="64"/>
      <c r="H1016" s="65"/>
      <c r="J1016" s="15"/>
      <c r="K1016" s="39"/>
    </row>
    <row r="1017" spans="3:11" x14ac:dyDescent="0.3">
      <c r="C1017" s="50"/>
      <c r="D1017" s="64"/>
      <c r="E1017" s="64"/>
      <c r="F1017" s="64"/>
      <c r="G1017" s="64"/>
      <c r="H1017" s="65"/>
      <c r="J1017" s="15"/>
      <c r="K1017" s="39"/>
    </row>
    <row r="1018" spans="3:11" x14ac:dyDescent="0.3">
      <c r="C1018" s="40" t="s">
        <v>219</v>
      </c>
      <c r="D1018" s="8" t="s">
        <v>220</v>
      </c>
      <c r="E1018" s="44"/>
      <c r="F1018" s="44"/>
      <c r="G1018" s="44"/>
      <c r="H1018" s="44"/>
      <c r="I1018" s="10">
        <f>ROUNDDOWN(H1034,0)</f>
        <v>100457</v>
      </c>
      <c r="J1018" s="15"/>
      <c r="K1018" s="39"/>
    </row>
    <row r="1019" spans="3:11" ht="27.6" x14ac:dyDescent="0.3">
      <c r="C1019" s="11" t="s">
        <v>9</v>
      </c>
      <c r="D1019" s="11" t="s">
        <v>10</v>
      </c>
      <c r="E1019" s="11" t="s">
        <v>11</v>
      </c>
      <c r="F1019" s="11" t="s">
        <v>12</v>
      </c>
      <c r="G1019" s="11" t="s">
        <v>13</v>
      </c>
      <c r="H1019" s="11" t="s">
        <v>14</v>
      </c>
      <c r="J1019" s="15"/>
      <c r="K1019" s="39"/>
    </row>
    <row r="1020" spans="3:11" x14ac:dyDescent="0.25">
      <c r="C1020" s="12" t="s">
        <v>15</v>
      </c>
      <c r="D1020" s="13" t="s">
        <v>16</v>
      </c>
      <c r="E1020" s="14"/>
      <c r="F1020" s="14"/>
      <c r="G1020" s="14"/>
      <c r="H1020" s="14"/>
      <c r="J1020" s="15"/>
      <c r="K1020" s="39"/>
    </row>
    <row r="1021" spans="3:11" x14ac:dyDescent="0.3">
      <c r="C1021" s="16">
        <v>1</v>
      </c>
      <c r="D1021" s="13" t="s">
        <v>18</v>
      </c>
      <c r="E1021" s="17" t="s">
        <v>19</v>
      </c>
      <c r="F1021" s="18">
        <v>2.4E-2</v>
      </c>
      <c r="G1021" s="19">
        <f>VLOOKUP(D1021,upahbahan,3,FALSE)</f>
        <v>100000</v>
      </c>
      <c r="H1021" s="19">
        <f t="shared" ref="H1021:H1024" si="104">F1021*G1021</f>
        <v>2400</v>
      </c>
      <c r="J1021" s="15"/>
      <c r="K1021" s="39"/>
    </row>
    <row r="1022" spans="3:11" x14ac:dyDescent="0.3">
      <c r="C1022" s="16">
        <v>2</v>
      </c>
      <c r="D1022" s="13" t="s">
        <v>214</v>
      </c>
      <c r="E1022" s="17" t="s">
        <v>19</v>
      </c>
      <c r="F1022" s="18">
        <v>0.04</v>
      </c>
      <c r="G1022" s="19">
        <f>VLOOKUP(D1022,upahbahan,3,FALSE)</f>
        <v>145000</v>
      </c>
      <c r="H1022" s="19">
        <f t="shared" si="104"/>
        <v>5800</v>
      </c>
      <c r="J1022" s="15"/>
      <c r="K1022" s="39"/>
    </row>
    <row r="1023" spans="3:11" x14ac:dyDescent="0.3">
      <c r="C1023" s="16">
        <v>3</v>
      </c>
      <c r="D1023" s="13" t="s">
        <v>22</v>
      </c>
      <c r="E1023" s="17" t="s">
        <v>19</v>
      </c>
      <c r="F1023" s="18">
        <v>4.0000000000000001E-3</v>
      </c>
      <c r="G1023" s="19">
        <f>VLOOKUP(D1023,upahbahan,3,FALSE)</f>
        <v>175000</v>
      </c>
      <c r="H1023" s="19">
        <f t="shared" si="104"/>
        <v>700</v>
      </c>
      <c r="J1023" s="15"/>
      <c r="K1023" s="39"/>
    </row>
    <row r="1024" spans="3:11" x14ac:dyDescent="0.3">
      <c r="C1024" s="16">
        <v>4</v>
      </c>
      <c r="D1024" s="13" t="s">
        <v>23</v>
      </c>
      <c r="E1024" s="17" t="s">
        <v>19</v>
      </c>
      <c r="F1024" s="18">
        <v>1E-3</v>
      </c>
      <c r="G1024" s="19">
        <f>VLOOKUP(D1024,upahbahan,3,FALSE)</f>
        <v>200000</v>
      </c>
      <c r="H1024" s="19">
        <f t="shared" si="104"/>
        <v>200</v>
      </c>
      <c r="J1024" s="15"/>
      <c r="K1024" s="39"/>
    </row>
    <row r="1025" spans="3:11" x14ac:dyDescent="0.3">
      <c r="C1025" s="21" t="s">
        <v>24</v>
      </c>
      <c r="D1025" s="22"/>
      <c r="E1025" s="22"/>
      <c r="F1025" s="54"/>
      <c r="G1025" s="24"/>
      <c r="H1025" s="19">
        <f>SUM(H1021:H1024)</f>
        <v>9100</v>
      </c>
      <c r="I1025" s="25"/>
      <c r="J1025" s="15"/>
      <c r="K1025" s="39"/>
    </row>
    <row r="1026" spans="3:11" x14ac:dyDescent="0.25">
      <c r="C1026" s="12" t="s">
        <v>25</v>
      </c>
      <c r="D1026" s="13" t="s">
        <v>26</v>
      </c>
      <c r="E1026" s="14"/>
      <c r="F1026" s="55"/>
      <c r="G1026" s="14"/>
      <c r="H1026" s="14"/>
      <c r="J1026" s="15"/>
      <c r="K1026" s="39"/>
    </row>
    <row r="1027" spans="3:11" x14ac:dyDescent="0.3">
      <c r="C1027" s="63" t="s">
        <v>202</v>
      </c>
      <c r="D1027" s="26" t="s">
        <v>218</v>
      </c>
      <c r="E1027" s="27" t="s">
        <v>28</v>
      </c>
      <c r="F1027" s="18">
        <v>1.1499999999999999</v>
      </c>
      <c r="G1027" s="19">
        <f>VLOOKUP(D1027,upahbahan,3,FALSE)</f>
        <v>51500</v>
      </c>
      <c r="H1027" s="19">
        <f>F1027*G1027</f>
        <v>59224.999999999993</v>
      </c>
      <c r="J1027" s="15"/>
      <c r="K1027" s="39"/>
    </row>
    <row r="1028" spans="3:11" x14ac:dyDescent="0.3">
      <c r="C1028" s="63" t="s">
        <v>204</v>
      </c>
      <c r="D1028" s="26" t="s">
        <v>215</v>
      </c>
      <c r="E1028" s="27" t="s">
        <v>28</v>
      </c>
      <c r="F1028" s="18">
        <v>1.1499999999999999</v>
      </c>
      <c r="G1028" s="19">
        <f>VLOOKUP(D1028,upahbahan,3,FALSE)</f>
        <v>20000</v>
      </c>
      <c r="H1028" s="19">
        <f t="shared" ref="H1028" si="105">F1028*G1028</f>
        <v>23000</v>
      </c>
      <c r="J1028" s="15"/>
      <c r="K1028" s="39"/>
    </row>
    <row r="1029" spans="3:11" x14ac:dyDescent="0.3">
      <c r="C1029" s="21" t="s">
        <v>29</v>
      </c>
      <c r="D1029" s="22"/>
      <c r="E1029" s="22"/>
      <c r="F1029" s="22"/>
      <c r="G1029" s="28"/>
      <c r="H1029" s="19">
        <f>SUM(H1027:H1028)</f>
        <v>82225</v>
      </c>
      <c r="J1029" s="15"/>
      <c r="K1029" s="39"/>
    </row>
    <row r="1030" spans="3:11" x14ac:dyDescent="0.25">
      <c r="C1030" s="12" t="s">
        <v>30</v>
      </c>
      <c r="D1030" s="13" t="s">
        <v>31</v>
      </c>
      <c r="E1030" s="14"/>
      <c r="F1030" s="14"/>
      <c r="G1030" s="14"/>
      <c r="H1030" s="14"/>
      <c r="J1030" s="15"/>
      <c r="K1030" s="39"/>
    </row>
    <row r="1031" spans="3:11" x14ac:dyDescent="0.3">
      <c r="C1031" s="21" t="s">
        <v>32</v>
      </c>
      <c r="D1031" s="22"/>
      <c r="E1031" s="22"/>
      <c r="F1031" s="22"/>
      <c r="G1031" s="28"/>
      <c r="H1031" s="29">
        <v>0</v>
      </c>
      <c r="J1031" s="15"/>
      <c r="K1031" s="39"/>
    </row>
    <row r="1032" spans="3:11" x14ac:dyDescent="0.3">
      <c r="C1032" s="30" t="s">
        <v>33</v>
      </c>
      <c r="D1032" s="31" t="s">
        <v>34</v>
      </c>
      <c r="E1032" s="32"/>
      <c r="F1032" s="32"/>
      <c r="G1032" s="33"/>
      <c r="H1032" s="46">
        <f>H1031+H1029+H1025</f>
        <v>91325</v>
      </c>
      <c r="I1032" s="47"/>
      <c r="J1032" s="15"/>
      <c r="K1032" s="39"/>
    </row>
    <row r="1033" spans="3:11" x14ac:dyDescent="0.3">
      <c r="C1033" s="30" t="s">
        <v>35</v>
      </c>
      <c r="D1033" s="31" t="s">
        <v>36</v>
      </c>
      <c r="E1033" s="32"/>
      <c r="F1033" s="33"/>
      <c r="G1033" s="34">
        <f>$M$9</f>
        <v>0.1</v>
      </c>
      <c r="H1033" s="19">
        <f>H1032*G1033</f>
        <v>9132.5</v>
      </c>
      <c r="I1033" s="47"/>
      <c r="J1033" s="15"/>
      <c r="K1033" s="39"/>
    </row>
    <row r="1034" spans="3:11" x14ac:dyDescent="0.3">
      <c r="C1034" s="30" t="s">
        <v>37</v>
      </c>
      <c r="D1034" s="31" t="s">
        <v>38</v>
      </c>
      <c r="E1034" s="32"/>
      <c r="F1034" s="32"/>
      <c r="G1034" s="33"/>
      <c r="H1034" s="48">
        <f>SUM(H1032:H1033)</f>
        <v>100457.5</v>
      </c>
      <c r="I1034" s="47"/>
      <c r="J1034" s="15"/>
      <c r="K1034" s="39"/>
    </row>
    <row r="1035" spans="3:11" x14ac:dyDescent="0.3">
      <c r="C1035" s="50"/>
      <c r="D1035" s="64"/>
      <c r="E1035" s="64"/>
      <c r="F1035" s="64"/>
      <c r="G1035" s="64"/>
      <c r="H1035" s="65"/>
      <c r="J1035" s="15"/>
      <c r="K1035" s="39"/>
    </row>
    <row r="1036" spans="3:11" x14ac:dyDescent="0.3">
      <c r="C1036" s="40" t="s">
        <v>221</v>
      </c>
      <c r="D1036" s="8" t="s">
        <v>222</v>
      </c>
      <c r="E1036" s="44"/>
      <c r="F1036" s="44"/>
      <c r="G1036" s="44"/>
      <c r="H1036" s="44"/>
      <c r="I1036" s="10">
        <f>ROUNDDOWN(H1051,0)</f>
        <v>105256</v>
      </c>
      <c r="J1036" s="15"/>
      <c r="K1036" s="39"/>
    </row>
    <row r="1037" spans="3:11" ht="27.6" x14ac:dyDescent="0.3">
      <c r="C1037" s="11" t="s">
        <v>9</v>
      </c>
      <c r="D1037" s="11" t="s">
        <v>10</v>
      </c>
      <c r="E1037" s="11" t="s">
        <v>11</v>
      </c>
      <c r="F1037" s="11" t="s">
        <v>12</v>
      </c>
      <c r="G1037" s="11" t="s">
        <v>13</v>
      </c>
      <c r="H1037" s="11" t="s">
        <v>14</v>
      </c>
      <c r="J1037" s="15"/>
      <c r="K1037" s="39"/>
    </row>
    <row r="1038" spans="3:11" x14ac:dyDescent="0.25">
      <c r="C1038" s="12" t="s">
        <v>15</v>
      </c>
      <c r="D1038" s="13" t="s">
        <v>16</v>
      </c>
      <c r="E1038" s="14"/>
      <c r="F1038" s="14"/>
      <c r="G1038" s="14"/>
      <c r="H1038" s="14"/>
      <c r="J1038" s="15"/>
      <c r="K1038" s="39"/>
    </row>
    <row r="1039" spans="3:11" x14ac:dyDescent="0.3">
      <c r="C1039" s="16">
        <v>1</v>
      </c>
      <c r="D1039" s="13" t="s">
        <v>18</v>
      </c>
      <c r="E1039" s="17" t="s">
        <v>19</v>
      </c>
      <c r="F1039" s="18">
        <v>3.5999999999999997E-2</v>
      </c>
      <c r="G1039" s="19">
        <f>VLOOKUP(D1039,upahbahan,3,FALSE)</f>
        <v>100000</v>
      </c>
      <c r="H1039" s="19">
        <f t="shared" ref="H1039:H1042" si="106">F1039*G1039</f>
        <v>3599.9999999999995</v>
      </c>
      <c r="J1039" s="15"/>
      <c r="K1039" s="39"/>
    </row>
    <row r="1040" spans="3:11" x14ac:dyDescent="0.3">
      <c r="C1040" s="16">
        <v>2</v>
      </c>
      <c r="D1040" s="13" t="str">
        <f>D1022</f>
        <v>Tukang Listrik</v>
      </c>
      <c r="E1040" s="17" t="s">
        <v>19</v>
      </c>
      <c r="F1040" s="18">
        <v>0.06</v>
      </c>
      <c r="G1040" s="19">
        <f>VLOOKUP(D1040,upahbahan,3,FALSE)</f>
        <v>145000</v>
      </c>
      <c r="H1040" s="19">
        <f t="shared" si="106"/>
        <v>8700</v>
      </c>
      <c r="J1040" s="15"/>
      <c r="K1040" s="39"/>
    </row>
    <row r="1041" spans="3:11" x14ac:dyDescent="0.3">
      <c r="C1041" s="16">
        <v>3</v>
      </c>
      <c r="D1041" s="13" t="s">
        <v>22</v>
      </c>
      <c r="E1041" s="17" t="s">
        <v>19</v>
      </c>
      <c r="F1041" s="18">
        <v>6.0000000000000001E-3</v>
      </c>
      <c r="G1041" s="19">
        <f>VLOOKUP(D1041,upahbahan,3,FALSE)</f>
        <v>175000</v>
      </c>
      <c r="H1041" s="19">
        <f t="shared" si="106"/>
        <v>1050</v>
      </c>
      <c r="J1041" s="15"/>
      <c r="K1041" s="39"/>
    </row>
    <row r="1042" spans="3:11" x14ac:dyDescent="0.3">
      <c r="C1042" s="16">
        <v>4</v>
      </c>
      <c r="D1042" s="13" t="s">
        <v>23</v>
      </c>
      <c r="E1042" s="17" t="s">
        <v>19</v>
      </c>
      <c r="F1042" s="18">
        <v>2E-3</v>
      </c>
      <c r="G1042" s="19">
        <f>VLOOKUP(D1042,upahbahan,3,FALSE)</f>
        <v>200000</v>
      </c>
      <c r="H1042" s="19">
        <f t="shared" si="106"/>
        <v>400</v>
      </c>
      <c r="J1042" s="15"/>
      <c r="K1042" s="39"/>
    </row>
    <row r="1043" spans="3:11" x14ac:dyDescent="0.3">
      <c r="C1043" s="21" t="s">
        <v>24</v>
      </c>
      <c r="D1043" s="22"/>
      <c r="E1043" s="22"/>
      <c r="F1043" s="54"/>
      <c r="G1043" s="24"/>
      <c r="H1043" s="19">
        <f>SUM(H1039:H1042)</f>
        <v>13750</v>
      </c>
      <c r="I1043" s="25"/>
      <c r="J1043" s="15"/>
      <c r="K1043" s="39"/>
    </row>
    <row r="1044" spans="3:11" x14ac:dyDescent="0.25">
      <c r="C1044" s="12" t="s">
        <v>25</v>
      </c>
      <c r="D1044" s="13" t="s">
        <v>26</v>
      </c>
      <c r="E1044" s="14"/>
      <c r="F1044" s="55"/>
      <c r="G1044" s="14"/>
      <c r="H1044" s="14"/>
      <c r="J1044" s="15"/>
      <c r="K1044" s="39"/>
    </row>
    <row r="1045" spans="3:11" x14ac:dyDescent="0.3">
      <c r="C1045" s="63" t="s">
        <v>202</v>
      </c>
      <c r="D1045" s="26" t="s">
        <v>223</v>
      </c>
      <c r="E1045" s="27" t="s">
        <v>28</v>
      </c>
      <c r="F1045" s="18">
        <v>1.1499999999999999</v>
      </c>
      <c r="G1045" s="19">
        <f>VLOOKUP(D1045,upahbahan,3,FALSE)</f>
        <v>71250</v>
      </c>
      <c r="H1045" s="19">
        <f>F1045*G1045</f>
        <v>81937.5</v>
      </c>
      <c r="J1045" s="15"/>
      <c r="K1045" s="39"/>
    </row>
    <row r="1046" spans="3:11" x14ac:dyDescent="0.3">
      <c r="C1046" s="21" t="s">
        <v>29</v>
      </c>
      <c r="D1046" s="22"/>
      <c r="E1046" s="22"/>
      <c r="F1046" s="22"/>
      <c r="G1046" s="28"/>
      <c r="H1046" s="19">
        <f>SUM(H1045:H1045)</f>
        <v>81937.5</v>
      </c>
      <c r="J1046" s="15"/>
      <c r="K1046" s="39"/>
    </row>
    <row r="1047" spans="3:11" x14ac:dyDescent="0.25">
      <c r="C1047" s="12" t="s">
        <v>30</v>
      </c>
      <c r="D1047" s="13" t="s">
        <v>31</v>
      </c>
      <c r="E1047" s="14"/>
      <c r="F1047" s="14"/>
      <c r="G1047" s="14"/>
      <c r="H1047" s="14"/>
      <c r="J1047" s="15"/>
      <c r="K1047" s="39"/>
    </row>
    <row r="1048" spans="3:11" x14ac:dyDescent="0.3">
      <c r="C1048" s="21" t="s">
        <v>32</v>
      </c>
      <c r="D1048" s="22"/>
      <c r="E1048" s="22"/>
      <c r="F1048" s="22"/>
      <c r="G1048" s="28"/>
      <c r="H1048" s="29">
        <v>0</v>
      </c>
      <c r="J1048" s="15"/>
      <c r="K1048" s="39"/>
    </row>
    <row r="1049" spans="3:11" x14ac:dyDescent="0.3">
      <c r="C1049" s="30" t="s">
        <v>33</v>
      </c>
      <c r="D1049" s="31" t="s">
        <v>34</v>
      </c>
      <c r="E1049" s="32"/>
      <c r="F1049" s="32"/>
      <c r="G1049" s="33"/>
      <c r="H1049" s="46">
        <f>H1048+H1046+H1043</f>
        <v>95687.5</v>
      </c>
      <c r="I1049" s="47"/>
      <c r="J1049" s="15"/>
      <c r="K1049" s="39"/>
    </row>
    <row r="1050" spans="3:11" x14ac:dyDescent="0.3">
      <c r="C1050" s="30" t="s">
        <v>35</v>
      </c>
      <c r="D1050" s="31" t="s">
        <v>36</v>
      </c>
      <c r="E1050" s="32"/>
      <c r="F1050" s="33"/>
      <c r="G1050" s="34">
        <f>$M$9</f>
        <v>0.1</v>
      </c>
      <c r="H1050" s="19">
        <f>H1049*G1050</f>
        <v>9568.75</v>
      </c>
      <c r="I1050" s="47"/>
      <c r="J1050" s="15"/>
      <c r="K1050" s="39"/>
    </row>
    <row r="1051" spans="3:11" x14ac:dyDescent="0.3">
      <c r="C1051" s="30" t="s">
        <v>37</v>
      </c>
      <c r="D1051" s="31" t="s">
        <v>38</v>
      </c>
      <c r="E1051" s="32"/>
      <c r="F1051" s="32"/>
      <c r="G1051" s="33"/>
      <c r="H1051" s="48">
        <f>SUM(H1049:H1050)</f>
        <v>105256.25</v>
      </c>
      <c r="I1051" s="47"/>
      <c r="J1051" s="15"/>
      <c r="K1051" s="39"/>
    </row>
    <row r="1052" spans="3:11" x14ac:dyDescent="0.3">
      <c r="C1052" s="50"/>
      <c r="D1052" s="64"/>
      <c r="E1052" s="64"/>
      <c r="F1052" s="64"/>
      <c r="G1052" s="64"/>
      <c r="H1052" s="65"/>
      <c r="J1052" s="15"/>
      <c r="K1052" s="39"/>
    </row>
    <row r="1053" spans="3:11" x14ac:dyDescent="0.3">
      <c r="C1053" s="40" t="s">
        <v>224</v>
      </c>
      <c r="D1053" s="8" t="s">
        <v>225</v>
      </c>
      <c r="E1053" s="44"/>
      <c r="F1053" s="44"/>
      <c r="G1053" s="44"/>
      <c r="H1053" s="44"/>
      <c r="I1053" s="10">
        <f>ROUNDDOWN(H1068,0)</f>
        <v>253940</v>
      </c>
      <c r="J1053" s="15"/>
      <c r="K1053" s="39"/>
    </row>
    <row r="1054" spans="3:11" ht="27.6" x14ac:dyDescent="0.3">
      <c r="C1054" s="11" t="s">
        <v>9</v>
      </c>
      <c r="D1054" s="11" t="s">
        <v>10</v>
      </c>
      <c r="E1054" s="11" t="s">
        <v>11</v>
      </c>
      <c r="F1054" s="11" t="s">
        <v>12</v>
      </c>
      <c r="G1054" s="11" t="s">
        <v>13</v>
      </c>
      <c r="H1054" s="11" t="s">
        <v>14</v>
      </c>
      <c r="J1054" s="15"/>
      <c r="K1054" s="39"/>
    </row>
    <row r="1055" spans="3:11" x14ac:dyDescent="0.25">
      <c r="C1055" s="12" t="s">
        <v>15</v>
      </c>
      <c r="D1055" s="13" t="s">
        <v>16</v>
      </c>
      <c r="E1055" s="14"/>
      <c r="F1055" s="14"/>
      <c r="G1055" s="14"/>
      <c r="H1055" s="14"/>
      <c r="J1055" s="15"/>
      <c r="K1055" s="39"/>
    </row>
    <row r="1056" spans="3:11" x14ac:dyDescent="0.3">
      <c r="C1056" s="16">
        <v>1</v>
      </c>
      <c r="D1056" s="13" t="s">
        <v>18</v>
      </c>
      <c r="E1056" s="17" t="s">
        <v>19</v>
      </c>
      <c r="F1056" s="18">
        <v>0.06</v>
      </c>
      <c r="G1056" s="19">
        <f>VLOOKUP(D1056,upahbahan,3,FALSE)</f>
        <v>100000</v>
      </c>
      <c r="H1056" s="19">
        <f t="shared" ref="H1056:H1059" si="107">F1056*G1056</f>
        <v>6000</v>
      </c>
      <c r="J1056" s="15"/>
      <c r="K1056" s="39"/>
    </row>
    <row r="1057" spans="3:11" x14ac:dyDescent="0.3">
      <c r="C1057" s="16">
        <v>2</v>
      </c>
      <c r="D1057" s="13" t="s">
        <v>214</v>
      </c>
      <c r="E1057" s="17" t="s">
        <v>19</v>
      </c>
      <c r="F1057" s="18">
        <v>9.9000000000000005E-2</v>
      </c>
      <c r="G1057" s="19">
        <f>VLOOKUP(D1057,upahbahan,3,FALSE)</f>
        <v>145000</v>
      </c>
      <c r="H1057" s="19">
        <f t="shared" si="107"/>
        <v>14355</v>
      </c>
      <c r="J1057" s="15"/>
      <c r="K1057" s="39"/>
    </row>
    <row r="1058" spans="3:11" x14ac:dyDescent="0.3">
      <c r="C1058" s="16">
        <v>3</v>
      </c>
      <c r="D1058" s="13" t="s">
        <v>22</v>
      </c>
      <c r="E1058" s="17" t="s">
        <v>19</v>
      </c>
      <c r="F1058" s="18">
        <v>0.01</v>
      </c>
      <c r="G1058" s="19">
        <f>VLOOKUP(D1058,upahbahan,3,FALSE)</f>
        <v>175000</v>
      </c>
      <c r="H1058" s="19">
        <f t="shared" si="107"/>
        <v>1750</v>
      </c>
      <c r="J1058" s="15"/>
      <c r="K1058" s="39"/>
    </row>
    <row r="1059" spans="3:11" x14ac:dyDescent="0.3">
      <c r="C1059" s="16">
        <v>4</v>
      </c>
      <c r="D1059" s="13" t="s">
        <v>23</v>
      </c>
      <c r="E1059" s="17" t="s">
        <v>19</v>
      </c>
      <c r="F1059" s="18">
        <v>3.0000000000000001E-3</v>
      </c>
      <c r="G1059" s="19">
        <f>VLOOKUP(D1059,upahbahan,3,FALSE)</f>
        <v>200000</v>
      </c>
      <c r="H1059" s="19">
        <f t="shared" si="107"/>
        <v>600</v>
      </c>
      <c r="J1059" s="15"/>
      <c r="K1059" s="39"/>
    </row>
    <row r="1060" spans="3:11" x14ac:dyDescent="0.3">
      <c r="C1060" s="21" t="s">
        <v>24</v>
      </c>
      <c r="D1060" s="22"/>
      <c r="E1060" s="22"/>
      <c r="F1060" s="54"/>
      <c r="G1060" s="24"/>
      <c r="H1060" s="19">
        <f>SUM(H1056:H1059)</f>
        <v>22705</v>
      </c>
      <c r="I1060" s="25"/>
      <c r="J1060" s="15"/>
      <c r="K1060" s="39"/>
    </row>
    <row r="1061" spans="3:11" x14ac:dyDescent="0.25">
      <c r="C1061" s="12" t="s">
        <v>25</v>
      </c>
      <c r="D1061" s="13" t="s">
        <v>26</v>
      </c>
      <c r="E1061" s="14"/>
      <c r="F1061" s="55"/>
      <c r="G1061" s="14"/>
      <c r="H1061" s="14"/>
      <c r="J1061" s="15"/>
      <c r="K1061" s="39"/>
    </row>
    <row r="1062" spans="3:11" x14ac:dyDescent="0.3">
      <c r="C1062" s="63" t="s">
        <v>202</v>
      </c>
      <c r="D1062" s="26" t="s">
        <v>226</v>
      </c>
      <c r="E1062" s="27" t="s">
        <v>28</v>
      </c>
      <c r="F1062" s="18">
        <v>1.1499999999999999</v>
      </c>
      <c r="G1062" s="19">
        <f>VLOOKUP(D1062,upahbahan,3,FALSE)</f>
        <v>181000</v>
      </c>
      <c r="H1062" s="19">
        <f>F1062*G1062</f>
        <v>208149.99999999997</v>
      </c>
      <c r="J1062" s="15"/>
      <c r="K1062" s="39"/>
    </row>
    <row r="1063" spans="3:11" x14ac:dyDescent="0.3">
      <c r="C1063" s="21" t="s">
        <v>29</v>
      </c>
      <c r="D1063" s="22"/>
      <c r="E1063" s="22"/>
      <c r="F1063" s="22"/>
      <c r="G1063" s="28"/>
      <c r="H1063" s="19">
        <f>SUM(H1062:H1062)</f>
        <v>208149.99999999997</v>
      </c>
      <c r="J1063" s="15"/>
      <c r="K1063" s="39"/>
    </row>
    <row r="1064" spans="3:11" x14ac:dyDescent="0.25">
      <c r="C1064" s="12" t="s">
        <v>30</v>
      </c>
      <c r="D1064" s="13" t="s">
        <v>31</v>
      </c>
      <c r="E1064" s="14"/>
      <c r="F1064" s="14"/>
      <c r="G1064" s="14"/>
      <c r="H1064" s="14"/>
      <c r="J1064" s="15"/>
      <c r="K1064" s="39"/>
    </row>
    <row r="1065" spans="3:11" x14ac:dyDescent="0.3">
      <c r="C1065" s="21" t="s">
        <v>32</v>
      </c>
      <c r="D1065" s="22"/>
      <c r="E1065" s="22"/>
      <c r="F1065" s="22"/>
      <c r="G1065" s="28"/>
      <c r="H1065" s="29">
        <v>0</v>
      </c>
      <c r="J1065" s="15"/>
      <c r="K1065" s="39"/>
    </row>
    <row r="1066" spans="3:11" x14ac:dyDescent="0.3">
      <c r="C1066" s="30" t="s">
        <v>33</v>
      </c>
      <c r="D1066" s="31" t="s">
        <v>34</v>
      </c>
      <c r="E1066" s="32"/>
      <c r="F1066" s="32"/>
      <c r="G1066" s="33"/>
      <c r="H1066" s="46">
        <f>H1065+H1063+H1060</f>
        <v>230854.99999999997</v>
      </c>
      <c r="I1066" s="47"/>
      <c r="J1066" s="15"/>
      <c r="K1066" s="39"/>
    </row>
    <row r="1067" spans="3:11" x14ac:dyDescent="0.3">
      <c r="C1067" s="30" t="s">
        <v>35</v>
      </c>
      <c r="D1067" s="31" t="s">
        <v>36</v>
      </c>
      <c r="E1067" s="32"/>
      <c r="F1067" s="33"/>
      <c r="G1067" s="34">
        <f>$M$9</f>
        <v>0.1</v>
      </c>
      <c r="H1067" s="19">
        <f>H1066*G1067</f>
        <v>23085.5</v>
      </c>
      <c r="I1067" s="47"/>
      <c r="J1067" s="15"/>
      <c r="K1067" s="39"/>
    </row>
    <row r="1068" spans="3:11" x14ac:dyDescent="0.3">
      <c r="C1068" s="30" t="s">
        <v>37</v>
      </c>
      <c r="D1068" s="31" t="s">
        <v>38</v>
      </c>
      <c r="E1068" s="32"/>
      <c r="F1068" s="32"/>
      <c r="G1068" s="33"/>
      <c r="H1068" s="48">
        <f>SUM(H1066:H1067)</f>
        <v>253940.49999999997</v>
      </c>
      <c r="I1068" s="47"/>
      <c r="J1068" s="15"/>
      <c r="K1068" s="39"/>
    </row>
    <row r="1069" spans="3:11" x14ac:dyDescent="0.3">
      <c r="C1069" s="50"/>
      <c r="D1069" s="64"/>
      <c r="E1069" s="64"/>
      <c r="F1069" s="64"/>
      <c r="G1069" s="64"/>
      <c r="H1069" s="65"/>
      <c r="J1069" s="15"/>
      <c r="K1069" s="39"/>
    </row>
    <row r="1070" spans="3:11" x14ac:dyDescent="0.3">
      <c r="C1070" s="1" t="s">
        <v>227</v>
      </c>
      <c r="D1070" s="66" t="s">
        <v>228</v>
      </c>
      <c r="E1070" s="64"/>
      <c r="F1070" s="64"/>
      <c r="G1070" s="64"/>
      <c r="H1070" s="65"/>
      <c r="J1070" s="15"/>
      <c r="K1070" s="39"/>
    </row>
    <row r="1071" spans="3:11" x14ac:dyDescent="0.3">
      <c r="C1071" s="40" t="s">
        <v>229</v>
      </c>
      <c r="D1071" s="8" t="s">
        <v>230</v>
      </c>
      <c r="E1071" s="44"/>
      <c r="F1071" s="44"/>
      <c r="G1071" s="44"/>
      <c r="H1071" s="44"/>
      <c r="I1071" s="10">
        <f>ROUNDDOWN(H1086,0)</f>
        <v>21731</v>
      </c>
      <c r="J1071" s="15"/>
      <c r="K1071" s="39"/>
    </row>
    <row r="1072" spans="3:11" ht="27.6" x14ac:dyDescent="0.3">
      <c r="C1072" s="11" t="s">
        <v>9</v>
      </c>
      <c r="D1072" s="11" t="s">
        <v>10</v>
      </c>
      <c r="E1072" s="11" t="s">
        <v>11</v>
      </c>
      <c r="F1072" s="11" t="s">
        <v>12</v>
      </c>
      <c r="G1072" s="11" t="s">
        <v>13</v>
      </c>
      <c r="H1072" s="11" t="s">
        <v>14</v>
      </c>
      <c r="J1072" s="15"/>
      <c r="K1072" s="39"/>
    </row>
    <row r="1073" spans="3:11" x14ac:dyDescent="0.25">
      <c r="C1073" s="12" t="s">
        <v>15</v>
      </c>
      <c r="D1073" s="13" t="s">
        <v>16</v>
      </c>
      <c r="E1073" s="14"/>
      <c r="F1073" s="14"/>
      <c r="G1073" s="14"/>
      <c r="H1073" s="14"/>
      <c r="J1073" s="15"/>
      <c r="K1073" s="39"/>
    </row>
    <row r="1074" spans="3:11" x14ac:dyDescent="0.3">
      <c r="C1074" s="16">
        <v>1</v>
      </c>
      <c r="D1074" s="13" t="s">
        <v>18</v>
      </c>
      <c r="E1074" s="17" t="s">
        <v>19</v>
      </c>
      <c r="F1074" s="18">
        <v>2.4E-2</v>
      </c>
      <c r="G1074" s="19">
        <f>VLOOKUP(D1074,upahbahan,3,FALSE)</f>
        <v>100000</v>
      </c>
      <c r="H1074" s="19">
        <f t="shared" ref="H1074:H1077" si="108">F1074*G1074</f>
        <v>2400</v>
      </c>
      <c r="J1074" s="15"/>
      <c r="K1074" s="39"/>
    </row>
    <row r="1075" spans="3:11" x14ac:dyDescent="0.3">
      <c r="C1075" s="16">
        <v>2</v>
      </c>
      <c r="D1075" s="13" t="str">
        <f>D947</f>
        <v>Tukang listrik</v>
      </c>
      <c r="E1075" s="17" t="s">
        <v>19</v>
      </c>
      <c r="F1075" s="18">
        <v>0.04</v>
      </c>
      <c r="G1075" s="19">
        <f>VLOOKUP(D1075,upahbahan,3,FALSE)</f>
        <v>145000</v>
      </c>
      <c r="H1075" s="19">
        <f t="shared" si="108"/>
        <v>5800</v>
      </c>
      <c r="J1075" s="15"/>
      <c r="K1075" s="39"/>
    </row>
    <row r="1076" spans="3:11" x14ac:dyDescent="0.3">
      <c r="C1076" s="16">
        <v>3</v>
      </c>
      <c r="D1076" s="13" t="s">
        <v>22</v>
      </c>
      <c r="E1076" s="17" t="s">
        <v>19</v>
      </c>
      <c r="F1076" s="18">
        <v>4.0000000000000001E-3</v>
      </c>
      <c r="G1076" s="19">
        <f>VLOOKUP(D1076,upahbahan,3,FALSE)</f>
        <v>175000</v>
      </c>
      <c r="H1076" s="19">
        <f t="shared" si="108"/>
        <v>700</v>
      </c>
      <c r="J1076" s="15"/>
      <c r="K1076" s="39"/>
    </row>
    <row r="1077" spans="3:11" x14ac:dyDescent="0.3">
      <c r="C1077" s="16">
        <v>4</v>
      </c>
      <c r="D1077" s="13" t="s">
        <v>23</v>
      </c>
      <c r="E1077" s="17" t="s">
        <v>19</v>
      </c>
      <c r="F1077" s="18">
        <v>1E-3</v>
      </c>
      <c r="G1077" s="19">
        <f>VLOOKUP(D1077,upahbahan,3,FALSE)</f>
        <v>200000</v>
      </c>
      <c r="H1077" s="19">
        <f t="shared" si="108"/>
        <v>200</v>
      </c>
      <c r="J1077" s="15"/>
      <c r="K1077" s="39"/>
    </row>
    <row r="1078" spans="3:11" x14ac:dyDescent="0.3">
      <c r="C1078" s="21" t="s">
        <v>24</v>
      </c>
      <c r="D1078" s="22"/>
      <c r="E1078" s="22"/>
      <c r="F1078" s="54"/>
      <c r="G1078" s="24"/>
      <c r="H1078" s="19">
        <f>SUM(H1074:H1077)</f>
        <v>9100</v>
      </c>
      <c r="I1078" s="25"/>
      <c r="J1078" s="15"/>
      <c r="K1078" s="39"/>
    </row>
    <row r="1079" spans="3:11" x14ac:dyDescent="0.25">
      <c r="C1079" s="12" t="s">
        <v>25</v>
      </c>
      <c r="D1079" s="13" t="s">
        <v>26</v>
      </c>
      <c r="E1079" s="14"/>
      <c r="F1079" s="55"/>
      <c r="G1079" s="14"/>
      <c r="H1079" s="14"/>
      <c r="J1079" s="15"/>
      <c r="K1079" s="39"/>
    </row>
    <row r="1080" spans="3:11" x14ac:dyDescent="0.3">
      <c r="C1080" s="63" t="s">
        <v>202</v>
      </c>
      <c r="D1080" s="26" t="s">
        <v>231</v>
      </c>
      <c r="E1080" s="27" t="s">
        <v>28</v>
      </c>
      <c r="F1080" s="18">
        <v>1.2</v>
      </c>
      <c r="G1080" s="19">
        <f>VLOOKUP(D1080,upahbahan,3,FALSE)</f>
        <v>8880</v>
      </c>
      <c r="H1080" s="19">
        <f t="shared" ref="H1080" si="109">F1080*G1080</f>
        <v>10656</v>
      </c>
      <c r="J1080" s="15"/>
      <c r="K1080" s="39"/>
    </row>
    <row r="1081" spans="3:11" x14ac:dyDescent="0.3">
      <c r="C1081" s="21" t="s">
        <v>29</v>
      </c>
      <c r="D1081" s="22"/>
      <c r="E1081" s="22"/>
      <c r="F1081" s="22"/>
      <c r="G1081" s="28"/>
      <c r="H1081" s="19">
        <f>SUM(H1080:H1080)</f>
        <v>10656</v>
      </c>
      <c r="J1081" s="15"/>
      <c r="K1081" s="39"/>
    </row>
    <row r="1082" spans="3:11" x14ac:dyDescent="0.25">
      <c r="C1082" s="12" t="s">
        <v>30</v>
      </c>
      <c r="D1082" s="13" t="s">
        <v>31</v>
      </c>
      <c r="E1082" s="14"/>
      <c r="F1082" s="14"/>
      <c r="G1082" s="14"/>
      <c r="H1082" s="14"/>
      <c r="J1082" s="15"/>
      <c r="K1082" s="39"/>
    </row>
    <row r="1083" spans="3:11" x14ac:dyDescent="0.3">
      <c r="C1083" s="21" t="s">
        <v>32</v>
      </c>
      <c r="D1083" s="22"/>
      <c r="E1083" s="22"/>
      <c r="F1083" s="22"/>
      <c r="G1083" s="28"/>
      <c r="H1083" s="29">
        <v>0</v>
      </c>
      <c r="J1083" s="15"/>
      <c r="K1083" s="39"/>
    </row>
    <row r="1084" spans="3:11" x14ac:dyDescent="0.3">
      <c r="C1084" s="30" t="s">
        <v>33</v>
      </c>
      <c r="D1084" s="31" t="s">
        <v>34</v>
      </c>
      <c r="E1084" s="32"/>
      <c r="F1084" s="32"/>
      <c r="G1084" s="33"/>
      <c r="H1084" s="46">
        <f>H1083+H1081+H1078</f>
        <v>19756</v>
      </c>
      <c r="I1084" s="47"/>
      <c r="J1084" s="15"/>
      <c r="K1084" s="39"/>
    </row>
    <row r="1085" spans="3:11" x14ac:dyDescent="0.3">
      <c r="C1085" s="30" t="s">
        <v>35</v>
      </c>
      <c r="D1085" s="31" t="s">
        <v>36</v>
      </c>
      <c r="E1085" s="32"/>
      <c r="F1085" s="33"/>
      <c r="G1085" s="34">
        <f>$M$9</f>
        <v>0.1</v>
      </c>
      <c r="H1085" s="19">
        <f>H1084*G1085</f>
        <v>1975.6000000000001</v>
      </c>
      <c r="I1085" s="47"/>
      <c r="J1085" s="15"/>
      <c r="K1085" s="39"/>
    </row>
    <row r="1086" spans="3:11" x14ac:dyDescent="0.3">
      <c r="C1086" s="30" t="s">
        <v>37</v>
      </c>
      <c r="D1086" s="31" t="s">
        <v>38</v>
      </c>
      <c r="E1086" s="32"/>
      <c r="F1086" s="32"/>
      <c r="G1086" s="33"/>
      <c r="H1086" s="48">
        <f>SUM(H1084:H1085)</f>
        <v>21731.599999999999</v>
      </c>
      <c r="I1086" s="47"/>
      <c r="J1086" s="15"/>
      <c r="K1086" s="39"/>
    </row>
    <row r="1087" spans="3:11" x14ac:dyDescent="0.3">
      <c r="J1087" s="15"/>
      <c r="K1087" s="39"/>
    </row>
    <row r="1088" spans="3:11" x14ac:dyDescent="0.3">
      <c r="C1088" s="40" t="s">
        <v>232</v>
      </c>
      <c r="D1088" s="8" t="s">
        <v>233</v>
      </c>
      <c r="E1088" s="44"/>
      <c r="F1088" s="44"/>
      <c r="G1088" s="44"/>
      <c r="H1088" s="44"/>
      <c r="I1088" s="10">
        <f>ROUNDDOWN(H1103,0)</f>
        <v>27500</v>
      </c>
      <c r="J1088" s="15"/>
      <c r="K1088" s="39"/>
    </row>
    <row r="1089" spans="3:11" ht="27.6" x14ac:dyDescent="0.3">
      <c r="C1089" s="11" t="s">
        <v>9</v>
      </c>
      <c r="D1089" s="11" t="s">
        <v>10</v>
      </c>
      <c r="E1089" s="11" t="s">
        <v>11</v>
      </c>
      <c r="F1089" s="11" t="s">
        <v>12</v>
      </c>
      <c r="G1089" s="11" t="s">
        <v>13</v>
      </c>
      <c r="H1089" s="11" t="s">
        <v>14</v>
      </c>
      <c r="J1089" s="15"/>
      <c r="K1089" s="39"/>
    </row>
    <row r="1090" spans="3:11" x14ac:dyDescent="0.25">
      <c r="C1090" s="12" t="s">
        <v>15</v>
      </c>
      <c r="D1090" s="13" t="s">
        <v>16</v>
      </c>
      <c r="E1090" s="14"/>
      <c r="F1090" s="14"/>
      <c r="G1090" s="14"/>
      <c r="H1090" s="14"/>
      <c r="J1090" s="15"/>
      <c r="K1090" s="39"/>
    </row>
    <row r="1091" spans="3:11" x14ac:dyDescent="0.3">
      <c r="C1091" s="16">
        <v>1</v>
      </c>
      <c r="D1091" s="13" t="s">
        <v>18</v>
      </c>
      <c r="E1091" s="17" t="s">
        <v>19</v>
      </c>
      <c r="F1091" s="18">
        <v>2.4E-2</v>
      </c>
      <c r="G1091" s="19">
        <f>VLOOKUP(D1091,upahbahan,3,FALSE)</f>
        <v>100000</v>
      </c>
      <c r="H1091" s="19">
        <f t="shared" ref="H1091:H1094" si="110">F1091*G1091</f>
        <v>2400</v>
      </c>
      <c r="J1091" s="15"/>
      <c r="K1091" s="39"/>
    </row>
    <row r="1092" spans="3:11" x14ac:dyDescent="0.3">
      <c r="C1092" s="16">
        <v>2</v>
      </c>
      <c r="D1092" s="13" t="str">
        <f>D1075</f>
        <v>Tukang listrik</v>
      </c>
      <c r="E1092" s="17" t="s">
        <v>19</v>
      </c>
      <c r="F1092" s="18">
        <v>0.04</v>
      </c>
      <c r="G1092" s="19">
        <f>VLOOKUP(D1092,upahbahan,3,FALSE)</f>
        <v>145000</v>
      </c>
      <c r="H1092" s="19">
        <f t="shared" si="110"/>
        <v>5800</v>
      </c>
      <c r="J1092" s="15"/>
      <c r="K1092" s="39"/>
    </row>
    <row r="1093" spans="3:11" x14ac:dyDescent="0.3">
      <c r="C1093" s="16">
        <v>3</v>
      </c>
      <c r="D1093" s="13" t="s">
        <v>22</v>
      </c>
      <c r="E1093" s="17" t="s">
        <v>19</v>
      </c>
      <c r="F1093" s="18">
        <v>4.0000000000000001E-3</v>
      </c>
      <c r="G1093" s="19">
        <f>VLOOKUP(D1093,upahbahan,3,FALSE)</f>
        <v>175000</v>
      </c>
      <c r="H1093" s="19">
        <f t="shared" si="110"/>
        <v>700</v>
      </c>
      <c r="J1093" s="15"/>
      <c r="K1093" s="39"/>
    </row>
    <row r="1094" spans="3:11" x14ac:dyDescent="0.3">
      <c r="C1094" s="16">
        <v>4</v>
      </c>
      <c r="D1094" s="13" t="s">
        <v>23</v>
      </c>
      <c r="E1094" s="17" t="s">
        <v>19</v>
      </c>
      <c r="F1094" s="18">
        <v>1E-3</v>
      </c>
      <c r="G1094" s="19">
        <f>VLOOKUP(D1094,upahbahan,3,FALSE)</f>
        <v>200000</v>
      </c>
      <c r="H1094" s="19">
        <f t="shared" si="110"/>
        <v>200</v>
      </c>
      <c r="J1094" s="15"/>
      <c r="K1094" s="39"/>
    </row>
    <row r="1095" spans="3:11" x14ac:dyDescent="0.3">
      <c r="C1095" s="21" t="s">
        <v>24</v>
      </c>
      <c r="D1095" s="22"/>
      <c r="E1095" s="22"/>
      <c r="F1095" s="54"/>
      <c r="G1095" s="24"/>
      <c r="H1095" s="19">
        <f>SUM(H1091:H1094)</f>
        <v>9100</v>
      </c>
      <c r="I1095" s="25"/>
      <c r="J1095" s="15"/>
      <c r="K1095" s="39"/>
    </row>
    <row r="1096" spans="3:11" x14ac:dyDescent="0.25">
      <c r="C1096" s="12" t="s">
        <v>25</v>
      </c>
      <c r="D1096" s="13" t="s">
        <v>26</v>
      </c>
      <c r="E1096" s="14"/>
      <c r="F1096" s="55"/>
      <c r="G1096" s="14"/>
      <c r="H1096" s="14"/>
      <c r="J1096" s="15"/>
      <c r="K1096" s="39"/>
    </row>
    <row r="1097" spans="3:11" x14ac:dyDescent="0.3">
      <c r="C1097" s="63" t="s">
        <v>202</v>
      </c>
      <c r="D1097" s="26" t="s">
        <v>234</v>
      </c>
      <c r="E1097" s="27" t="s">
        <v>28</v>
      </c>
      <c r="F1097" s="18">
        <v>1.2</v>
      </c>
      <c r="G1097" s="19">
        <f>VLOOKUP(D1097,upahbahan,3,FALSE)</f>
        <v>13250</v>
      </c>
      <c r="H1097" s="19">
        <f t="shared" ref="H1097" si="111">F1097*G1097</f>
        <v>15900</v>
      </c>
      <c r="J1097" s="15"/>
      <c r="K1097" s="39"/>
    </row>
    <row r="1098" spans="3:11" x14ac:dyDescent="0.3">
      <c r="C1098" s="21" t="s">
        <v>29</v>
      </c>
      <c r="D1098" s="22"/>
      <c r="E1098" s="22"/>
      <c r="F1098" s="22"/>
      <c r="G1098" s="28"/>
      <c r="H1098" s="19">
        <f>SUM(H1097:H1097)</f>
        <v>15900</v>
      </c>
      <c r="J1098" s="15"/>
      <c r="K1098" s="39"/>
    </row>
    <row r="1099" spans="3:11" x14ac:dyDescent="0.25">
      <c r="C1099" s="12" t="s">
        <v>30</v>
      </c>
      <c r="D1099" s="13" t="s">
        <v>31</v>
      </c>
      <c r="E1099" s="14"/>
      <c r="F1099" s="14"/>
      <c r="G1099" s="14"/>
      <c r="H1099" s="14"/>
      <c r="J1099" s="15"/>
      <c r="K1099" s="39"/>
    </row>
    <row r="1100" spans="3:11" x14ac:dyDescent="0.3">
      <c r="C1100" s="21" t="s">
        <v>32</v>
      </c>
      <c r="D1100" s="22"/>
      <c r="E1100" s="22"/>
      <c r="F1100" s="22"/>
      <c r="G1100" s="28"/>
      <c r="H1100" s="29">
        <v>0</v>
      </c>
      <c r="J1100" s="15"/>
      <c r="K1100" s="39"/>
    </row>
    <row r="1101" spans="3:11" x14ac:dyDescent="0.3">
      <c r="C1101" s="30" t="s">
        <v>33</v>
      </c>
      <c r="D1101" s="31" t="s">
        <v>34</v>
      </c>
      <c r="E1101" s="32"/>
      <c r="F1101" s="32"/>
      <c r="G1101" s="33"/>
      <c r="H1101" s="46">
        <f>H1100+H1098+H1095</f>
        <v>25000</v>
      </c>
      <c r="I1101" s="47"/>
      <c r="J1101" s="15"/>
      <c r="K1101" s="39"/>
    </row>
    <row r="1102" spans="3:11" x14ac:dyDescent="0.3">
      <c r="C1102" s="30" t="s">
        <v>35</v>
      </c>
      <c r="D1102" s="31" t="s">
        <v>36</v>
      </c>
      <c r="E1102" s="32"/>
      <c r="F1102" s="33"/>
      <c r="G1102" s="34">
        <f>$M$9</f>
        <v>0.1</v>
      </c>
      <c r="H1102" s="19">
        <f>H1101*G1102</f>
        <v>2500</v>
      </c>
      <c r="I1102" s="47"/>
      <c r="J1102" s="15"/>
      <c r="K1102" s="39"/>
    </row>
    <row r="1103" spans="3:11" x14ac:dyDescent="0.3">
      <c r="C1103" s="30" t="s">
        <v>37</v>
      </c>
      <c r="D1103" s="31" t="s">
        <v>38</v>
      </c>
      <c r="E1103" s="32"/>
      <c r="F1103" s="32"/>
      <c r="G1103" s="33"/>
      <c r="H1103" s="48">
        <f>SUM(H1101:H1102)</f>
        <v>27500</v>
      </c>
      <c r="I1103" s="47"/>
      <c r="J1103" s="15"/>
      <c r="K1103" s="39"/>
    </row>
    <row r="1104" spans="3:11" x14ac:dyDescent="0.3">
      <c r="J1104" s="15"/>
      <c r="K1104" s="39"/>
    </row>
    <row r="1105" spans="3:11" x14ac:dyDescent="0.3">
      <c r="C1105" s="40" t="s">
        <v>235</v>
      </c>
      <c r="D1105" s="8" t="s">
        <v>236</v>
      </c>
      <c r="E1105" s="44"/>
      <c r="F1105" s="44"/>
      <c r="G1105" s="44"/>
      <c r="H1105" s="44"/>
      <c r="I1105" s="10">
        <f>ROUNDDOWN(H1120,0)</f>
        <v>36344</v>
      </c>
      <c r="J1105" s="15"/>
      <c r="K1105" s="39"/>
    </row>
    <row r="1106" spans="3:11" ht="27.6" x14ac:dyDescent="0.3">
      <c r="C1106" s="11" t="s">
        <v>9</v>
      </c>
      <c r="D1106" s="11" t="s">
        <v>10</v>
      </c>
      <c r="E1106" s="11" t="s">
        <v>11</v>
      </c>
      <c r="F1106" s="11" t="s">
        <v>12</v>
      </c>
      <c r="G1106" s="11" t="s">
        <v>13</v>
      </c>
      <c r="H1106" s="11" t="s">
        <v>14</v>
      </c>
      <c r="J1106" s="15"/>
      <c r="K1106" s="39"/>
    </row>
    <row r="1107" spans="3:11" x14ac:dyDescent="0.25">
      <c r="C1107" s="12" t="s">
        <v>15</v>
      </c>
      <c r="D1107" s="13" t="s">
        <v>16</v>
      </c>
      <c r="E1107" s="14"/>
      <c r="F1107" s="14"/>
      <c r="G1107" s="14"/>
      <c r="H1107" s="14"/>
      <c r="J1107" s="15"/>
      <c r="K1107" s="39"/>
    </row>
    <row r="1108" spans="3:11" x14ac:dyDescent="0.3">
      <c r="C1108" s="16">
        <v>1</v>
      </c>
      <c r="D1108" s="13" t="s">
        <v>18</v>
      </c>
      <c r="E1108" s="17" t="s">
        <v>19</v>
      </c>
      <c r="F1108" s="18">
        <v>2.4E-2</v>
      </c>
      <c r="G1108" s="19">
        <f>VLOOKUP(D1108,upahbahan,3,FALSE)</f>
        <v>100000</v>
      </c>
      <c r="H1108" s="19">
        <f t="shared" ref="H1108:H1111" si="112">F1108*G1108</f>
        <v>2400</v>
      </c>
      <c r="J1108" s="15"/>
      <c r="K1108" s="39"/>
    </row>
    <row r="1109" spans="3:11" x14ac:dyDescent="0.3">
      <c r="C1109" s="16">
        <v>2</v>
      </c>
      <c r="D1109" s="13" t="str">
        <f>D1092</f>
        <v>Tukang listrik</v>
      </c>
      <c r="E1109" s="17" t="s">
        <v>19</v>
      </c>
      <c r="F1109" s="18">
        <v>0.04</v>
      </c>
      <c r="G1109" s="19">
        <f>VLOOKUP(D1109,upahbahan,3,FALSE)</f>
        <v>145000</v>
      </c>
      <c r="H1109" s="19">
        <f t="shared" si="112"/>
        <v>5800</v>
      </c>
      <c r="J1109" s="15"/>
      <c r="K1109" s="39"/>
    </row>
    <row r="1110" spans="3:11" x14ac:dyDescent="0.3">
      <c r="C1110" s="16">
        <v>3</v>
      </c>
      <c r="D1110" s="13" t="s">
        <v>22</v>
      </c>
      <c r="E1110" s="17" t="s">
        <v>19</v>
      </c>
      <c r="F1110" s="18">
        <v>4.0000000000000001E-3</v>
      </c>
      <c r="G1110" s="19">
        <f>VLOOKUP(D1110,upahbahan,3,FALSE)</f>
        <v>175000</v>
      </c>
      <c r="H1110" s="19">
        <f t="shared" si="112"/>
        <v>700</v>
      </c>
      <c r="J1110" s="15"/>
      <c r="K1110" s="39"/>
    </row>
    <row r="1111" spans="3:11" x14ac:dyDescent="0.3">
      <c r="C1111" s="16">
        <v>4</v>
      </c>
      <c r="D1111" s="13" t="s">
        <v>23</v>
      </c>
      <c r="E1111" s="17" t="s">
        <v>19</v>
      </c>
      <c r="F1111" s="18">
        <v>1E-3</v>
      </c>
      <c r="G1111" s="19">
        <f>VLOOKUP(D1111,upahbahan,3,FALSE)</f>
        <v>200000</v>
      </c>
      <c r="H1111" s="19">
        <f t="shared" si="112"/>
        <v>200</v>
      </c>
      <c r="J1111" s="15"/>
      <c r="K1111" s="39"/>
    </row>
    <row r="1112" spans="3:11" x14ac:dyDescent="0.3">
      <c r="C1112" s="21" t="s">
        <v>24</v>
      </c>
      <c r="D1112" s="22"/>
      <c r="E1112" s="22"/>
      <c r="F1112" s="54"/>
      <c r="G1112" s="24"/>
      <c r="H1112" s="19">
        <f>SUM(H1108:H1111)</f>
        <v>9100</v>
      </c>
      <c r="I1112" s="25"/>
      <c r="J1112" s="15"/>
      <c r="K1112" s="39"/>
    </row>
    <row r="1113" spans="3:11" x14ac:dyDescent="0.25">
      <c r="C1113" s="12" t="s">
        <v>25</v>
      </c>
      <c r="D1113" s="13" t="s">
        <v>26</v>
      </c>
      <c r="E1113" s="14"/>
      <c r="F1113" s="55"/>
      <c r="G1113" s="14"/>
      <c r="H1113" s="14"/>
      <c r="J1113" s="15"/>
      <c r="K1113" s="39"/>
    </row>
    <row r="1114" spans="3:11" x14ac:dyDescent="0.3">
      <c r="C1114" s="63" t="s">
        <v>202</v>
      </c>
      <c r="D1114" s="26" t="s">
        <v>237</v>
      </c>
      <c r="E1114" s="27" t="s">
        <v>28</v>
      </c>
      <c r="F1114" s="18">
        <v>1.2</v>
      </c>
      <c r="G1114" s="19">
        <f>VLOOKUP(D1114,upahbahan,3,FALSE)</f>
        <v>19950</v>
      </c>
      <c r="H1114" s="19">
        <f>F1114*G1114</f>
        <v>23940</v>
      </c>
      <c r="J1114" s="15"/>
      <c r="K1114" s="39"/>
    </row>
    <row r="1115" spans="3:11" x14ac:dyDescent="0.3">
      <c r="C1115" s="21" t="s">
        <v>29</v>
      </c>
      <c r="D1115" s="22"/>
      <c r="E1115" s="22"/>
      <c r="F1115" s="22"/>
      <c r="G1115" s="28"/>
      <c r="H1115" s="19">
        <f>SUM(H1114:H1114)</f>
        <v>23940</v>
      </c>
      <c r="J1115" s="15"/>
      <c r="K1115" s="39"/>
    </row>
    <row r="1116" spans="3:11" x14ac:dyDescent="0.25">
      <c r="C1116" s="12" t="s">
        <v>30</v>
      </c>
      <c r="D1116" s="13" t="s">
        <v>31</v>
      </c>
      <c r="E1116" s="14"/>
      <c r="F1116" s="14"/>
      <c r="G1116" s="14"/>
      <c r="H1116" s="14"/>
      <c r="J1116" s="15"/>
      <c r="K1116" s="39"/>
    </row>
    <row r="1117" spans="3:11" x14ac:dyDescent="0.3">
      <c r="C1117" s="21" t="s">
        <v>32</v>
      </c>
      <c r="D1117" s="22"/>
      <c r="E1117" s="22"/>
      <c r="F1117" s="22"/>
      <c r="G1117" s="28"/>
      <c r="H1117" s="29">
        <v>0</v>
      </c>
      <c r="J1117" s="15"/>
      <c r="K1117" s="39"/>
    </row>
    <row r="1118" spans="3:11" x14ac:dyDescent="0.3">
      <c r="C1118" s="30" t="s">
        <v>33</v>
      </c>
      <c r="D1118" s="31" t="s">
        <v>34</v>
      </c>
      <c r="E1118" s="32"/>
      <c r="F1118" s="32"/>
      <c r="G1118" s="33"/>
      <c r="H1118" s="46">
        <f>H1117+H1115+H1112</f>
        <v>33040</v>
      </c>
      <c r="I1118" s="47"/>
      <c r="J1118" s="15"/>
      <c r="K1118" s="39"/>
    </row>
    <row r="1119" spans="3:11" x14ac:dyDescent="0.3">
      <c r="C1119" s="30" t="s">
        <v>35</v>
      </c>
      <c r="D1119" s="31" t="s">
        <v>36</v>
      </c>
      <c r="E1119" s="32"/>
      <c r="F1119" s="33"/>
      <c r="G1119" s="34">
        <f>$M$9</f>
        <v>0.1</v>
      </c>
      <c r="H1119" s="19">
        <f>H1118*G1119</f>
        <v>3304</v>
      </c>
      <c r="I1119" s="47"/>
      <c r="J1119" s="15"/>
      <c r="K1119" s="39"/>
    </row>
    <row r="1120" spans="3:11" x14ac:dyDescent="0.3">
      <c r="C1120" s="30" t="s">
        <v>37</v>
      </c>
      <c r="D1120" s="31" t="s">
        <v>38</v>
      </c>
      <c r="E1120" s="32"/>
      <c r="F1120" s="32"/>
      <c r="G1120" s="33"/>
      <c r="H1120" s="48">
        <f>SUM(H1118:H1119)</f>
        <v>36344</v>
      </c>
      <c r="I1120" s="47"/>
      <c r="J1120" s="15"/>
      <c r="K1120" s="39"/>
    </row>
    <row r="1121" spans="3:11" x14ac:dyDescent="0.3">
      <c r="J1121" s="15"/>
      <c r="K1121" s="39"/>
    </row>
    <row r="1122" spans="3:11" x14ac:dyDescent="0.3">
      <c r="C1122" s="40" t="s">
        <v>238</v>
      </c>
      <c r="D1122" s="8" t="s">
        <v>239</v>
      </c>
      <c r="E1122" s="44"/>
      <c r="F1122" s="44"/>
      <c r="G1122" s="44"/>
      <c r="H1122" s="44"/>
      <c r="I1122" s="10">
        <f>ROUNDDOWN(H1137,0)</f>
        <v>48290</v>
      </c>
      <c r="J1122" s="15"/>
      <c r="K1122" s="39"/>
    </row>
    <row r="1123" spans="3:11" ht="27.6" x14ac:dyDescent="0.3">
      <c r="C1123" s="11" t="s">
        <v>9</v>
      </c>
      <c r="D1123" s="11" t="s">
        <v>10</v>
      </c>
      <c r="E1123" s="11" t="s">
        <v>11</v>
      </c>
      <c r="F1123" s="11" t="s">
        <v>12</v>
      </c>
      <c r="G1123" s="11" t="s">
        <v>13</v>
      </c>
      <c r="H1123" s="11" t="s">
        <v>14</v>
      </c>
      <c r="J1123" s="15"/>
      <c r="K1123" s="39"/>
    </row>
    <row r="1124" spans="3:11" x14ac:dyDescent="0.25">
      <c r="C1124" s="12" t="s">
        <v>15</v>
      </c>
      <c r="D1124" s="13" t="s">
        <v>16</v>
      </c>
      <c r="E1124" s="14"/>
      <c r="F1124" s="14"/>
      <c r="G1124" s="14"/>
      <c r="H1124" s="14"/>
      <c r="J1124" s="15"/>
      <c r="K1124" s="39"/>
    </row>
    <row r="1125" spans="3:11" x14ac:dyDescent="0.3">
      <c r="C1125" s="16">
        <v>1</v>
      </c>
      <c r="D1125" s="13" t="s">
        <v>18</v>
      </c>
      <c r="E1125" s="17" t="s">
        <v>19</v>
      </c>
      <c r="F1125" s="18">
        <v>2.4E-2</v>
      </c>
      <c r="G1125" s="19">
        <f>VLOOKUP(D1125,upahbahan,3,FALSE)</f>
        <v>100000</v>
      </c>
      <c r="H1125" s="19">
        <f t="shared" ref="H1125:H1128" si="113">F1125*G1125</f>
        <v>2400</v>
      </c>
      <c r="J1125" s="15"/>
      <c r="K1125" s="39"/>
    </row>
    <row r="1126" spans="3:11" x14ac:dyDescent="0.3">
      <c r="C1126" s="16">
        <v>2</v>
      </c>
      <c r="D1126" s="13" t="str">
        <f>D1109</f>
        <v>Tukang listrik</v>
      </c>
      <c r="E1126" s="17" t="s">
        <v>19</v>
      </c>
      <c r="F1126" s="18">
        <v>0.04</v>
      </c>
      <c r="G1126" s="19">
        <f>VLOOKUP(D1126,upahbahan,3,FALSE)</f>
        <v>145000</v>
      </c>
      <c r="H1126" s="19">
        <f t="shared" si="113"/>
        <v>5800</v>
      </c>
      <c r="J1126" s="15"/>
      <c r="K1126" s="39"/>
    </row>
    <row r="1127" spans="3:11" x14ac:dyDescent="0.3">
      <c r="C1127" s="16">
        <v>3</v>
      </c>
      <c r="D1127" s="13" t="s">
        <v>22</v>
      </c>
      <c r="E1127" s="17" t="s">
        <v>19</v>
      </c>
      <c r="F1127" s="18">
        <v>4.0000000000000001E-3</v>
      </c>
      <c r="G1127" s="19">
        <f>VLOOKUP(D1127,upahbahan,3,FALSE)</f>
        <v>175000</v>
      </c>
      <c r="H1127" s="19">
        <f t="shared" si="113"/>
        <v>700</v>
      </c>
      <c r="J1127" s="15"/>
      <c r="K1127" s="39"/>
    </row>
    <row r="1128" spans="3:11" x14ac:dyDescent="0.3">
      <c r="C1128" s="16">
        <v>4</v>
      </c>
      <c r="D1128" s="13" t="s">
        <v>23</v>
      </c>
      <c r="E1128" s="17" t="s">
        <v>19</v>
      </c>
      <c r="F1128" s="18">
        <v>1E-3</v>
      </c>
      <c r="G1128" s="19">
        <f>VLOOKUP(D1128,upahbahan,3,FALSE)</f>
        <v>200000</v>
      </c>
      <c r="H1128" s="19">
        <f t="shared" si="113"/>
        <v>200</v>
      </c>
      <c r="J1128" s="15"/>
      <c r="K1128" s="39"/>
    </row>
    <row r="1129" spans="3:11" x14ac:dyDescent="0.3">
      <c r="C1129" s="21" t="s">
        <v>24</v>
      </c>
      <c r="D1129" s="22"/>
      <c r="E1129" s="22"/>
      <c r="F1129" s="54"/>
      <c r="G1129" s="24"/>
      <c r="H1129" s="19">
        <f>SUM(H1125:H1128)</f>
        <v>9100</v>
      </c>
      <c r="I1129" s="25"/>
      <c r="J1129" s="15"/>
      <c r="K1129" s="39"/>
    </row>
    <row r="1130" spans="3:11" x14ac:dyDescent="0.25">
      <c r="C1130" s="12" t="s">
        <v>25</v>
      </c>
      <c r="D1130" s="13" t="s">
        <v>26</v>
      </c>
      <c r="E1130" s="14"/>
      <c r="F1130" s="55"/>
      <c r="G1130" s="14"/>
      <c r="H1130" s="14"/>
      <c r="J1130" s="15"/>
      <c r="K1130" s="39"/>
    </row>
    <row r="1131" spans="3:11" x14ac:dyDescent="0.3">
      <c r="C1131" s="63" t="s">
        <v>202</v>
      </c>
      <c r="D1131" s="26" t="s">
        <v>240</v>
      </c>
      <c r="E1131" s="27" t="s">
        <v>28</v>
      </c>
      <c r="F1131" s="18">
        <v>1.2</v>
      </c>
      <c r="G1131" s="19">
        <f>VLOOKUP(D1131,upahbahan,3,FALSE)</f>
        <v>29000</v>
      </c>
      <c r="H1131" s="19">
        <f t="shared" ref="H1131" si="114">F1131*G1131</f>
        <v>34800</v>
      </c>
      <c r="J1131" s="15"/>
      <c r="K1131" s="39"/>
    </row>
    <row r="1132" spans="3:11" x14ac:dyDescent="0.3">
      <c r="C1132" s="21" t="s">
        <v>29</v>
      </c>
      <c r="D1132" s="22"/>
      <c r="E1132" s="22"/>
      <c r="F1132" s="22"/>
      <c r="G1132" s="28"/>
      <c r="H1132" s="19">
        <f>SUM(H1131:H1131)</f>
        <v>34800</v>
      </c>
      <c r="J1132" s="15"/>
      <c r="K1132" s="39"/>
    </row>
    <row r="1133" spans="3:11" x14ac:dyDescent="0.25">
      <c r="C1133" s="12" t="s">
        <v>30</v>
      </c>
      <c r="D1133" s="13" t="s">
        <v>31</v>
      </c>
      <c r="E1133" s="14"/>
      <c r="F1133" s="14"/>
      <c r="G1133" s="14"/>
      <c r="H1133" s="14"/>
      <c r="J1133" s="15"/>
      <c r="K1133" s="39"/>
    </row>
    <row r="1134" spans="3:11" x14ac:dyDescent="0.3">
      <c r="C1134" s="21" t="s">
        <v>32</v>
      </c>
      <c r="D1134" s="22"/>
      <c r="E1134" s="22"/>
      <c r="F1134" s="22"/>
      <c r="G1134" s="28"/>
      <c r="H1134" s="29">
        <v>0</v>
      </c>
      <c r="J1134" s="15"/>
      <c r="K1134" s="39"/>
    </row>
    <row r="1135" spans="3:11" x14ac:dyDescent="0.3">
      <c r="C1135" s="30" t="s">
        <v>33</v>
      </c>
      <c r="D1135" s="31" t="s">
        <v>34</v>
      </c>
      <c r="E1135" s="32"/>
      <c r="F1135" s="32"/>
      <c r="G1135" s="33"/>
      <c r="H1135" s="46">
        <f>H1134+H1132+H1129</f>
        <v>43900</v>
      </c>
      <c r="I1135" s="47"/>
      <c r="J1135" s="15"/>
      <c r="K1135" s="39"/>
    </row>
    <row r="1136" spans="3:11" x14ac:dyDescent="0.3">
      <c r="C1136" s="30" t="s">
        <v>35</v>
      </c>
      <c r="D1136" s="31" t="s">
        <v>36</v>
      </c>
      <c r="E1136" s="32"/>
      <c r="F1136" s="33"/>
      <c r="G1136" s="34">
        <f>$M$9</f>
        <v>0.1</v>
      </c>
      <c r="H1136" s="19">
        <f>H1135*G1136</f>
        <v>4390</v>
      </c>
      <c r="I1136" s="47"/>
      <c r="J1136" s="15"/>
      <c r="K1136" s="39"/>
    </row>
    <row r="1137" spans="3:11" x14ac:dyDescent="0.3">
      <c r="C1137" s="30" t="s">
        <v>37</v>
      </c>
      <c r="D1137" s="31" t="s">
        <v>38</v>
      </c>
      <c r="E1137" s="32"/>
      <c r="F1137" s="32"/>
      <c r="G1137" s="33"/>
      <c r="H1137" s="48">
        <f>SUM(H1135:H1136)</f>
        <v>48290</v>
      </c>
      <c r="I1137" s="47"/>
      <c r="J1137" s="15"/>
      <c r="K1137" s="39"/>
    </row>
    <row r="1138" spans="3:11" x14ac:dyDescent="0.3">
      <c r="J1138" s="15"/>
      <c r="K1138" s="39"/>
    </row>
    <row r="1139" spans="3:11" x14ac:dyDescent="0.3">
      <c r="C1139" s="40" t="s">
        <v>241</v>
      </c>
      <c r="D1139" s="8" t="s">
        <v>242</v>
      </c>
      <c r="E1139" s="44"/>
      <c r="F1139" s="44"/>
      <c r="G1139" s="44"/>
      <c r="H1139" s="44"/>
      <c r="I1139" s="10">
        <f>ROUNDDOWN(H1154,0)</f>
        <v>74690</v>
      </c>
      <c r="J1139" s="15"/>
      <c r="K1139" s="39"/>
    </row>
    <row r="1140" spans="3:11" ht="27.6" x14ac:dyDescent="0.3">
      <c r="C1140" s="11" t="s">
        <v>9</v>
      </c>
      <c r="D1140" s="11" t="s">
        <v>10</v>
      </c>
      <c r="E1140" s="11" t="s">
        <v>11</v>
      </c>
      <c r="F1140" s="11" t="s">
        <v>12</v>
      </c>
      <c r="G1140" s="11" t="s">
        <v>13</v>
      </c>
      <c r="H1140" s="11" t="s">
        <v>14</v>
      </c>
      <c r="J1140" s="15"/>
      <c r="K1140" s="39"/>
    </row>
    <row r="1141" spans="3:11" x14ac:dyDescent="0.25">
      <c r="C1141" s="12" t="s">
        <v>15</v>
      </c>
      <c r="D1141" s="13" t="s">
        <v>16</v>
      </c>
      <c r="E1141" s="14"/>
      <c r="F1141" s="14"/>
      <c r="G1141" s="14"/>
      <c r="H1141" s="14"/>
      <c r="J1141" s="15"/>
      <c r="K1141" s="39"/>
    </row>
    <row r="1142" spans="3:11" x14ac:dyDescent="0.3">
      <c r="C1142" s="16">
        <v>1</v>
      </c>
      <c r="D1142" s="13" t="s">
        <v>18</v>
      </c>
      <c r="E1142" s="17" t="s">
        <v>19</v>
      </c>
      <c r="F1142" s="18">
        <v>2.4E-2</v>
      </c>
      <c r="G1142" s="19">
        <f>VLOOKUP(D1142,upahbahan,3,FALSE)</f>
        <v>100000</v>
      </c>
      <c r="H1142" s="19">
        <f t="shared" ref="H1142:H1145" si="115">F1142*G1142</f>
        <v>2400</v>
      </c>
      <c r="J1142" s="15"/>
      <c r="K1142" s="39"/>
    </row>
    <row r="1143" spans="3:11" x14ac:dyDescent="0.3">
      <c r="C1143" s="16">
        <v>2</v>
      </c>
      <c r="D1143" s="13" t="str">
        <f>D1126</f>
        <v>Tukang listrik</v>
      </c>
      <c r="E1143" s="17" t="s">
        <v>19</v>
      </c>
      <c r="F1143" s="18">
        <v>0.04</v>
      </c>
      <c r="G1143" s="19">
        <f>VLOOKUP(D1143,upahbahan,3,FALSE)</f>
        <v>145000</v>
      </c>
      <c r="H1143" s="19">
        <f t="shared" si="115"/>
        <v>5800</v>
      </c>
      <c r="J1143" s="15"/>
      <c r="K1143" s="39"/>
    </row>
    <row r="1144" spans="3:11" x14ac:dyDescent="0.3">
      <c r="C1144" s="16">
        <v>3</v>
      </c>
      <c r="D1144" s="13" t="s">
        <v>22</v>
      </c>
      <c r="E1144" s="17" t="s">
        <v>19</v>
      </c>
      <c r="F1144" s="18">
        <v>4.0000000000000001E-3</v>
      </c>
      <c r="G1144" s="19">
        <f>VLOOKUP(D1144,upahbahan,3,FALSE)</f>
        <v>175000</v>
      </c>
      <c r="H1144" s="19">
        <f t="shared" si="115"/>
        <v>700</v>
      </c>
      <c r="J1144" s="15"/>
      <c r="K1144" s="39"/>
    </row>
    <row r="1145" spans="3:11" x14ac:dyDescent="0.3">
      <c r="C1145" s="16">
        <v>4</v>
      </c>
      <c r="D1145" s="13" t="s">
        <v>23</v>
      </c>
      <c r="E1145" s="17" t="s">
        <v>19</v>
      </c>
      <c r="F1145" s="18">
        <v>1E-3</v>
      </c>
      <c r="G1145" s="19">
        <f>VLOOKUP(D1145,upahbahan,3,FALSE)</f>
        <v>200000</v>
      </c>
      <c r="H1145" s="19">
        <f t="shared" si="115"/>
        <v>200</v>
      </c>
      <c r="J1145" s="15"/>
      <c r="K1145" s="39"/>
    </row>
    <row r="1146" spans="3:11" x14ac:dyDescent="0.3">
      <c r="C1146" s="21" t="s">
        <v>24</v>
      </c>
      <c r="D1146" s="22"/>
      <c r="E1146" s="22"/>
      <c r="F1146" s="54"/>
      <c r="G1146" s="24"/>
      <c r="H1146" s="19">
        <f>SUM(H1142:H1145)</f>
        <v>9100</v>
      </c>
      <c r="I1146" s="25"/>
      <c r="J1146" s="15"/>
      <c r="K1146" s="39"/>
    </row>
    <row r="1147" spans="3:11" x14ac:dyDescent="0.25">
      <c r="C1147" s="12" t="s">
        <v>25</v>
      </c>
      <c r="D1147" s="13" t="s">
        <v>26</v>
      </c>
      <c r="E1147" s="14"/>
      <c r="F1147" s="55"/>
      <c r="G1147" s="14"/>
      <c r="H1147" s="14"/>
      <c r="J1147" s="15"/>
      <c r="K1147" s="39"/>
    </row>
    <row r="1148" spans="3:11" x14ac:dyDescent="0.3">
      <c r="C1148" s="63" t="s">
        <v>202</v>
      </c>
      <c r="D1148" s="26" t="s">
        <v>243</v>
      </c>
      <c r="E1148" s="27" t="s">
        <v>28</v>
      </c>
      <c r="F1148" s="18">
        <v>1.2</v>
      </c>
      <c r="G1148" s="19">
        <f>VLOOKUP(D1148,upahbahan,3,FALSE)</f>
        <v>49000</v>
      </c>
      <c r="H1148" s="19">
        <f t="shared" ref="H1148" si="116">F1148*G1148</f>
        <v>58800</v>
      </c>
      <c r="J1148" s="15"/>
      <c r="K1148" s="39"/>
    </row>
    <row r="1149" spans="3:11" x14ac:dyDescent="0.3">
      <c r="C1149" s="21" t="s">
        <v>29</v>
      </c>
      <c r="D1149" s="22"/>
      <c r="E1149" s="22"/>
      <c r="F1149" s="22"/>
      <c r="G1149" s="28"/>
      <c r="H1149" s="19">
        <f>SUM(H1148:H1148)</f>
        <v>58800</v>
      </c>
      <c r="J1149" s="15"/>
      <c r="K1149" s="39"/>
    </row>
    <row r="1150" spans="3:11" x14ac:dyDescent="0.25">
      <c r="C1150" s="12" t="s">
        <v>30</v>
      </c>
      <c r="D1150" s="13" t="s">
        <v>31</v>
      </c>
      <c r="E1150" s="14"/>
      <c r="F1150" s="14"/>
      <c r="G1150" s="14"/>
      <c r="H1150" s="14"/>
      <c r="J1150" s="15"/>
      <c r="K1150" s="39"/>
    </row>
    <row r="1151" spans="3:11" x14ac:dyDescent="0.3">
      <c r="C1151" s="21" t="s">
        <v>32</v>
      </c>
      <c r="D1151" s="22"/>
      <c r="E1151" s="22"/>
      <c r="F1151" s="22"/>
      <c r="G1151" s="28"/>
      <c r="H1151" s="29">
        <v>0</v>
      </c>
      <c r="J1151" s="15"/>
      <c r="K1151" s="39"/>
    </row>
    <row r="1152" spans="3:11" x14ac:dyDescent="0.3">
      <c r="C1152" s="30" t="s">
        <v>33</v>
      </c>
      <c r="D1152" s="31" t="s">
        <v>34</v>
      </c>
      <c r="E1152" s="32"/>
      <c r="F1152" s="32"/>
      <c r="G1152" s="33"/>
      <c r="H1152" s="46">
        <f>H1151+H1149+H1146</f>
        <v>67900</v>
      </c>
      <c r="I1152" s="47"/>
      <c r="J1152" s="15"/>
      <c r="K1152" s="39"/>
    </row>
    <row r="1153" spans="3:11" x14ac:dyDescent="0.3">
      <c r="C1153" s="30" t="s">
        <v>35</v>
      </c>
      <c r="D1153" s="31" t="s">
        <v>36</v>
      </c>
      <c r="E1153" s="32"/>
      <c r="F1153" s="33"/>
      <c r="G1153" s="34">
        <f>$M$9</f>
        <v>0.1</v>
      </c>
      <c r="H1153" s="19">
        <f>H1152*G1153</f>
        <v>6790</v>
      </c>
      <c r="I1153" s="47"/>
      <c r="J1153" s="15"/>
      <c r="K1153" s="39"/>
    </row>
    <row r="1154" spans="3:11" x14ac:dyDescent="0.3">
      <c r="C1154" s="30" t="s">
        <v>37</v>
      </c>
      <c r="D1154" s="31" t="s">
        <v>38</v>
      </c>
      <c r="E1154" s="32"/>
      <c r="F1154" s="32"/>
      <c r="G1154" s="33"/>
      <c r="H1154" s="48">
        <f>SUM(H1152:H1153)</f>
        <v>74690</v>
      </c>
      <c r="I1154" s="47"/>
      <c r="J1154" s="15"/>
      <c r="K1154" s="39"/>
    </row>
    <row r="1155" spans="3:11" x14ac:dyDescent="0.3">
      <c r="J1155" s="15"/>
      <c r="K1155" s="39"/>
    </row>
    <row r="1156" spans="3:11" x14ac:dyDescent="0.3">
      <c r="C1156" s="40" t="s">
        <v>244</v>
      </c>
      <c r="D1156" s="8" t="s">
        <v>245</v>
      </c>
      <c r="E1156" s="44"/>
      <c r="F1156" s="44"/>
      <c r="G1156" s="44"/>
      <c r="H1156" s="44"/>
      <c r="I1156" s="10">
        <f>ROUNDDOWN(H1171,0)</f>
        <v>25058</v>
      </c>
      <c r="J1156" s="15"/>
      <c r="K1156" s="39"/>
    </row>
    <row r="1157" spans="3:11" ht="27.6" x14ac:dyDescent="0.3">
      <c r="C1157" s="11" t="s">
        <v>9</v>
      </c>
      <c r="D1157" s="11" t="s">
        <v>10</v>
      </c>
      <c r="E1157" s="11" t="s">
        <v>11</v>
      </c>
      <c r="F1157" s="11" t="s">
        <v>12</v>
      </c>
      <c r="G1157" s="11" t="s">
        <v>13</v>
      </c>
      <c r="H1157" s="11" t="s">
        <v>14</v>
      </c>
      <c r="J1157" s="15"/>
      <c r="K1157" s="39"/>
    </row>
    <row r="1158" spans="3:11" x14ac:dyDescent="0.25">
      <c r="C1158" s="12" t="s">
        <v>15</v>
      </c>
      <c r="D1158" s="13" t="s">
        <v>16</v>
      </c>
      <c r="E1158" s="14"/>
      <c r="F1158" s="14"/>
      <c r="G1158" s="14"/>
      <c r="H1158" s="14"/>
      <c r="J1158" s="15"/>
      <c r="K1158" s="39"/>
    </row>
    <row r="1159" spans="3:11" x14ac:dyDescent="0.3">
      <c r="C1159" s="16">
        <v>1</v>
      </c>
      <c r="D1159" s="13" t="s">
        <v>18</v>
      </c>
      <c r="E1159" s="17" t="s">
        <v>19</v>
      </c>
      <c r="F1159" s="18">
        <v>2.4E-2</v>
      </c>
      <c r="G1159" s="19">
        <f>VLOOKUP(D1159,upahbahan,3,FALSE)</f>
        <v>100000</v>
      </c>
      <c r="H1159" s="19">
        <f t="shared" ref="H1159:H1162" si="117">F1159*G1159</f>
        <v>2400</v>
      </c>
      <c r="J1159" s="15"/>
      <c r="K1159" s="39"/>
    </row>
    <row r="1160" spans="3:11" x14ac:dyDescent="0.3">
      <c r="C1160" s="16">
        <v>2</v>
      </c>
      <c r="D1160" s="13" t="str">
        <f>D1143</f>
        <v>Tukang listrik</v>
      </c>
      <c r="E1160" s="17" t="s">
        <v>19</v>
      </c>
      <c r="F1160" s="18">
        <v>0.04</v>
      </c>
      <c r="G1160" s="19">
        <f>VLOOKUP(D1160,upahbahan,3,FALSE)</f>
        <v>145000</v>
      </c>
      <c r="H1160" s="19">
        <f t="shared" si="117"/>
        <v>5800</v>
      </c>
      <c r="J1160" s="15"/>
      <c r="K1160" s="39"/>
    </row>
    <row r="1161" spans="3:11" x14ac:dyDescent="0.3">
      <c r="C1161" s="16">
        <v>3</v>
      </c>
      <c r="D1161" s="13" t="s">
        <v>22</v>
      </c>
      <c r="E1161" s="17" t="s">
        <v>19</v>
      </c>
      <c r="F1161" s="18">
        <v>4.0000000000000001E-3</v>
      </c>
      <c r="G1161" s="19">
        <f>VLOOKUP(D1161,upahbahan,3,FALSE)</f>
        <v>175000</v>
      </c>
      <c r="H1161" s="19">
        <f t="shared" si="117"/>
        <v>700</v>
      </c>
      <c r="J1161" s="15"/>
      <c r="K1161" s="39"/>
    </row>
    <row r="1162" spans="3:11" x14ac:dyDescent="0.3">
      <c r="C1162" s="16">
        <v>4</v>
      </c>
      <c r="D1162" s="13" t="s">
        <v>23</v>
      </c>
      <c r="E1162" s="17" t="s">
        <v>19</v>
      </c>
      <c r="F1162" s="18">
        <v>1E-3</v>
      </c>
      <c r="G1162" s="19">
        <f>VLOOKUP(D1162,upahbahan,3,FALSE)</f>
        <v>200000</v>
      </c>
      <c r="H1162" s="19">
        <f t="shared" si="117"/>
        <v>200</v>
      </c>
      <c r="J1162" s="15"/>
      <c r="K1162" s="39"/>
    </row>
    <row r="1163" spans="3:11" x14ac:dyDescent="0.3">
      <c r="C1163" s="21" t="s">
        <v>24</v>
      </c>
      <c r="D1163" s="22"/>
      <c r="E1163" s="22"/>
      <c r="F1163" s="54"/>
      <c r="G1163" s="24"/>
      <c r="H1163" s="19">
        <f>SUM(H1159:H1162)</f>
        <v>9100</v>
      </c>
      <c r="I1163" s="25"/>
      <c r="J1163" s="15"/>
      <c r="K1163" s="39"/>
    </row>
    <row r="1164" spans="3:11" x14ac:dyDescent="0.25">
      <c r="C1164" s="12" t="s">
        <v>25</v>
      </c>
      <c r="D1164" s="13" t="s">
        <v>26</v>
      </c>
      <c r="E1164" s="14"/>
      <c r="F1164" s="55"/>
      <c r="G1164" s="14"/>
      <c r="H1164" s="14"/>
      <c r="J1164" s="15"/>
      <c r="K1164" s="39"/>
    </row>
    <row r="1165" spans="3:11" x14ac:dyDescent="0.3">
      <c r="C1165" s="63" t="s">
        <v>202</v>
      </c>
      <c r="D1165" s="26" t="s">
        <v>246</v>
      </c>
      <c r="E1165" s="27" t="s">
        <v>28</v>
      </c>
      <c r="F1165" s="18">
        <v>1.2</v>
      </c>
      <c r="G1165" s="19">
        <f>VLOOKUP(D1165,upahbahan,3,FALSE)</f>
        <v>11400</v>
      </c>
      <c r="H1165" s="19">
        <f t="shared" ref="H1165" si="118">F1165*G1165</f>
        <v>13680</v>
      </c>
      <c r="J1165" s="15"/>
      <c r="K1165" s="39"/>
    </row>
    <row r="1166" spans="3:11" x14ac:dyDescent="0.3">
      <c r="C1166" s="21" t="s">
        <v>29</v>
      </c>
      <c r="D1166" s="22"/>
      <c r="E1166" s="22"/>
      <c r="F1166" s="22"/>
      <c r="G1166" s="28"/>
      <c r="H1166" s="19">
        <f>SUM(H1165:H1165)</f>
        <v>13680</v>
      </c>
      <c r="J1166" s="15"/>
      <c r="K1166" s="39"/>
    </row>
    <row r="1167" spans="3:11" x14ac:dyDescent="0.25">
      <c r="C1167" s="12" t="s">
        <v>30</v>
      </c>
      <c r="D1167" s="13" t="s">
        <v>31</v>
      </c>
      <c r="E1167" s="14"/>
      <c r="F1167" s="14"/>
      <c r="G1167" s="14"/>
      <c r="H1167" s="14"/>
      <c r="J1167" s="15"/>
      <c r="K1167" s="39"/>
    </row>
    <row r="1168" spans="3:11" x14ac:dyDescent="0.3">
      <c r="C1168" s="21" t="s">
        <v>32</v>
      </c>
      <c r="D1168" s="22"/>
      <c r="E1168" s="22"/>
      <c r="F1168" s="22"/>
      <c r="G1168" s="28"/>
      <c r="H1168" s="29">
        <v>0</v>
      </c>
      <c r="J1168" s="15"/>
      <c r="K1168" s="39"/>
    </row>
    <row r="1169" spans="3:11" x14ac:dyDescent="0.3">
      <c r="C1169" s="30" t="s">
        <v>33</v>
      </c>
      <c r="D1169" s="31" t="s">
        <v>34</v>
      </c>
      <c r="E1169" s="32"/>
      <c r="F1169" s="32"/>
      <c r="G1169" s="33"/>
      <c r="H1169" s="46">
        <f>H1168+H1166+H1163</f>
        <v>22780</v>
      </c>
      <c r="I1169" s="47"/>
      <c r="J1169" s="15"/>
      <c r="K1169" s="39"/>
    </row>
    <row r="1170" spans="3:11" x14ac:dyDescent="0.3">
      <c r="C1170" s="30" t="s">
        <v>35</v>
      </c>
      <c r="D1170" s="31" t="s">
        <v>36</v>
      </c>
      <c r="E1170" s="32"/>
      <c r="F1170" s="33"/>
      <c r="G1170" s="34">
        <f>$M$9</f>
        <v>0.1</v>
      </c>
      <c r="H1170" s="19">
        <f>H1169*G1170</f>
        <v>2278</v>
      </c>
      <c r="I1170" s="47"/>
      <c r="J1170" s="15"/>
      <c r="K1170" s="39"/>
    </row>
    <row r="1171" spans="3:11" x14ac:dyDescent="0.3">
      <c r="C1171" s="30" t="s">
        <v>37</v>
      </c>
      <c r="D1171" s="31" t="s">
        <v>38</v>
      </c>
      <c r="E1171" s="32"/>
      <c r="F1171" s="32"/>
      <c r="G1171" s="33"/>
      <c r="H1171" s="48">
        <f>SUM(H1169:H1170)</f>
        <v>25058</v>
      </c>
      <c r="I1171" s="47"/>
      <c r="J1171" s="15"/>
      <c r="K1171" s="39"/>
    </row>
    <row r="1172" spans="3:11" x14ac:dyDescent="0.3">
      <c r="J1172" s="15"/>
      <c r="K1172" s="39"/>
    </row>
    <row r="1173" spans="3:11" x14ac:dyDescent="0.3">
      <c r="C1173" s="40" t="s">
        <v>247</v>
      </c>
      <c r="D1173" s="8" t="s">
        <v>248</v>
      </c>
      <c r="E1173" s="44"/>
      <c r="F1173" s="44"/>
      <c r="G1173" s="44"/>
      <c r="H1173" s="44"/>
      <c r="I1173" s="10">
        <f>ROUNDDOWN(H1188,0)</f>
        <v>38126</v>
      </c>
      <c r="J1173" s="15"/>
      <c r="K1173" s="39"/>
    </row>
    <row r="1174" spans="3:11" ht="27.6" x14ac:dyDescent="0.3">
      <c r="C1174" s="11" t="s">
        <v>9</v>
      </c>
      <c r="D1174" s="11" t="s">
        <v>10</v>
      </c>
      <c r="E1174" s="11" t="s">
        <v>11</v>
      </c>
      <c r="F1174" s="11" t="s">
        <v>12</v>
      </c>
      <c r="G1174" s="11" t="s">
        <v>13</v>
      </c>
      <c r="H1174" s="11" t="s">
        <v>14</v>
      </c>
      <c r="J1174" s="15"/>
      <c r="K1174" s="39"/>
    </row>
    <row r="1175" spans="3:11" x14ac:dyDescent="0.25">
      <c r="C1175" s="12" t="s">
        <v>15</v>
      </c>
      <c r="D1175" s="13" t="s">
        <v>16</v>
      </c>
      <c r="E1175" s="14"/>
      <c r="F1175" s="14"/>
      <c r="G1175" s="14"/>
      <c r="H1175" s="14"/>
      <c r="J1175" s="15"/>
      <c r="K1175" s="39"/>
    </row>
    <row r="1176" spans="3:11" x14ac:dyDescent="0.3">
      <c r="C1176" s="16">
        <v>1</v>
      </c>
      <c r="D1176" s="13" t="s">
        <v>18</v>
      </c>
      <c r="E1176" s="17" t="s">
        <v>19</v>
      </c>
      <c r="F1176" s="18">
        <v>2.4E-2</v>
      </c>
      <c r="G1176" s="19">
        <f>VLOOKUP(D1176,upahbahan,3,FALSE)</f>
        <v>100000</v>
      </c>
      <c r="H1176" s="19">
        <f t="shared" ref="H1176:H1179" si="119">F1176*G1176</f>
        <v>2400</v>
      </c>
      <c r="J1176" s="15"/>
      <c r="K1176" s="39"/>
    </row>
    <row r="1177" spans="3:11" x14ac:dyDescent="0.3">
      <c r="C1177" s="16">
        <v>2</v>
      </c>
      <c r="D1177" s="13" t="str">
        <f>D1160</f>
        <v>Tukang listrik</v>
      </c>
      <c r="E1177" s="17" t="s">
        <v>19</v>
      </c>
      <c r="F1177" s="18">
        <v>0.04</v>
      </c>
      <c r="G1177" s="19">
        <f>VLOOKUP(D1177,upahbahan,3,FALSE)</f>
        <v>145000</v>
      </c>
      <c r="H1177" s="19">
        <f t="shared" si="119"/>
        <v>5800</v>
      </c>
      <c r="J1177" s="15"/>
      <c r="K1177" s="39"/>
    </row>
    <row r="1178" spans="3:11" x14ac:dyDescent="0.3">
      <c r="C1178" s="16">
        <v>3</v>
      </c>
      <c r="D1178" s="13" t="s">
        <v>22</v>
      </c>
      <c r="E1178" s="17" t="s">
        <v>19</v>
      </c>
      <c r="F1178" s="18">
        <v>4.0000000000000001E-3</v>
      </c>
      <c r="G1178" s="19">
        <f>VLOOKUP(D1178,upahbahan,3,FALSE)</f>
        <v>175000</v>
      </c>
      <c r="H1178" s="19">
        <f t="shared" si="119"/>
        <v>700</v>
      </c>
      <c r="J1178" s="15"/>
      <c r="K1178" s="39"/>
    </row>
    <row r="1179" spans="3:11" x14ac:dyDescent="0.3">
      <c r="C1179" s="16">
        <v>4</v>
      </c>
      <c r="D1179" s="13" t="s">
        <v>23</v>
      </c>
      <c r="E1179" s="17" t="s">
        <v>19</v>
      </c>
      <c r="F1179" s="18">
        <v>1E-3</v>
      </c>
      <c r="G1179" s="19">
        <f>VLOOKUP(D1179,upahbahan,3,FALSE)</f>
        <v>200000</v>
      </c>
      <c r="H1179" s="19">
        <f t="shared" si="119"/>
        <v>200</v>
      </c>
      <c r="J1179" s="15"/>
      <c r="K1179" s="39"/>
    </row>
    <row r="1180" spans="3:11" x14ac:dyDescent="0.3">
      <c r="C1180" s="21" t="s">
        <v>24</v>
      </c>
      <c r="D1180" s="22"/>
      <c r="E1180" s="22"/>
      <c r="F1180" s="54"/>
      <c r="G1180" s="24"/>
      <c r="H1180" s="19">
        <f>SUM(H1176:H1179)</f>
        <v>9100</v>
      </c>
      <c r="I1180" s="25"/>
      <c r="J1180" s="15"/>
      <c r="K1180" s="39"/>
    </row>
    <row r="1181" spans="3:11" x14ac:dyDescent="0.25">
      <c r="C1181" s="12" t="s">
        <v>25</v>
      </c>
      <c r="D1181" s="13" t="s">
        <v>26</v>
      </c>
      <c r="E1181" s="14"/>
      <c r="F1181" s="55"/>
      <c r="G1181" s="14"/>
      <c r="H1181" s="14"/>
      <c r="J1181" s="15"/>
      <c r="K1181" s="39"/>
    </row>
    <row r="1182" spans="3:11" x14ac:dyDescent="0.3">
      <c r="C1182" s="63" t="s">
        <v>202</v>
      </c>
      <c r="D1182" s="26" t="s">
        <v>249</v>
      </c>
      <c r="E1182" s="27" t="s">
        <v>28</v>
      </c>
      <c r="F1182" s="18">
        <v>1.2</v>
      </c>
      <c r="G1182" s="19">
        <f>VLOOKUP(D1182,upahbahan,3,FALSE)</f>
        <v>21300</v>
      </c>
      <c r="H1182" s="19">
        <f t="shared" ref="H1182" si="120">F1182*G1182</f>
        <v>25560</v>
      </c>
      <c r="J1182" s="15"/>
      <c r="K1182" s="39"/>
    </row>
    <row r="1183" spans="3:11" x14ac:dyDescent="0.3">
      <c r="C1183" s="21" t="s">
        <v>29</v>
      </c>
      <c r="D1183" s="22"/>
      <c r="E1183" s="22"/>
      <c r="F1183" s="22"/>
      <c r="G1183" s="28"/>
      <c r="H1183" s="19">
        <f>SUM(H1182:H1182)</f>
        <v>25560</v>
      </c>
      <c r="J1183" s="15"/>
      <c r="K1183" s="39"/>
    </row>
    <row r="1184" spans="3:11" x14ac:dyDescent="0.25">
      <c r="C1184" s="12" t="s">
        <v>30</v>
      </c>
      <c r="D1184" s="13" t="s">
        <v>31</v>
      </c>
      <c r="E1184" s="14"/>
      <c r="F1184" s="14"/>
      <c r="G1184" s="14"/>
      <c r="H1184" s="14"/>
      <c r="J1184" s="15"/>
      <c r="K1184" s="39"/>
    </row>
    <row r="1185" spans="3:11" x14ac:dyDescent="0.3">
      <c r="C1185" s="21" t="s">
        <v>32</v>
      </c>
      <c r="D1185" s="22"/>
      <c r="E1185" s="22"/>
      <c r="F1185" s="22"/>
      <c r="G1185" s="28"/>
      <c r="H1185" s="29">
        <v>0</v>
      </c>
      <c r="J1185" s="15"/>
      <c r="K1185" s="39"/>
    </row>
    <row r="1186" spans="3:11" x14ac:dyDescent="0.3">
      <c r="C1186" s="30" t="s">
        <v>33</v>
      </c>
      <c r="D1186" s="31" t="s">
        <v>34</v>
      </c>
      <c r="E1186" s="32"/>
      <c r="F1186" s="32"/>
      <c r="G1186" s="33"/>
      <c r="H1186" s="46">
        <f>H1185+H1183+H1180</f>
        <v>34660</v>
      </c>
      <c r="I1186" s="47"/>
      <c r="J1186" s="15"/>
      <c r="K1186" s="39"/>
    </row>
    <row r="1187" spans="3:11" x14ac:dyDescent="0.3">
      <c r="C1187" s="30" t="s">
        <v>35</v>
      </c>
      <c r="D1187" s="31" t="s">
        <v>36</v>
      </c>
      <c r="E1187" s="32"/>
      <c r="F1187" s="33"/>
      <c r="G1187" s="34">
        <f>$M$9</f>
        <v>0.1</v>
      </c>
      <c r="H1187" s="19">
        <f>H1186*G1187</f>
        <v>3466</v>
      </c>
      <c r="I1187" s="47"/>
      <c r="J1187" s="15"/>
      <c r="K1187" s="39"/>
    </row>
    <row r="1188" spans="3:11" x14ac:dyDescent="0.3">
      <c r="C1188" s="30" t="s">
        <v>37</v>
      </c>
      <c r="D1188" s="31" t="s">
        <v>38</v>
      </c>
      <c r="E1188" s="32"/>
      <c r="F1188" s="32"/>
      <c r="G1188" s="33"/>
      <c r="H1188" s="48">
        <f>SUM(H1186:H1187)</f>
        <v>38126</v>
      </c>
      <c r="I1188" s="47"/>
      <c r="J1188" s="15"/>
      <c r="K1188" s="39"/>
    </row>
    <row r="1189" spans="3:11" x14ac:dyDescent="0.3">
      <c r="J1189" s="15"/>
      <c r="K1189" s="39"/>
    </row>
    <row r="1190" spans="3:11" x14ac:dyDescent="0.3">
      <c r="C1190" s="40" t="s">
        <v>250</v>
      </c>
      <c r="D1190" s="8" t="s">
        <v>251</v>
      </c>
      <c r="E1190" s="44"/>
      <c r="F1190" s="44"/>
      <c r="G1190" s="44"/>
      <c r="H1190" s="44"/>
      <c r="I1190" s="10">
        <f>ROUNDDOWN(H1205,0)</f>
        <v>47888</v>
      </c>
      <c r="J1190" s="15"/>
      <c r="K1190" s="39"/>
    </row>
    <row r="1191" spans="3:11" ht="27.6" x14ac:dyDescent="0.3">
      <c r="C1191" s="11" t="s">
        <v>9</v>
      </c>
      <c r="D1191" s="11" t="s">
        <v>10</v>
      </c>
      <c r="E1191" s="11" t="s">
        <v>11</v>
      </c>
      <c r="F1191" s="11" t="s">
        <v>12</v>
      </c>
      <c r="G1191" s="11" t="s">
        <v>13</v>
      </c>
      <c r="H1191" s="11" t="s">
        <v>14</v>
      </c>
      <c r="J1191" s="15"/>
      <c r="K1191" s="39"/>
    </row>
    <row r="1192" spans="3:11" x14ac:dyDescent="0.25">
      <c r="C1192" s="12" t="s">
        <v>15</v>
      </c>
      <c r="D1192" s="13" t="s">
        <v>16</v>
      </c>
      <c r="E1192" s="14"/>
      <c r="F1192" s="14"/>
      <c r="G1192" s="14"/>
      <c r="H1192" s="14"/>
      <c r="J1192" s="15"/>
      <c r="K1192" s="39"/>
    </row>
    <row r="1193" spans="3:11" x14ac:dyDescent="0.3">
      <c r="C1193" s="16">
        <v>1</v>
      </c>
      <c r="D1193" s="13" t="s">
        <v>18</v>
      </c>
      <c r="E1193" s="17" t="s">
        <v>19</v>
      </c>
      <c r="F1193" s="49">
        <v>2.9000000000000001E-2</v>
      </c>
      <c r="G1193" s="19">
        <f>VLOOKUP(D1193,upahbahan,3,FALSE)</f>
        <v>100000</v>
      </c>
      <c r="H1193" s="19">
        <f t="shared" ref="H1193:H1196" si="121">F1193*G1193</f>
        <v>2900</v>
      </c>
      <c r="J1193" s="15"/>
      <c r="K1193" s="39"/>
    </row>
    <row r="1194" spans="3:11" x14ac:dyDescent="0.3">
      <c r="C1194" s="16">
        <v>2</v>
      </c>
      <c r="D1194" s="13" t="str">
        <f>D1177</f>
        <v>Tukang listrik</v>
      </c>
      <c r="E1194" s="17" t="s">
        <v>19</v>
      </c>
      <c r="F1194" s="49">
        <v>4.8000000000000001E-2</v>
      </c>
      <c r="G1194" s="19">
        <f>VLOOKUP(D1194,upahbahan,3,FALSE)</f>
        <v>145000</v>
      </c>
      <c r="H1194" s="19">
        <f t="shared" si="121"/>
        <v>6960</v>
      </c>
      <c r="J1194" s="15"/>
      <c r="K1194" s="39"/>
    </row>
    <row r="1195" spans="3:11" x14ac:dyDescent="0.3">
      <c r="C1195" s="16">
        <v>3</v>
      </c>
      <c r="D1195" s="13" t="s">
        <v>22</v>
      </c>
      <c r="E1195" s="17" t="s">
        <v>19</v>
      </c>
      <c r="F1195" s="49">
        <v>5.0000000000000001E-3</v>
      </c>
      <c r="G1195" s="19">
        <f>VLOOKUP(D1195,upahbahan,3,FALSE)</f>
        <v>175000</v>
      </c>
      <c r="H1195" s="19">
        <f t="shared" si="121"/>
        <v>875</v>
      </c>
      <c r="J1195" s="15"/>
      <c r="K1195" s="39"/>
    </row>
    <row r="1196" spans="3:11" x14ac:dyDescent="0.3">
      <c r="C1196" s="16">
        <v>4</v>
      </c>
      <c r="D1196" s="13" t="s">
        <v>23</v>
      </c>
      <c r="E1196" s="17" t="s">
        <v>19</v>
      </c>
      <c r="F1196" s="49">
        <v>2E-3</v>
      </c>
      <c r="G1196" s="19">
        <f>VLOOKUP(D1196,upahbahan,3,FALSE)</f>
        <v>200000</v>
      </c>
      <c r="H1196" s="19">
        <f t="shared" si="121"/>
        <v>400</v>
      </c>
      <c r="J1196" s="15"/>
      <c r="K1196" s="39"/>
    </row>
    <row r="1197" spans="3:11" x14ac:dyDescent="0.3">
      <c r="C1197" s="21" t="s">
        <v>24</v>
      </c>
      <c r="D1197" s="22"/>
      <c r="E1197" s="22"/>
      <c r="F1197" s="54"/>
      <c r="G1197" s="24"/>
      <c r="H1197" s="19">
        <f>SUM(H1193:H1196)</f>
        <v>11135</v>
      </c>
      <c r="I1197" s="25"/>
      <c r="J1197" s="15"/>
      <c r="K1197" s="39"/>
    </row>
    <row r="1198" spans="3:11" x14ac:dyDescent="0.25">
      <c r="C1198" s="12" t="s">
        <v>25</v>
      </c>
      <c r="D1198" s="13" t="s">
        <v>26</v>
      </c>
      <c r="E1198" s="14"/>
      <c r="F1198" s="55"/>
      <c r="G1198" s="14"/>
      <c r="H1198" s="14"/>
      <c r="J1198" s="15"/>
      <c r="K1198" s="39"/>
    </row>
    <row r="1199" spans="3:11" x14ac:dyDescent="0.3">
      <c r="C1199" s="63" t="s">
        <v>202</v>
      </c>
      <c r="D1199" s="26" t="s">
        <v>252</v>
      </c>
      <c r="E1199" s="27" t="s">
        <v>28</v>
      </c>
      <c r="F1199" s="18">
        <v>1.2</v>
      </c>
      <c r="G1199" s="19">
        <f>VLOOKUP(D1199,upahbahan,3,FALSE)</f>
        <v>27000</v>
      </c>
      <c r="H1199" s="19">
        <f t="shared" ref="H1199" si="122">F1199*G1199</f>
        <v>32400</v>
      </c>
      <c r="J1199" s="15"/>
      <c r="K1199" s="39"/>
    </row>
    <row r="1200" spans="3:11" x14ac:dyDescent="0.3">
      <c r="C1200" s="21" t="s">
        <v>29</v>
      </c>
      <c r="D1200" s="22"/>
      <c r="E1200" s="22"/>
      <c r="F1200" s="22"/>
      <c r="G1200" s="28"/>
      <c r="H1200" s="19">
        <f>SUM(H1199:H1199)</f>
        <v>32400</v>
      </c>
      <c r="J1200" s="15"/>
      <c r="K1200" s="39"/>
    </row>
    <row r="1201" spans="3:11" x14ac:dyDescent="0.25">
      <c r="C1201" s="12" t="s">
        <v>30</v>
      </c>
      <c r="D1201" s="13" t="s">
        <v>31</v>
      </c>
      <c r="E1201" s="14"/>
      <c r="F1201" s="14"/>
      <c r="G1201" s="14"/>
      <c r="H1201" s="14"/>
      <c r="J1201" s="15"/>
      <c r="K1201" s="39"/>
    </row>
    <row r="1202" spans="3:11" x14ac:dyDescent="0.3">
      <c r="C1202" s="21" t="s">
        <v>32</v>
      </c>
      <c r="D1202" s="22"/>
      <c r="E1202" s="22"/>
      <c r="F1202" s="22"/>
      <c r="G1202" s="28"/>
      <c r="H1202" s="29">
        <v>0</v>
      </c>
      <c r="J1202" s="15"/>
      <c r="K1202" s="39"/>
    </row>
    <row r="1203" spans="3:11" x14ac:dyDescent="0.3">
      <c r="C1203" s="30" t="s">
        <v>33</v>
      </c>
      <c r="D1203" s="31" t="s">
        <v>34</v>
      </c>
      <c r="E1203" s="32"/>
      <c r="F1203" s="32"/>
      <c r="G1203" s="33"/>
      <c r="H1203" s="46">
        <f>H1202+H1200+H1197</f>
        <v>43535</v>
      </c>
      <c r="I1203" s="47"/>
      <c r="J1203" s="15"/>
      <c r="K1203" s="39"/>
    </row>
    <row r="1204" spans="3:11" x14ac:dyDescent="0.3">
      <c r="C1204" s="30" t="s">
        <v>35</v>
      </c>
      <c r="D1204" s="31" t="s">
        <v>36</v>
      </c>
      <c r="E1204" s="32"/>
      <c r="F1204" s="33"/>
      <c r="G1204" s="34">
        <f>$M$9</f>
        <v>0.1</v>
      </c>
      <c r="H1204" s="19">
        <f>H1203*G1204</f>
        <v>4353.5</v>
      </c>
      <c r="I1204" s="47"/>
      <c r="J1204" s="15"/>
      <c r="K1204" s="39"/>
    </row>
    <row r="1205" spans="3:11" x14ac:dyDescent="0.3">
      <c r="C1205" s="30" t="s">
        <v>37</v>
      </c>
      <c r="D1205" s="31" t="s">
        <v>38</v>
      </c>
      <c r="E1205" s="32"/>
      <c r="F1205" s="32"/>
      <c r="G1205" s="33"/>
      <c r="H1205" s="48">
        <f>SUM(H1203:H1204)</f>
        <v>47888.5</v>
      </c>
      <c r="I1205" s="47"/>
      <c r="J1205" s="15"/>
      <c r="K1205" s="39"/>
    </row>
    <row r="1206" spans="3:11" x14ac:dyDescent="0.3">
      <c r="J1206" s="15"/>
      <c r="K1206" s="39"/>
    </row>
    <row r="1207" spans="3:11" x14ac:dyDescent="0.3">
      <c r="C1207" s="2" t="s">
        <v>253</v>
      </c>
      <c r="D1207" s="8" t="s">
        <v>254</v>
      </c>
      <c r="E1207" s="44"/>
      <c r="F1207" s="44"/>
      <c r="G1207" s="44"/>
      <c r="H1207" s="44"/>
      <c r="I1207" s="10">
        <f>ROUNDDOWN(H1222,0)</f>
        <v>69140</v>
      </c>
      <c r="J1207" s="15"/>
      <c r="K1207" s="39"/>
    </row>
    <row r="1208" spans="3:11" ht="27.6" x14ac:dyDescent="0.3">
      <c r="C1208" s="11" t="s">
        <v>9</v>
      </c>
      <c r="D1208" s="11" t="s">
        <v>10</v>
      </c>
      <c r="E1208" s="11" t="s">
        <v>11</v>
      </c>
      <c r="F1208" s="11" t="s">
        <v>12</v>
      </c>
      <c r="G1208" s="11" t="s">
        <v>13</v>
      </c>
      <c r="H1208" s="11" t="s">
        <v>14</v>
      </c>
      <c r="J1208" s="15"/>
      <c r="K1208" s="39"/>
    </row>
    <row r="1209" spans="3:11" x14ac:dyDescent="0.25">
      <c r="C1209" s="12" t="s">
        <v>15</v>
      </c>
      <c r="D1209" s="13" t="s">
        <v>16</v>
      </c>
      <c r="E1209" s="14"/>
      <c r="F1209" s="14"/>
      <c r="G1209" s="14"/>
      <c r="H1209" s="14"/>
      <c r="J1209" s="15"/>
      <c r="K1209" s="39"/>
    </row>
    <row r="1210" spans="3:11" x14ac:dyDescent="0.3">
      <c r="C1210" s="16">
        <v>1</v>
      </c>
      <c r="D1210" s="13" t="s">
        <v>18</v>
      </c>
      <c r="E1210" s="17" t="s">
        <v>19</v>
      </c>
      <c r="F1210" s="49">
        <v>2.9000000000000001E-2</v>
      </c>
      <c r="G1210" s="19">
        <f>VLOOKUP(D1210,upahbahan,3,FALSE)</f>
        <v>100000</v>
      </c>
      <c r="H1210" s="19">
        <f t="shared" ref="H1210:H1213" si="123">F1210*G1210</f>
        <v>2900</v>
      </c>
      <c r="J1210" s="15"/>
      <c r="K1210" s="39"/>
    </row>
    <row r="1211" spans="3:11" x14ac:dyDescent="0.3">
      <c r="C1211" s="16">
        <v>2</v>
      </c>
      <c r="D1211" s="13" t="str">
        <f>D1194</f>
        <v>Tukang listrik</v>
      </c>
      <c r="E1211" s="17" t="s">
        <v>19</v>
      </c>
      <c r="F1211" s="49">
        <v>4.8000000000000001E-2</v>
      </c>
      <c r="G1211" s="19">
        <f>VLOOKUP(D1211,upahbahan,3,FALSE)</f>
        <v>145000</v>
      </c>
      <c r="H1211" s="19">
        <f t="shared" si="123"/>
        <v>6960</v>
      </c>
      <c r="J1211" s="15"/>
      <c r="K1211" s="39"/>
    </row>
    <row r="1212" spans="3:11" x14ac:dyDescent="0.3">
      <c r="C1212" s="16">
        <v>3</v>
      </c>
      <c r="D1212" s="13" t="s">
        <v>22</v>
      </c>
      <c r="E1212" s="17" t="s">
        <v>19</v>
      </c>
      <c r="F1212" s="49">
        <v>5.0000000000000001E-3</v>
      </c>
      <c r="G1212" s="19">
        <f>VLOOKUP(D1212,upahbahan,3,FALSE)</f>
        <v>175000</v>
      </c>
      <c r="H1212" s="19">
        <f t="shared" si="123"/>
        <v>875</v>
      </c>
      <c r="J1212" s="15"/>
      <c r="K1212" s="39"/>
    </row>
    <row r="1213" spans="3:11" x14ac:dyDescent="0.3">
      <c r="C1213" s="16">
        <v>4</v>
      </c>
      <c r="D1213" s="13" t="s">
        <v>23</v>
      </c>
      <c r="E1213" s="17" t="s">
        <v>19</v>
      </c>
      <c r="F1213" s="49">
        <v>2E-3</v>
      </c>
      <c r="G1213" s="19">
        <f>VLOOKUP(D1213,upahbahan,3,FALSE)</f>
        <v>200000</v>
      </c>
      <c r="H1213" s="19">
        <f t="shared" si="123"/>
        <v>400</v>
      </c>
      <c r="J1213" s="15"/>
      <c r="K1213" s="39"/>
    </row>
    <row r="1214" spans="3:11" x14ac:dyDescent="0.3">
      <c r="C1214" s="21" t="s">
        <v>24</v>
      </c>
      <c r="D1214" s="22"/>
      <c r="E1214" s="22"/>
      <c r="F1214" s="54"/>
      <c r="G1214" s="24"/>
      <c r="H1214" s="19">
        <f>SUM(H1210:H1213)</f>
        <v>11135</v>
      </c>
      <c r="I1214" s="25"/>
      <c r="J1214" s="15"/>
      <c r="K1214" s="39"/>
    </row>
    <row r="1215" spans="3:11" x14ac:dyDescent="0.25">
      <c r="C1215" s="12" t="s">
        <v>25</v>
      </c>
      <c r="D1215" s="13" t="s">
        <v>26</v>
      </c>
      <c r="E1215" s="14"/>
      <c r="F1215" s="55"/>
      <c r="G1215" s="14"/>
      <c r="H1215" s="14"/>
      <c r="J1215" s="15"/>
      <c r="K1215" s="39"/>
    </row>
    <row r="1216" spans="3:11" x14ac:dyDescent="0.3">
      <c r="C1216" s="63" t="s">
        <v>202</v>
      </c>
      <c r="D1216" s="26" t="s">
        <v>255</v>
      </c>
      <c r="E1216" s="27" t="s">
        <v>28</v>
      </c>
      <c r="F1216" s="18">
        <v>1.2</v>
      </c>
      <c r="G1216" s="19">
        <f>VLOOKUP(D1216,upahbahan,3,FALSE)</f>
        <v>43100</v>
      </c>
      <c r="H1216" s="19">
        <f t="shared" ref="H1216" si="124">F1216*G1216</f>
        <v>51720</v>
      </c>
      <c r="J1216" s="15"/>
      <c r="K1216" s="39"/>
    </row>
    <row r="1217" spans="3:11" x14ac:dyDescent="0.3">
      <c r="C1217" s="21" t="s">
        <v>29</v>
      </c>
      <c r="D1217" s="22"/>
      <c r="E1217" s="22"/>
      <c r="F1217" s="22"/>
      <c r="G1217" s="28"/>
      <c r="H1217" s="19">
        <f>SUM(H1216:H1216)</f>
        <v>51720</v>
      </c>
      <c r="J1217" s="15"/>
      <c r="K1217" s="39"/>
    </row>
    <row r="1218" spans="3:11" x14ac:dyDescent="0.25">
      <c r="C1218" s="12" t="s">
        <v>30</v>
      </c>
      <c r="D1218" s="13" t="s">
        <v>31</v>
      </c>
      <c r="E1218" s="14"/>
      <c r="F1218" s="14"/>
      <c r="G1218" s="14"/>
      <c r="H1218" s="14"/>
      <c r="J1218" s="15"/>
      <c r="K1218" s="39"/>
    </row>
    <row r="1219" spans="3:11" x14ac:dyDescent="0.3">
      <c r="C1219" s="21" t="s">
        <v>32</v>
      </c>
      <c r="D1219" s="22"/>
      <c r="E1219" s="22"/>
      <c r="F1219" s="22"/>
      <c r="G1219" s="28"/>
      <c r="H1219" s="29">
        <v>0</v>
      </c>
      <c r="J1219" s="15"/>
      <c r="K1219" s="39"/>
    </row>
    <row r="1220" spans="3:11" x14ac:dyDescent="0.3">
      <c r="C1220" s="30" t="s">
        <v>33</v>
      </c>
      <c r="D1220" s="31" t="s">
        <v>34</v>
      </c>
      <c r="E1220" s="32"/>
      <c r="F1220" s="32"/>
      <c r="G1220" s="33"/>
      <c r="H1220" s="46">
        <f>H1219+H1217+H1214</f>
        <v>62855</v>
      </c>
      <c r="I1220" s="47"/>
      <c r="J1220" s="15"/>
      <c r="K1220" s="39"/>
    </row>
    <row r="1221" spans="3:11" x14ac:dyDescent="0.3">
      <c r="C1221" s="30" t="s">
        <v>35</v>
      </c>
      <c r="D1221" s="31" t="s">
        <v>36</v>
      </c>
      <c r="E1221" s="32"/>
      <c r="F1221" s="33"/>
      <c r="G1221" s="34">
        <f>$M$9</f>
        <v>0.1</v>
      </c>
      <c r="H1221" s="19">
        <f>H1220*G1221</f>
        <v>6285.5</v>
      </c>
      <c r="I1221" s="47"/>
      <c r="J1221" s="15"/>
      <c r="K1221" s="39"/>
    </row>
    <row r="1222" spans="3:11" x14ac:dyDescent="0.3">
      <c r="C1222" s="30" t="s">
        <v>37</v>
      </c>
      <c r="D1222" s="31" t="s">
        <v>38</v>
      </c>
      <c r="E1222" s="32"/>
      <c r="F1222" s="32"/>
      <c r="G1222" s="33"/>
      <c r="H1222" s="48">
        <f>SUM(H1220:H1221)</f>
        <v>69140.5</v>
      </c>
      <c r="I1222" s="47"/>
      <c r="J1222" s="15"/>
      <c r="K1222" s="39"/>
    </row>
    <row r="1223" spans="3:11" x14ac:dyDescent="0.3">
      <c r="J1223" s="15"/>
      <c r="K1223" s="39"/>
    </row>
    <row r="1224" spans="3:11" x14ac:dyDescent="0.3">
      <c r="C1224" s="2" t="s">
        <v>256</v>
      </c>
      <c r="D1224" s="8" t="s">
        <v>257</v>
      </c>
      <c r="E1224" s="44"/>
      <c r="F1224" s="44"/>
      <c r="G1224" s="44"/>
      <c r="H1224" s="44"/>
      <c r="I1224" s="10">
        <f>ROUNDDOWN(H1239,0)</f>
        <v>106469</v>
      </c>
      <c r="J1224" s="15"/>
      <c r="K1224" s="39"/>
    </row>
    <row r="1225" spans="3:11" ht="27.6" x14ac:dyDescent="0.3">
      <c r="C1225" s="11" t="s">
        <v>9</v>
      </c>
      <c r="D1225" s="11" t="s">
        <v>10</v>
      </c>
      <c r="E1225" s="11" t="s">
        <v>11</v>
      </c>
      <c r="F1225" s="11" t="s">
        <v>12</v>
      </c>
      <c r="G1225" s="11" t="s">
        <v>13</v>
      </c>
      <c r="H1225" s="11" t="s">
        <v>14</v>
      </c>
      <c r="J1225" s="15"/>
      <c r="K1225" s="39"/>
    </row>
    <row r="1226" spans="3:11" x14ac:dyDescent="0.25">
      <c r="C1226" s="12" t="s">
        <v>15</v>
      </c>
      <c r="D1226" s="13" t="s">
        <v>16</v>
      </c>
      <c r="E1226" s="14"/>
      <c r="F1226" s="14"/>
      <c r="G1226" s="14"/>
      <c r="H1226" s="14"/>
      <c r="J1226" s="15"/>
      <c r="K1226" s="39"/>
    </row>
    <row r="1227" spans="3:11" x14ac:dyDescent="0.3">
      <c r="C1227" s="16">
        <v>1</v>
      </c>
      <c r="D1227" s="13" t="s">
        <v>18</v>
      </c>
      <c r="E1227" s="17" t="s">
        <v>19</v>
      </c>
      <c r="F1227" s="18">
        <v>3.5999999999999997E-2</v>
      </c>
      <c r="G1227" s="19">
        <f>VLOOKUP(D1227,upahbahan,3,FALSE)</f>
        <v>100000</v>
      </c>
      <c r="H1227" s="19">
        <f t="shared" ref="H1227:H1230" si="125">F1227*G1227</f>
        <v>3599.9999999999995</v>
      </c>
      <c r="J1227" s="15"/>
      <c r="K1227" s="39"/>
    </row>
    <row r="1228" spans="3:11" x14ac:dyDescent="0.3">
      <c r="C1228" s="16">
        <v>2</v>
      </c>
      <c r="D1228" s="13" t="str">
        <f>D1211</f>
        <v>Tukang listrik</v>
      </c>
      <c r="E1228" s="17" t="s">
        <v>19</v>
      </c>
      <c r="F1228" s="18">
        <v>0.06</v>
      </c>
      <c r="G1228" s="19">
        <f>VLOOKUP(D1228,upahbahan,3,FALSE)</f>
        <v>145000</v>
      </c>
      <c r="H1228" s="19">
        <f t="shared" si="125"/>
        <v>8700</v>
      </c>
      <c r="J1228" s="15"/>
      <c r="K1228" s="39"/>
    </row>
    <row r="1229" spans="3:11" x14ac:dyDescent="0.3">
      <c r="C1229" s="16">
        <v>3</v>
      </c>
      <c r="D1229" s="13" t="s">
        <v>22</v>
      </c>
      <c r="E1229" s="17" t="s">
        <v>19</v>
      </c>
      <c r="F1229" s="18">
        <v>6.0000000000000001E-3</v>
      </c>
      <c r="G1229" s="19">
        <f>VLOOKUP(D1229,upahbahan,3,FALSE)</f>
        <v>175000</v>
      </c>
      <c r="H1229" s="19">
        <f t="shared" si="125"/>
        <v>1050</v>
      </c>
      <c r="J1229" s="15"/>
      <c r="K1229" s="39"/>
    </row>
    <row r="1230" spans="3:11" x14ac:dyDescent="0.3">
      <c r="C1230" s="16">
        <v>4</v>
      </c>
      <c r="D1230" s="13" t="s">
        <v>23</v>
      </c>
      <c r="E1230" s="17" t="s">
        <v>19</v>
      </c>
      <c r="F1230" s="18">
        <v>2E-3</v>
      </c>
      <c r="G1230" s="19">
        <f>VLOOKUP(D1230,upahbahan,3,FALSE)</f>
        <v>200000</v>
      </c>
      <c r="H1230" s="19">
        <f t="shared" si="125"/>
        <v>400</v>
      </c>
      <c r="J1230" s="15"/>
      <c r="K1230" s="39"/>
    </row>
    <row r="1231" spans="3:11" x14ac:dyDescent="0.3">
      <c r="C1231" s="21" t="s">
        <v>24</v>
      </c>
      <c r="D1231" s="22"/>
      <c r="E1231" s="22"/>
      <c r="F1231" s="54"/>
      <c r="G1231" s="24"/>
      <c r="H1231" s="19">
        <f>SUM(H1227:H1230)</f>
        <v>13750</v>
      </c>
      <c r="I1231" s="25"/>
      <c r="J1231" s="15"/>
      <c r="K1231" s="39"/>
    </row>
    <row r="1232" spans="3:11" x14ac:dyDescent="0.25">
      <c r="C1232" s="12" t="s">
        <v>25</v>
      </c>
      <c r="D1232" s="13" t="s">
        <v>26</v>
      </c>
      <c r="E1232" s="14"/>
      <c r="F1232" s="55"/>
      <c r="G1232" s="14"/>
      <c r="H1232" s="14"/>
      <c r="J1232" s="15"/>
      <c r="K1232" s="39"/>
    </row>
    <row r="1233" spans="3:11" x14ac:dyDescent="0.3">
      <c r="C1233" s="63" t="s">
        <v>202</v>
      </c>
      <c r="D1233" s="26" t="s">
        <v>258</v>
      </c>
      <c r="E1233" s="27" t="s">
        <v>28</v>
      </c>
      <c r="F1233" s="18">
        <v>1.2</v>
      </c>
      <c r="G1233" s="19">
        <f>VLOOKUP(D1233,upahbahan,3,FALSE)</f>
        <v>69200</v>
      </c>
      <c r="H1233" s="19">
        <f t="shared" ref="H1233" si="126">F1233*G1233</f>
        <v>83040</v>
      </c>
      <c r="J1233" s="15"/>
      <c r="K1233" s="39"/>
    </row>
    <row r="1234" spans="3:11" x14ac:dyDescent="0.3">
      <c r="C1234" s="21" t="s">
        <v>29</v>
      </c>
      <c r="D1234" s="22"/>
      <c r="E1234" s="22"/>
      <c r="F1234" s="22"/>
      <c r="G1234" s="28"/>
      <c r="H1234" s="19">
        <f>SUM(H1233:H1233)</f>
        <v>83040</v>
      </c>
      <c r="J1234" s="15"/>
      <c r="K1234" s="39"/>
    </row>
    <row r="1235" spans="3:11" x14ac:dyDescent="0.25">
      <c r="C1235" s="12" t="s">
        <v>30</v>
      </c>
      <c r="D1235" s="13" t="s">
        <v>31</v>
      </c>
      <c r="E1235" s="14"/>
      <c r="F1235" s="14"/>
      <c r="G1235" s="14"/>
      <c r="H1235" s="14"/>
      <c r="J1235" s="15"/>
      <c r="K1235" s="39"/>
    </row>
    <row r="1236" spans="3:11" x14ac:dyDescent="0.3">
      <c r="C1236" s="21" t="s">
        <v>32</v>
      </c>
      <c r="D1236" s="22"/>
      <c r="E1236" s="22"/>
      <c r="F1236" s="22"/>
      <c r="G1236" s="28"/>
      <c r="H1236" s="29">
        <v>0</v>
      </c>
      <c r="J1236" s="15"/>
      <c r="K1236" s="39"/>
    </row>
    <row r="1237" spans="3:11" x14ac:dyDescent="0.3">
      <c r="C1237" s="30" t="s">
        <v>33</v>
      </c>
      <c r="D1237" s="31" t="s">
        <v>34</v>
      </c>
      <c r="E1237" s="32"/>
      <c r="F1237" s="32"/>
      <c r="G1237" s="33"/>
      <c r="H1237" s="46">
        <f>H1236+H1234+H1231</f>
        <v>96790</v>
      </c>
      <c r="I1237" s="47"/>
      <c r="J1237" s="15"/>
      <c r="K1237" s="39"/>
    </row>
    <row r="1238" spans="3:11" x14ac:dyDescent="0.3">
      <c r="C1238" s="30" t="s">
        <v>35</v>
      </c>
      <c r="D1238" s="31" t="s">
        <v>36</v>
      </c>
      <c r="E1238" s="32"/>
      <c r="F1238" s="33"/>
      <c r="G1238" s="34">
        <f>$M$9</f>
        <v>0.1</v>
      </c>
      <c r="H1238" s="19">
        <f>H1237*G1238</f>
        <v>9679</v>
      </c>
      <c r="I1238" s="47"/>
      <c r="J1238" s="15"/>
      <c r="K1238" s="39"/>
    </row>
    <row r="1239" spans="3:11" x14ac:dyDescent="0.3">
      <c r="C1239" s="30" t="s">
        <v>37</v>
      </c>
      <c r="D1239" s="31" t="s">
        <v>38</v>
      </c>
      <c r="E1239" s="32"/>
      <c r="F1239" s="32"/>
      <c r="G1239" s="33"/>
      <c r="H1239" s="48">
        <f>SUM(H1237:H1238)</f>
        <v>106469</v>
      </c>
      <c r="I1239" s="47"/>
      <c r="J1239" s="15"/>
      <c r="K1239" s="39"/>
    </row>
    <row r="1240" spans="3:11" x14ac:dyDescent="0.3">
      <c r="J1240" s="15"/>
      <c r="K1240" s="39"/>
    </row>
    <row r="1241" spans="3:11" x14ac:dyDescent="0.3">
      <c r="C1241" s="2" t="s">
        <v>259</v>
      </c>
      <c r="D1241" s="8" t="s">
        <v>260</v>
      </c>
      <c r="E1241" s="44"/>
      <c r="F1241" s="44"/>
      <c r="G1241" s="44"/>
      <c r="H1241" s="44"/>
      <c r="I1241" s="10">
        <f>ROUNDDOWN(H1256,0)</f>
        <v>29018</v>
      </c>
      <c r="J1241" s="15"/>
      <c r="K1241" s="39"/>
    </row>
    <row r="1242" spans="3:11" ht="27.6" x14ac:dyDescent="0.3">
      <c r="C1242" s="11" t="s">
        <v>9</v>
      </c>
      <c r="D1242" s="11" t="s">
        <v>10</v>
      </c>
      <c r="E1242" s="11" t="s">
        <v>11</v>
      </c>
      <c r="F1242" s="11" t="s">
        <v>12</v>
      </c>
      <c r="G1242" s="11" t="s">
        <v>13</v>
      </c>
      <c r="H1242" s="11" t="s">
        <v>14</v>
      </c>
      <c r="J1242" s="15"/>
      <c r="K1242" s="39"/>
    </row>
    <row r="1243" spans="3:11" x14ac:dyDescent="0.25">
      <c r="C1243" s="12" t="s">
        <v>15</v>
      </c>
      <c r="D1243" s="13" t="s">
        <v>16</v>
      </c>
      <c r="E1243" s="14"/>
      <c r="F1243" s="14"/>
      <c r="G1243" s="14"/>
      <c r="H1243" s="14"/>
      <c r="J1243" s="15"/>
      <c r="K1243" s="39"/>
    </row>
    <row r="1244" spans="3:11" x14ac:dyDescent="0.3">
      <c r="C1244" s="16">
        <v>1</v>
      </c>
      <c r="D1244" s="13" t="s">
        <v>18</v>
      </c>
      <c r="E1244" s="17" t="s">
        <v>19</v>
      </c>
      <c r="F1244" s="18">
        <v>2.4E-2</v>
      </c>
      <c r="G1244" s="19">
        <f>VLOOKUP(D1244,upahbahan,3,FALSE)</f>
        <v>100000</v>
      </c>
      <c r="H1244" s="19">
        <f>F1244*G1244</f>
        <v>2400</v>
      </c>
      <c r="J1244" s="15"/>
      <c r="K1244" s="39"/>
    </row>
    <row r="1245" spans="3:11" x14ac:dyDescent="0.3">
      <c r="C1245" s="16">
        <v>2</v>
      </c>
      <c r="D1245" s="13" t="str">
        <f>D1228</f>
        <v>Tukang listrik</v>
      </c>
      <c r="E1245" s="17" t="s">
        <v>19</v>
      </c>
      <c r="F1245" s="18">
        <v>0.04</v>
      </c>
      <c r="G1245" s="19">
        <f>VLOOKUP(D1245,upahbahan,3,FALSE)</f>
        <v>145000</v>
      </c>
      <c r="H1245" s="19">
        <f t="shared" ref="H1245:H1247" si="127">F1245*G1245</f>
        <v>5800</v>
      </c>
      <c r="J1245" s="15"/>
      <c r="K1245" s="39"/>
    </row>
    <row r="1246" spans="3:11" x14ac:dyDescent="0.3">
      <c r="C1246" s="16">
        <v>3</v>
      </c>
      <c r="D1246" s="13" t="s">
        <v>22</v>
      </c>
      <c r="E1246" s="17" t="s">
        <v>19</v>
      </c>
      <c r="F1246" s="18">
        <v>4.0000000000000001E-3</v>
      </c>
      <c r="G1246" s="19">
        <f>VLOOKUP(D1246,upahbahan,3,FALSE)</f>
        <v>175000</v>
      </c>
      <c r="H1246" s="19">
        <f t="shared" si="127"/>
        <v>700</v>
      </c>
      <c r="J1246" s="15"/>
      <c r="K1246" s="39"/>
    </row>
    <row r="1247" spans="3:11" x14ac:dyDescent="0.3">
      <c r="C1247" s="16">
        <v>4</v>
      </c>
      <c r="D1247" s="13" t="s">
        <v>23</v>
      </c>
      <c r="E1247" s="17" t="s">
        <v>19</v>
      </c>
      <c r="F1247" s="18">
        <v>1E-3</v>
      </c>
      <c r="G1247" s="19">
        <f>VLOOKUP(D1247,upahbahan,3,FALSE)</f>
        <v>200000</v>
      </c>
      <c r="H1247" s="19">
        <f t="shared" si="127"/>
        <v>200</v>
      </c>
      <c r="J1247" s="15"/>
      <c r="K1247" s="39"/>
    </row>
    <row r="1248" spans="3:11" x14ac:dyDescent="0.3">
      <c r="C1248" s="21" t="s">
        <v>24</v>
      </c>
      <c r="D1248" s="22"/>
      <c r="E1248" s="22"/>
      <c r="F1248" s="54"/>
      <c r="G1248" s="24"/>
      <c r="H1248" s="19">
        <f>SUM(H1244:H1247)</f>
        <v>9100</v>
      </c>
      <c r="I1248" s="25"/>
      <c r="J1248" s="15"/>
      <c r="K1248" s="39"/>
    </row>
    <row r="1249" spans="3:11" x14ac:dyDescent="0.25">
      <c r="C1249" s="12" t="s">
        <v>25</v>
      </c>
      <c r="D1249" s="13" t="s">
        <v>26</v>
      </c>
      <c r="E1249" s="14"/>
      <c r="F1249" s="55"/>
      <c r="G1249" s="14"/>
      <c r="H1249" s="14"/>
      <c r="J1249" s="15"/>
      <c r="K1249" s="39"/>
    </row>
    <row r="1250" spans="3:11" x14ac:dyDescent="0.3">
      <c r="C1250" s="63" t="s">
        <v>202</v>
      </c>
      <c r="D1250" s="26" t="s">
        <v>261</v>
      </c>
      <c r="E1250" s="27" t="s">
        <v>28</v>
      </c>
      <c r="F1250" s="18">
        <v>1.2</v>
      </c>
      <c r="G1250" s="19">
        <f>VLOOKUP(D1250,upahbahan,3,FALSE)</f>
        <v>14400</v>
      </c>
      <c r="H1250" s="19">
        <f t="shared" ref="H1250" si="128">F1250*G1250</f>
        <v>17280</v>
      </c>
      <c r="J1250" s="15"/>
      <c r="K1250" s="39"/>
    </row>
    <row r="1251" spans="3:11" x14ac:dyDescent="0.3">
      <c r="C1251" s="21" t="s">
        <v>29</v>
      </c>
      <c r="D1251" s="22"/>
      <c r="E1251" s="22"/>
      <c r="F1251" s="22"/>
      <c r="G1251" s="28"/>
      <c r="H1251" s="19">
        <f>SUM(H1250:H1250)</f>
        <v>17280</v>
      </c>
      <c r="J1251" s="15"/>
      <c r="K1251" s="39"/>
    </row>
    <row r="1252" spans="3:11" x14ac:dyDescent="0.25">
      <c r="C1252" s="12" t="s">
        <v>30</v>
      </c>
      <c r="D1252" s="13" t="s">
        <v>31</v>
      </c>
      <c r="E1252" s="14"/>
      <c r="F1252" s="14"/>
      <c r="G1252" s="14"/>
      <c r="H1252" s="14"/>
      <c r="J1252" s="15"/>
      <c r="K1252" s="39"/>
    </row>
    <row r="1253" spans="3:11" x14ac:dyDescent="0.3">
      <c r="C1253" s="21" t="s">
        <v>32</v>
      </c>
      <c r="D1253" s="22"/>
      <c r="E1253" s="22"/>
      <c r="F1253" s="22"/>
      <c r="G1253" s="28"/>
      <c r="H1253" s="29">
        <v>0</v>
      </c>
      <c r="J1253" s="15"/>
      <c r="K1253" s="39"/>
    </row>
    <row r="1254" spans="3:11" x14ac:dyDescent="0.3">
      <c r="C1254" s="30" t="s">
        <v>33</v>
      </c>
      <c r="D1254" s="31" t="s">
        <v>34</v>
      </c>
      <c r="E1254" s="32"/>
      <c r="F1254" s="32"/>
      <c r="G1254" s="33"/>
      <c r="H1254" s="46">
        <f>H1253+H1251+H1248</f>
        <v>26380</v>
      </c>
      <c r="I1254" s="47"/>
      <c r="J1254" s="15"/>
      <c r="K1254" s="39"/>
    </row>
    <row r="1255" spans="3:11" x14ac:dyDescent="0.3">
      <c r="C1255" s="30" t="s">
        <v>35</v>
      </c>
      <c r="D1255" s="31" t="s">
        <v>36</v>
      </c>
      <c r="E1255" s="32"/>
      <c r="F1255" s="33"/>
      <c r="G1255" s="34">
        <f>$M$9</f>
        <v>0.1</v>
      </c>
      <c r="H1255" s="19">
        <f>H1254*G1255</f>
        <v>2638</v>
      </c>
      <c r="I1255" s="47"/>
      <c r="J1255" s="15"/>
      <c r="K1255" s="39"/>
    </row>
    <row r="1256" spans="3:11" x14ac:dyDescent="0.3">
      <c r="C1256" s="30" t="s">
        <v>37</v>
      </c>
      <c r="D1256" s="31" t="s">
        <v>38</v>
      </c>
      <c r="E1256" s="32"/>
      <c r="F1256" s="32"/>
      <c r="G1256" s="33"/>
      <c r="H1256" s="48">
        <f>SUM(H1254:H1255)</f>
        <v>29018</v>
      </c>
      <c r="I1256" s="47"/>
      <c r="J1256" s="15"/>
      <c r="K1256" s="39"/>
    </row>
    <row r="1257" spans="3:11" x14ac:dyDescent="0.3">
      <c r="J1257" s="15"/>
      <c r="K1257" s="39"/>
    </row>
    <row r="1258" spans="3:11" x14ac:dyDescent="0.3">
      <c r="C1258" s="2" t="s">
        <v>262</v>
      </c>
      <c r="D1258" s="8" t="s">
        <v>263</v>
      </c>
      <c r="E1258" s="44"/>
      <c r="F1258" s="44"/>
      <c r="G1258" s="44"/>
      <c r="H1258" s="44"/>
      <c r="I1258" s="10">
        <f>ROUNDDOWN(H1273,0)</f>
        <v>39974</v>
      </c>
      <c r="J1258" s="15"/>
      <c r="K1258" s="39"/>
    </row>
    <row r="1259" spans="3:11" ht="27.6" x14ac:dyDescent="0.3">
      <c r="C1259" s="11" t="s">
        <v>9</v>
      </c>
      <c r="D1259" s="11" t="s">
        <v>10</v>
      </c>
      <c r="E1259" s="11" t="s">
        <v>11</v>
      </c>
      <c r="F1259" s="11" t="s">
        <v>12</v>
      </c>
      <c r="G1259" s="11" t="s">
        <v>13</v>
      </c>
      <c r="H1259" s="11" t="s">
        <v>14</v>
      </c>
      <c r="J1259" s="15"/>
      <c r="K1259" s="39"/>
    </row>
    <row r="1260" spans="3:11" x14ac:dyDescent="0.25">
      <c r="C1260" s="12" t="s">
        <v>15</v>
      </c>
      <c r="D1260" s="13" t="s">
        <v>16</v>
      </c>
      <c r="E1260" s="14"/>
      <c r="F1260" s="14"/>
      <c r="G1260" s="14"/>
      <c r="H1260" s="14"/>
      <c r="J1260" s="15"/>
      <c r="K1260" s="39"/>
    </row>
    <row r="1261" spans="3:11" x14ac:dyDescent="0.3">
      <c r="C1261" s="16">
        <v>1</v>
      </c>
      <c r="D1261" s="13" t="s">
        <v>18</v>
      </c>
      <c r="E1261" s="17" t="s">
        <v>19</v>
      </c>
      <c r="F1261" s="18">
        <v>2.4E-2</v>
      </c>
      <c r="G1261" s="19">
        <f>VLOOKUP(D1261,upahbahan,3,FALSE)</f>
        <v>100000</v>
      </c>
      <c r="H1261" s="19">
        <f t="shared" ref="H1261:H1264" si="129">F1261*G1261</f>
        <v>2400</v>
      </c>
      <c r="J1261" s="15"/>
      <c r="K1261" s="39"/>
    </row>
    <row r="1262" spans="3:11" x14ac:dyDescent="0.3">
      <c r="C1262" s="16">
        <v>2</v>
      </c>
      <c r="D1262" s="13" t="str">
        <f>D1245</f>
        <v>Tukang listrik</v>
      </c>
      <c r="E1262" s="17" t="s">
        <v>19</v>
      </c>
      <c r="F1262" s="18">
        <v>0.04</v>
      </c>
      <c r="G1262" s="19">
        <f>VLOOKUP(D1262,upahbahan,3,FALSE)</f>
        <v>145000</v>
      </c>
      <c r="H1262" s="19">
        <f t="shared" si="129"/>
        <v>5800</v>
      </c>
      <c r="J1262" s="15"/>
      <c r="K1262" s="39"/>
    </row>
    <row r="1263" spans="3:11" x14ac:dyDescent="0.3">
      <c r="C1263" s="16">
        <v>3</v>
      </c>
      <c r="D1263" s="13" t="s">
        <v>22</v>
      </c>
      <c r="E1263" s="17" t="s">
        <v>19</v>
      </c>
      <c r="F1263" s="18">
        <v>4.0000000000000001E-3</v>
      </c>
      <c r="G1263" s="19">
        <f>VLOOKUP(D1263,upahbahan,3,FALSE)</f>
        <v>175000</v>
      </c>
      <c r="H1263" s="19">
        <f t="shared" si="129"/>
        <v>700</v>
      </c>
      <c r="J1263" s="15"/>
      <c r="K1263" s="39"/>
    </row>
    <row r="1264" spans="3:11" x14ac:dyDescent="0.3">
      <c r="C1264" s="16">
        <v>4</v>
      </c>
      <c r="D1264" s="13" t="s">
        <v>23</v>
      </c>
      <c r="E1264" s="17" t="s">
        <v>19</v>
      </c>
      <c r="F1264" s="18">
        <v>1E-3</v>
      </c>
      <c r="G1264" s="19">
        <f>VLOOKUP(D1264,upahbahan,3,FALSE)</f>
        <v>200000</v>
      </c>
      <c r="H1264" s="19">
        <f t="shared" si="129"/>
        <v>200</v>
      </c>
      <c r="J1264" s="15"/>
      <c r="K1264" s="39"/>
    </row>
    <row r="1265" spans="3:11" x14ac:dyDescent="0.3">
      <c r="C1265" s="21" t="s">
        <v>24</v>
      </c>
      <c r="D1265" s="22"/>
      <c r="E1265" s="22"/>
      <c r="F1265" s="54"/>
      <c r="G1265" s="24"/>
      <c r="H1265" s="19">
        <f>SUM(H1261:H1264)</f>
        <v>9100</v>
      </c>
      <c r="I1265" s="25"/>
      <c r="J1265" s="15"/>
      <c r="K1265" s="39"/>
    </row>
    <row r="1266" spans="3:11" x14ac:dyDescent="0.25">
      <c r="C1266" s="12" t="s">
        <v>25</v>
      </c>
      <c r="D1266" s="13" t="s">
        <v>26</v>
      </c>
      <c r="E1266" s="14"/>
      <c r="F1266" s="55"/>
      <c r="G1266" s="14"/>
      <c r="H1266" s="14"/>
      <c r="J1266" s="15"/>
      <c r="K1266" s="39"/>
    </row>
    <row r="1267" spans="3:11" x14ac:dyDescent="0.3">
      <c r="C1267" s="63" t="s">
        <v>202</v>
      </c>
      <c r="D1267" s="26" t="s">
        <v>264</v>
      </c>
      <c r="E1267" s="27" t="s">
        <v>28</v>
      </c>
      <c r="F1267" s="18">
        <v>1.2</v>
      </c>
      <c r="G1267" s="19">
        <f>VLOOKUP(D1267,upahbahan,3,FALSE)</f>
        <v>22700</v>
      </c>
      <c r="H1267" s="19">
        <f>F1267*G1267</f>
        <v>27240</v>
      </c>
      <c r="J1267" s="15"/>
      <c r="K1267" s="39"/>
    </row>
    <row r="1268" spans="3:11" x14ac:dyDescent="0.3">
      <c r="C1268" s="21" t="s">
        <v>29</v>
      </c>
      <c r="D1268" s="22"/>
      <c r="E1268" s="22"/>
      <c r="F1268" s="22"/>
      <c r="G1268" s="28"/>
      <c r="H1268" s="19">
        <f>SUM(H1267:H1267)</f>
        <v>27240</v>
      </c>
      <c r="J1268" s="15"/>
      <c r="K1268" s="39"/>
    </row>
    <row r="1269" spans="3:11" x14ac:dyDescent="0.25">
      <c r="C1269" s="12" t="s">
        <v>30</v>
      </c>
      <c r="D1269" s="13" t="s">
        <v>31</v>
      </c>
      <c r="E1269" s="14"/>
      <c r="F1269" s="14"/>
      <c r="G1269" s="14"/>
      <c r="H1269" s="14"/>
      <c r="J1269" s="15"/>
      <c r="K1269" s="39"/>
    </row>
    <row r="1270" spans="3:11" x14ac:dyDescent="0.3">
      <c r="C1270" s="21" t="s">
        <v>32</v>
      </c>
      <c r="D1270" s="22"/>
      <c r="E1270" s="22"/>
      <c r="F1270" s="22"/>
      <c r="G1270" s="28"/>
      <c r="H1270" s="29">
        <v>0</v>
      </c>
      <c r="J1270" s="15"/>
      <c r="K1270" s="39"/>
    </row>
    <row r="1271" spans="3:11" x14ac:dyDescent="0.3">
      <c r="C1271" s="30" t="s">
        <v>33</v>
      </c>
      <c r="D1271" s="31" t="s">
        <v>34</v>
      </c>
      <c r="E1271" s="32"/>
      <c r="F1271" s="32"/>
      <c r="G1271" s="33"/>
      <c r="H1271" s="46">
        <f>H1270+H1268+H1265</f>
        <v>36340</v>
      </c>
      <c r="I1271" s="47"/>
      <c r="J1271" s="15"/>
      <c r="K1271" s="39"/>
    </row>
    <row r="1272" spans="3:11" x14ac:dyDescent="0.3">
      <c r="C1272" s="30" t="s">
        <v>35</v>
      </c>
      <c r="D1272" s="31" t="s">
        <v>36</v>
      </c>
      <c r="E1272" s="32"/>
      <c r="F1272" s="33"/>
      <c r="G1272" s="34">
        <f>$M$9</f>
        <v>0.1</v>
      </c>
      <c r="H1272" s="19">
        <f>H1271*G1272</f>
        <v>3634</v>
      </c>
      <c r="I1272" s="47"/>
      <c r="J1272" s="15"/>
      <c r="K1272" s="39"/>
    </row>
    <row r="1273" spans="3:11" x14ac:dyDescent="0.3">
      <c r="C1273" s="30" t="s">
        <v>37</v>
      </c>
      <c r="D1273" s="31" t="s">
        <v>38</v>
      </c>
      <c r="E1273" s="32"/>
      <c r="F1273" s="32"/>
      <c r="G1273" s="33"/>
      <c r="H1273" s="48">
        <f>SUM(H1271:H1272)</f>
        <v>39974</v>
      </c>
      <c r="I1273" s="47"/>
      <c r="J1273" s="15"/>
      <c r="K1273" s="39"/>
    </row>
    <row r="1274" spans="3:11" x14ac:dyDescent="0.3">
      <c r="J1274" s="15"/>
      <c r="K1274" s="39"/>
    </row>
    <row r="1275" spans="3:11" x14ac:dyDescent="0.3">
      <c r="C1275" s="2" t="s">
        <v>265</v>
      </c>
      <c r="D1275" s="8" t="s">
        <v>266</v>
      </c>
      <c r="E1275" s="44"/>
      <c r="F1275" s="44"/>
      <c r="G1275" s="44"/>
      <c r="H1275" s="44"/>
      <c r="I1275" s="10">
        <f>ROUNDDOWN(H1290,0)</f>
        <v>61088</v>
      </c>
      <c r="J1275" s="15"/>
      <c r="K1275" s="39"/>
    </row>
    <row r="1276" spans="3:11" ht="27.6" x14ac:dyDescent="0.3">
      <c r="C1276" s="11" t="s">
        <v>9</v>
      </c>
      <c r="D1276" s="11" t="s">
        <v>10</v>
      </c>
      <c r="E1276" s="11" t="s">
        <v>11</v>
      </c>
      <c r="F1276" s="11" t="s">
        <v>12</v>
      </c>
      <c r="G1276" s="11" t="s">
        <v>13</v>
      </c>
      <c r="H1276" s="11" t="s">
        <v>14</v>
      </c>
      <c r="J1276" s="15"/>
      <c r="K1276" s="39"/>
    </row>
    <row r="1277" spans="3:11" x14ac:dyDescent="0.25">
      <c r="C1277" s="12" t="s">
        <v>15</v>
      </c>
      <c r="D1277" s="13" t="s">
        <v>16</v>
      </c>
      <c r="E1277" s="14"/>
      <c r="F1277" s="14"/>
      <c r="G1277" s="14"/>
      <c r="H1277" s="14"/>
      <c r="J1277" s="15"/>
      <c r="K1277" s="39"/>
    </row>
    <row r="1278" spans="3:11" x14ac:dyDescent="0.3">
      <c r="C1278" s="16">
        <v>1</v>
      </c>
      <c r="D1278" s="13" t="s">
        <v>18</v>
      </c>
      <c r="E1278" s="17" t="s">
        <v>19</v>
      </c>
      <c r="F1278" s="49">
        <v>2.9000000000000001E-2</v>
      </c>
      <c r="G1278" s="19">
        <f>VLOOKUP(D1278,upahbahan,3,FALSE)</f>
        <v>100000</v>
      </c>
      <c r="H1278" s="19">
        <f t="shared" ref="H1278:H1281" si="130">F1278*G1278</f>
        <v>2900</v>
      </c>
      <c r="J1278" s="15"/>
      <c r="K1278" s="39"/>
    </row>
    <row r="1279" spans="3:11" x14ac:dyDescent="0.3">
      <c r="C1279" s="16">
        <v>2</v>
      </c>
      <c r="D1279" s="13" t="str">
        <f>D1262</f>
        <v>Tukang listrik</v>
      </c>
      <c r="E1279" s="17" t="s">
        <v>19</v>
      </c>
      <c r="F1279" s="49">
        <v>4.8000000000000001E-2</v>
      </c>
      <c r="G1279" s="19">
        <f>VLOOKUP(D1279,upahbahan,3,FALSE)</f>
        <v>145000</v>
      </c>
      <c r="H1279" s="19">
        <f t="shared" si="130"/>
        <v>6960</v>
      </c>
      <c r="J1279" s="15"/>
      <c r="K1279" s="39"/>
    </row>
    <row r="1280" spans="3:11" x14ac:dyDescent="0.3">
      <c r="C1280" s="16">
        <v>3</v>
      </c>
      <c r="D1280" s="13" t="s">
        <v>22</v>
      </c>
      <c r="E1280" s="17" t="s">
        <v>19</v>
      </c>
      <c r="F1280" s="49">
        <v>5.0000000000000001E-3</v>
      </c>
      <c r="G1280" s="19">
        <f>VLOOKUP(D1280,upahbahan,3,FALSE)</f>
        <v>175000</v>
      </c>
      <c r="H1280" s="19">
        <f t="shared" si="130"/>
        <v>875</v>
      </c>
      <c r="J1280" s="15"/>
      <c r="K1280" s="39"/>
    </row>
    <row r="1281" spans="3:11" x14ac:dyDescent="0.3">
      <c r="C1281" s="16">
        <v>4</v>
      </c>
      <c r="D1281" s="13" t="s">
        <v>23</v>
      </c>
      <c r="E1281" s="17" t="s">
        <v>19</v>
      </c>
      <c r="F1281" s="49">
        <v>2E-3</v>
      </c>
      <c r="G1281" s="19">
        <f>VLOOKUP(D1281,upahbahan,3,FALSE)</f>
        <v>200000</v>
      </c>
      <c r="H1281" s="19">
        <f t="shared" si="130"/>
        <v>400</v>
      </c>
      <c r="J1281" s="15"/>
      <c r="K1281" s="39"/>
    </row>
    <row r="1282" spans="3:11" x14ac:dyDescent="0.3">
      <c r="C1282" s="21" t="s">
        <v>24</v>
      </c>
      <c r="D1282" s="22"/>
      <c r="E1282" s="22"/>
      <c r="F1282" s="54"/>
      <c r="G1282" s="24"/>
      <c r="H1282" s="19">
        <f>SUM(H1278:H1281)</f>
        <v>11135</v>
      </c>
      <c r="I1282" s="25"/>
      <c r="J1282" s="15"/>
      <c r="K1282" s="39"/>
    </row>
    <row r="1283" spans="3:11" x14ac:dyDescent="0.25">
      <c r="C1283" s="12" t="s">
        <v>25</v>
      </c>
      <c r="D1283" s="13" t="s">
        <v>26</v>
      </c>
      <c r="E1283" s="14"/>
      <c r="F1283" s="55"/>
      <c r="G1283" s="14"/>
      <c r="H1283" s="14"/>
      <c r="J1283" s="15"/>
      <c r="K1283" s="39"/>
    </row>
    <row r="1284" spans="3:11" x14ac:dyDescent="0.3">
      <c r="C1284" s="63" t="s">
        <v>202</v>
      </c>
      <c r="D1284" s="26" t="s">
        <v>267</v>
      </c>
      <c r="E1284" s="27" t="s">
        <v>28</v>
      </c>
      <c r="F1284" s="18">
        <v>1.2</v>
      </c>
      <c r="G1284" s="19">
        <f>VLOOKUP(D1284,upahbahan,3,FALSE)</f>
        <v>37000</v>
      </c>
      <c r="H1284" s="19">
        <f t="shared" ref="H1284" si="131">F1284*G1284</f>
        <v>44400</v>
      </c>
      <c r="J1284" s="15"/>
      <c r="K1284" s="39"/>
    </row>
    <row r="1285" spans="3:11" x14ac:dyDescent="0.3">
      <c r="C1285" s="21" t="s">
        <v>29</v>
      </c>
      <c r="D1285" s="22"/>
      <c r="E1285" s="22"/>
      <c r="F1285" s="22"/>
      <c r="G1285" s="28"/>
      <c r="H1285" s="19">
        <f>SUM(H1284:H1284)</f>
        <v>44400</v>
      </c>
      <c r="J1285" s="15"/>
      <c r="K1285" s="39"/>
    </row>
    <row r="1286" spans="3:11" x14ac:dyDescent="0.25">
      <c r="C1286" s="12" t="s">
        <v>30</v>
      </c>
      <c r="D1286" s="13" t="s">
        <v>31</v>
      </c>
      <c r="E1286" s="14"/>
      <c r="F1286" s="14"/>
      <c r="G1286" s="14"/>
      <c r="H1286" s="14"/>
      <c r="J1286" s="15"/>
      <c r="K1286" s="39"/>
    </row>
    <row r="1287" spans="3:11" x14ac:dyDescent="0.3">
      <c r="C1287" s="21" t="s">
        <v>32</v>
      </c>
      <c r="D1287" s="22"/>
      <c r="E1287" s="22"/>
      <c r="F1287" s="22"/>
      <c r="G1287" s="28"/>
      <c r="H1287" s="29">
        <v>0</v>
      </c>
      <c r="J1287" s="15"/>
      <c r="K1287" s="39"/>
    </row>
    <row r="1288" spans="3:11" x14ac:dyDescent="0.3">
      <c r="C1288" s="30" t="s">
        <v>33</v>
      </c>
      <c r="D1288" s="31" t="s">
        <v>34</v>
      </c>
      <c r="E1288" s="32"/>
      <c r="F1288" s="32"/>
      <c r="G1288" s="33"/>
      <c r="H1288" s="46">
        <f>H1287+H1285+H1282</f>
        <v>55535</v>
      </c>
      <c r="I1288" s="47"/>
      <c r="J1288" s="15"/>
      <c r="K1288" s="39"/>
    </row>
    <row r="1289" spans="3:11" x14ac:dyDescent="0.3">
      <c r="C1289" s="30" t="s">
        <v>35</v>
      </c>
      <c r="D1289" s="31" t="s">
        <v>36</v>
      </c>
      <c r="E1289" s="32"/>
      <c r="F1289" s="33"/>
      <c r="G1289" s="34">
        <f>$M$9</f>
        <v>0.1</v>
      </c>
      <c r="H1289" s="19">
        <f>H1288*G1289</f>
        <v>5553.5</v>
      </c>
      <c r="I1289" s="47"/>
      <c r="J1289" s="15"/>
      <c r="K1289" s="39"/>
    </row>
    <row r="1290" spans="3:11" x14ac:dyDescent="0.3">
      <c r="C1290" s="30" t="s">
        <v>37</v>
      </c>
      <c r="D1290" s="31" t="s">
        <v>38</v>
      </c>
      <c r="E1290" s="32"/>
      <c r="F1290" s="32"/>
      <c r="G1290" s="33"/>
      <c r="H1290" s="48">
        <f>SUM(H1288:H1289)</f>
        <v>61088.5</v>
      </c>
      <c r="I1290" s="47"/>
      <c r="J1290" s="15"/>
      <c r="K1290" s="39"/>
    </row>
    <row r="1291" spans="3:11" x14ac:dyDescent="0.3">
      <c r="J1291" s="15"/>
      <c r="K1291" s="39"/>
    </row>
    <row r="1292" spans="3:11" x14ac:dyDescent="0.3">
      <c r="C1292" s="2" t="s">
        <v>268</v>
      </c>
      <c r="D1292" s="8" t="s">
        <v>269</v>
      </c>
      <c r="E1292" s="44"/>
      <c r="F1292" s="44"/>
      <c r="G1292" s="44"/>
      <c r="H1292" s="44"/>
      <c r="I1292" s="10">
        <f>ROUNDDOWN(H1307,0)</f>
        <v>84056</v>
      </c>
      <c r="J1292" s="15"/>
      <c r="K1292" s="39"/>
    </row>
    <row r="1293" spans="3:11" ht="27.6" x14ac:dyDescent="0.3">
      <c r="C1293" s="11" t="s">
        <v>9</v>
      </c>
      <c r="D1293" s="11" t="s">
        <v>10</v>
      </c>
      <c r="E1293" s="11" t="s">
        <v>11</v>
      </c>
      <c r="F1293" s="11" t="s">
        <v>12</v>
      </c>
      <c r="G1293" s="11" t="s">
        <v>13</v>
      </c>
      <c r="H1293" s="11" t="s">
        <v>14</v>
      </c>
      <c r="J1293" s="15"/>
      <c r="K1293" s="39"/>
    </row>
    <row r="1294" spans="3:11" x14ac:dyDescent="0.25">
      <c r="C1294" s="12" t="s">
        <v>15</v>
      </c>
      <c r="D1294" s="13" t="s">
        <v>16</v>
      </c>
      <c r="E1294" s="14"/>
      <c r="F1294" s="14"/>
      <c r="G1294" s="14"/>
      <c r="H1294" s="14"/>
      <c r="J1294" s="15"/>
      <c r="K1294" s="39"/>
    </row>
    <row r="1295" spans="3:11" x14ac:dyDescent="0.3">
      <c r="C1295" s="16">
        <v>1</v>
      </c>
      <c r="D1295" s="13" t="s">
        <v>18</v>
      </c>
      <c r="E1295" s="17" t="s">
        <v>19</v>
      </c>
      <c r="F1295" s="49">
        <v>2.9000000000000001E-2</v>
      </c>
      <c r="G1295" s="19">
        <f>VLOOKUP(D1295,upahbahan,3,FALSE)</f>
        <v>100000</v>
      </c>
      <c r="H1295" s="19">
        <f t="shared" ref="H1295:H1298" si="132">F1295*G1295</f>
        <v>2900</v>
      </c>
      <c r="J1295" s="15"/>
      <c r="K1295" s="39"/>
    </row>
    <row r="1296" spans="3:11" x14ac:dyDescent="0.3">
      <c r="C1296" s="16">
        <v>2</v>
      </c>
      <c r="D1296" s="13" t="str">
        <f>D1279</f>
        <v>Tukang listrik</v>
      </c>
      <c r="E1296" s="17" t="s">
        <v>19</v>
      </c>
      <c r="F1296" s="49">
        <v>4.8000000000000001E-2</v>
      </c>
      <c r="G1296" s="19">
        <f>VLOOKUP(D1296,upahbahan,3,FALSE)</f>
        <v>145000</v>
      </c>
      <c r="H1296" s="19">
        <f t="shared" si="132"/>
        <v>6960</v>
      </c>
      <c r="J1296" s="15"/>
      <c r="K1296" s="39"/>
    </row>
    <row r="1297" spans="3:11" x14ac:dyDescent="0.3">
      <c r="C1297" s="16">
        <v>3</v>
      </c>
      <c r="D1297" s="13" t="s">
        <v>22</v>
      </c>
      <c r="E1297" s="17" t="s">
        <v>19</v>
      </c>
      <c r="F1297" s="49">
        <v>5.0000000000000001E-3</v>
      </c>
      <c r="G1297" s="19">
        <f>VLOOKUP(D1297,upahbahan,3,FALSE)</f>
        <v>175000</v>
      </c>
      <c r="H1297" s="19">
        <f t="shared" si="132"/>
        <v>875</v>
      </c>
      <c r="J1297" s="15"/>
      <c r="K1297" s="39"/>
    </row>
    <row r="1298" spans="3:11" x14ac:dyDescent="0.3">
      <c r="C1298" s="16">
        <v>4</v>
      </c>
      <c r="D1298" s="13" t="s">
        <v>23</v>
      </c>
      <c r="E1298" s="17" t="s">
        <v>19</v>
      </c>
      <c r="F1298" s="49">
        <v>2E-3</v>
      </c>
      <c r="G1298" s="19">
        <f>VLOOKUP(D1298,upahbahan,3,FALSE)</f>
        <v>200000</v>
      </c>
      <c r="H1298" s="19">
        <f t="shared" si="132"/>
        <v>400</v>
      </c>
      <c r="J1298" s="15"/>
      <c r="K1298" s="39"/>
    </row>
    <row r="1299" spans="3:11" x14ac:dyDescent="0.3">
      <c r="C1299" s="21" t="s">
        <v>24</v>
      </c>
      <c r="D1299" s="22"/>
      <c r="E1299" s="22"/>
      <c r="F1299" s="54"/>
      <c r="G1299" s="24"/>
      <c r="H1299" s="19">
        <f>SUM(H1295:H1298)</f>
        <v>11135</v>
      </c>
      <c r="I1299" s="25"/>
      <c r="J1299" s="15"/>
      <c r="K1299" s="39"/>
    </row>
    <row r="1300" spans="3:11" x14ac:dyDescent="0.25">
      <c r="C1300" s="12" t="s">
        <v>25</v>
      </c>
      <c r="D1300" s="13" t="s">
        <v>26</v>
      </c>
      <c r="E1300" s="14"/>
      <c r="F1300" s="55"/>
      <c r="G1300" s="14"/>
      <c r="H1300" s="14"/>
      <c r="J1300" s="15"/>
      <c r="K1300" s="39"/>
    </row>
    <row r="1301" spans="3:11" x14ac:dyDescent="0.3">
      <c r="C1301" s="63" t="s">
        <v>202</v>
      </c>
      <c r="D1301" s="26" t="s">
        <v>270</v>
      </c>
      <c r="E1301" s="27" t="s">
        <v>28</v>
      </c>
      <c r="F1301" s="18">
        <v>1.2</v>
      </c>
      <c r="G1301" s="19">
        <f>VLOOKUP(D1301,upahbahan,3,FALSE)</f>
        <v>54400</v>
      </c>
      <c r="H1301" s="19">
        <f t="shared" ref="H1301" si="133">F1301*G1301</f>
        <v>65280</v>
      </c>
      <c r="J1301" s="15"/>
      <c r="K1301" s="39"/>
    </row>
    <row r="1302" spans="3:11" x14ac:dyDescent="0.3">
      <c r="C1302" s="21" t="s">
        <v>29</v>
      </c>
      <c r="D1302" s="22"/>
      <c r="E1302" s="22"/>
      <c r="F1302" s="22"/>
      <c r="G1302" s="28"/>
      <c r="H1302" s="19">
        <f>SUM(H1301:H1301)</f>
        <v>65280</v>
      </c>
      <c r="J1302" s="15"/>
      <c r="K1302" s="39"/>
    </row>
    <row r="1303" spans="3:11" x14ac:dyDescent="0.25">
      <c r="C1303" s="12" t="s">
        <v>30</v>
      </c>
      <c r="D1303" s="13" t="s">
        <v>31</v>
      </c>
      <c r="E1303" s="14"/>
      <c r="F1303" s="14"/>
      <c r="G1303" s="14"/>
      <c r="H1303" s="14"/>
      <c r="J1303" s="15"/>
      <c r="K1303" s="39"/>
    </row>
    <row r="1304" spans="3:11" x14ac:dyDescent="0.3">
      <c r="C1304" s="21" t="s">
        <v>32</v>
      </c>
      <c r="D1304" s="22"/>
      <c r="E1304" s="22"/>
      <c r="F1304" s="22"/>
      <c r="G1304" s="28"/>
      <c r="H1304" s="29">
        <v>0</v>
      </c>
      <c r="J1304" s="15"/>
      <c r="K1304" s="39"/>
    </row>
    <row r="1305" spans="3:11" x14ac:dyDescent="0.3">
      <c r="C1305" s="30" t="s">
        <v>33</v>
      </c>
      <c r="D1305" s="31" t="s">
        <v>34</v>
      </c>
      <c r="E1305" s="32"/>
      <c r="F1305" s="32"/>
      <c r="G1305" s="33"/>
      <c r="H1305" s="46">
        <f>H1304+H1302+H1299</f>
        <v>76415</v>
      </c>
      <c r="I1305" s="47"/>
      <c r="J1305" s="15"/>
      <c r="K1305" s="39"/>
    </row>
    <row r="1306" spans="3:11" x14ac:dyDescent="0.3">
      <c r="C1306" s="30" t="s">
        <v>35</v>
      </c>
      <c r="D1306" s="31" t="s">
        <v>36</v>
      </c>
      <c r="E1306" s="32"/>
      <c r="F1306" s="33"/>
      <c r="G1306" s="34">
        <f>$M$9</f>
        <v>0.1</v>
      </c>
      <c r="H1306" s="19">
        <f>H1305*G1306</f>
        <v>7641.5</v>
      </c>
      <c r="I1306" s="47"/>
      <c r="J1306" s="15"/>
      <c r="K1306" s="39"/>
    </row>
    <row r="1307" spans="3:11" x14ac:dyDescent="0.3">
      <c r="C1307" s="30" t="s">
        <v>37</v>
      </c>
      <c r="D1307" s="31" t="s">
        <v>38</v>
      </c>
      <c r="E1307" s="32"/>
      <c r="F1307" s="32"/>
      <c r="G1307" s="33"/>
      <c r="H1307" s="48">
        <f>SUM(H1305:H1306)</f>
        <v>84056.5</v>
      </c>
      <c r="I1307" s="47"/>
      <c r="J1307" s="15"/>
      <c r="K1307" s="39"/>
    </row>
    <row r="1308" spans="3:11" x14ac:dyDescent="0.3">
      <c r="J1308" s="15"/>
      <c r="K1308" s="39"/>
    </row>
    <row r="1309" spans="3:11" x14ac:dyDescent="0.3">
      <c r="C1309" s="2" t="s">
        <v>271</v>
      </c>
      <c r="D1309" s="8" t="s">
        <v>272</v>
      </c>
      <c r="E1309" s="44"/>
      <c r="F1309" s="44"/>
      <c r="G1309" s="44"/>
      <c r="H1309" s="44"/>
      <c r="I1309" s="10">
        <f>ROUNDDOWN(H1324,0)</f>
        <v>137753</v>
      </c>
      <c r="J1309" s="15"/>
      <c r="K1309" s="39"/>
    </row>
    <row r="1310" spans="3:11" ht="27.6" x14ac:dyDescent="0.3">
      <c r="C1310" s="11" t="s">
        <v>9</v>
      </c>
      <c r="D1310" s="11" t="s">
        <v>10</v>
      </c>
      <c r="E1310" s="11" t="s">
        <v>11</v>
      </c>
      <c r="F1310" s="11" t="s">
        <v>12</v>
      </c>
      <c r="G1310" s="11" t="s">
        <v>13</v>
      </c>
      <c r="H1310" s="11" t="s">
        <v>14</v>
      </c>
      <c r="J1310" s="15"/>
      <c r="K1310" s="39"/>
    </row>
    <row r="1311" spans="3:11" x14ac:dyDescent="0.25">
      <c r="C1311" s="12" t="s">
        <v>15</v>
      </c>
      <c r="D1311" s="13" t="s">
        <v>16</v>
      </c>
      <c r="E1311" s="14"/>
      <c r="F1311" s="14"/>
      <c r="G1311" s="14"/>
      <c r="H1311" s="14"/>
      <c r="J1311" s="15"/>
      <c r="K1311" s="39"/>
    </row>
    <row r="1312" spans="3:11" x14ac:dyDescent="0.3">
      <c r="C1312" s="16">
        <v>1</v>
      </c>
      <c r="D1312" s="13" t="s">
        <v>18</v>
      </c>
      <c r="E1312" s="17" t="s">
        <v>19</v>
      </c>
      <c r="F1312" s="18">
        <v>3.5999999999999997E-2</v>
      </c>
      <c r="G1312" s="19">
        <f>VLOOKUP(D1312,upahbahan,3,FALSE)</f>
        <v>100000</v>
      </c>
      <c r="H1312" s="19">
        <f t="shared" ref="H1312:H1315" si="134">F1312*G1312</f>
        <v>3599.9999999999995</v>
      </c>
      <c r="J1312" s="15"/>
      <c r="K1312" s="39"/>
    </row>
    <row r="1313" spans="3:11" x14ac:dyDescent="0.3">
      <c r="C1313" s="16">
        <v>2</v>
      </c>
      <c r="D1313" s="13" t="str">
        <f>D1296</f>
        <v>Tukang listrik</v>
      </c>
      <c r="E1313" s="17" t="s">
        <v>19</v>
      </c>
      <c r="F1313" s="18">
        <v>0.06</v>
      </c>
      <c r="G1313" s="19">
        <f>VLOOKUP(D1313,upahbahan,3,FALSE)</f>
        <v>145000</v>
      </c>
      <c r="H1313" s="19">
        <f t="shared" si="134"/>
        <v>8700</v>
      </c>
      <c r="J1313" s="15"/>
      <c r="K1313" s="39"/>
    </row>
    <row r="1314" spans="3:11" x14ac:dyDescent="0.3">
      <c r="C1314" s="16">
        <v>3</v>
      </c>
      <c r="D1314" s="13" t="s">
        <v>22</v>
      </c>
      <c r="E1314" s="17" t="s">
        <v>19</v>
      </c>
      <c r="F1314" s="18">
        <v>6.0000000000000001E-3</v>
      </c>
      <c r="G1314" s="19">
        <f>VLOOKUP(D1314,upahbahan,3,FALSE)</f>
        <v>175000</v>
      </c>
      <c r="H1314" s="19">
        <f t="shared" si="134"/>
        <v>1050</v>
      </c>
      <c r="J1314" s="15"/>
      <c r="K1314" s="39"/>
    </row>
    <row r="1315" spans="3:11" x14ac:dyDescent="0.3">
      <c r="C1315" s="16">
        <v>4</v>
      </c>
      <c r="D1315" s="13" t="s">
        <v>23</v>
      </c>
      <c r="E1315" s="17" t="s">
        <v>19</v>
      </c>
      <c r="F1315" s="18">
        <v>2E-3</v>
      </c>
      <c r="G1315" s="19">
        <f>VLOOKUP(D1315,upahbahan,3,FALSE)</f>
        <v>200000</v>
      </c>
      <c r="H1315" s="19">
        <f t="shared" si="134"/>
        <v>400</v>
      </c>
      <c r="J1315" s="15"/>
      <c r="K1315" s="39"/>
    </row>
    <row r="1316" spans="3:11" x14ac:dyDescent="0.3">
      <c r="C1316" s="21" t="s">
        <v>24</v>
      </c>
      <c r="D1316" s="22"/>
      <c r="E1316" s="22"/>
      <c r="F1316" s="54"/>
      <c r="G1316" s="24"/>
      <c r="H1316" s="19">
        <f>SUM(H1312:H1315)</f>
        <v>13750</v>
      </c>
      <c r="I1316" s="25"/>
      <c r="J1316" s="15"/>
      <c r="K1316" s="39"/>
    </row>
    <row r="1317" spans="3:11" x14ac:dyDescent="0.25">
      <c r="C1317" s="12" t="s">
        <v>25</v>
      </c>
      <c r="D1317" s="13" t="s">
        <v>26</v>
      </c>
      <c r="E1317" s="14"/>
      <c r="F1317" s="55"/>
      <c r="G1317" s="14"/>
      <c r="H1317" s="14"/>
      <c r="J1317" s="15"/>
      <c r="K1317" s="39"/>
    </row>
    <row r="1318" spans="3:11" x14ac:dyDescent="0.3">
      <c r="C1318" s="63" t="s">
        <v>202</v>
      </c>
      <c r="D1318" s="26" t="s">
        <v>273</v>
      </c>
      <c r="E1318" s="27" t="s">
        <v>28</v>
      </c>
      <c r="F1318" s="18">
        <v>1.2</v>
      </c>
      <c r="G1318" s="19">
        <f>VLOOKUP(D1318,upahbahan,3,FALSE)</f>
        <v>92900</v>
      </c>
      <c r="H1318" s="19">
        <f>F1318*G1318</f>
        <v>111480</v>
      </c>
      <c r="J1318" s="15"/>
      <c r="K1318" s="39"/>
    </row>
    <row r="1319" spans="3:11" x14ac:dyDescent="0.3">
      <c r="C1319" s="21" t="s">
        <v>29</v>
      </c>
      <c r="D1319" s="22"/>
      <c r="E1319" s="22"/>
      <c r="F1319" s="22"/>
      <c r="G1319" s="28"/>
      <c r="H1319" s="19">
        <f>SUM(H1318:H1318)</f>
        <v>111480</v>
      </c>
      <c r="J1319" s="15"/>
      <c r="K1319" s="39"/>
    </row>
    <row r="1320" spans="3:11" x14ac:dyDescent="0.25">
      <c r="C1320" s="12" t="s">
        <v>30</v>
      </c>
      <c r="D1320" s="13" t="s">
        <v>31</v>
      </c>
      <c r="E1320" s="14"/>
      <c r="F1320" s="14"/>
      <c r="G1320" s="14"/>
      <c r="H1320" s="14"/>
      <c r="J1320" s="15"/>
      <c r="K1320" s="39"/>
    </row>
    <row r="1321" spans="3:11" x14ac:dyDescent="0.3">
      <c r="C1321" s="21" t="s">
        <v>32</v>
      </c>
      <c r="D1321" s="22"/>
      <c r="E1321" s="22"/>
      <c r="F1321" s="22"/>
      <c r="G1321" s="28"/>
      <c r="H1321" s="29">
        <v>0</v>
      </c>
      <c r="J1321" s="15"/>
      <c r="K1321" s="39"/>
    </row>
    <row r="1322" spans="3:11" x14ac:dyDescent="0.3">
      <c r="C1322" s="30" t="s">
        <v>33</v>
      </c>
      <c r="D1322" s="31" t="s">
        <v>34</v>
      </c>
      <c r="E1322" s="32"/>
      <c r="F1322" s="32"/>
      <c r="G1322" s="33"/>
      <c r="H1322" s="46">
        <f>H1321+H1319+H1316</f>
        <v>125230</v>
      </c>
      <c r="I1322" s="47"/>
      <c r="J1322" s="15"/>
      <c r="K1322" s="39"/>
    </row>
    <row r="1323" spans="3:11" x14ac:dyDescent="0.3">
      <c r="C1323" s="30" t="s">
        <v>35</v>
      </c>
      <c r="D1323" s="31" t="s">
        <v>36</v>
      </c>
      <c r="E1323" s="32"/>
      <c r="F1323" s="33"/>
      <c r="G1323" s="34">
        <f>$M$9</f>
        <v>0.1</v>
      </c>
      <c r="H1323" s="19">
        <f>H1322*G1323</f>
        <v>12523</v>
      </c>
      <c r="I1323" s="47"/>
      <c r="J1323" s="15"/>
      <c r="K1323" s="39"/>
    </row>
    <row r="1324" spans="3:11" x14ac:dyDescent="0.3">
      <c r="C1324" s="30" t="s">
        <v>37</v>
      </c>
      <c r="D1324" s="31" t="s">
        <v>38</v>
      </c>
      <c r="E1324" s="32"/>
      <c r="F1324" s="32"/>
      <c r="G1324" s="33"/>
      <c r="H1324" s="48">
        <f>SUM(H1322:H1323)</f>
        <v>137753</v>
      </c>
      <c r="I1324" s="47"/>
      <c r="J1324" s="15"/>
      <c r="K1324" s="39"/>
    </row>
    <row r="1325" spans="3:11" x14ac:dyDescent="0.3">
      <c r="J1325" s="15"/>
      <c r="K1325" s="39"/>
    </row>
    <row r="1326" spans="3:11" x14ac:dyDescent="0.3">
      <c r="C1326" s="3" t="s">
        <v>274</v>
      </c>
      <c r="D1326" s="8" t="s">
        <v>275</v>
      </c>
      <c r="E1326" s="44"/>
      <c r="F1326" s="44"/>
      <c r="G1326" s="44"/>
      <c r="H1326" s="44"/>
      <c r="I1326" s="10">
        <f>ROUNDDOWN(H1341,0)</f>
        <v>213125</v>
      </c>
      <c r="J1326" s="15"/>
      <c r="K1326" s="39"/>
    </row>
    <row r="1327" spans="3:11" ht="27.6" x14ac:dyDescent="0.3">
      <c r="C1327" s="11" t="s">
        <v>9</v>
      </c>
      <c r="D1327" s="11" t="s">
        <v>10</v>
      </c>
      <c r="E1327" s="11" t="s">
        <v>11</v>
      </c>
      <c r="F1327" s="11" t="s">
        <v>12</v>
      </c>
      <c r="G1327" s="11" t="s">
        <v>13</v>
      </c>
      <c r="H1327" s="11" t="s">
        <v>14</v>
      </c>
      <c r="J1327" s="15"/>
      <c r="K1327" s="39"/>
    </row>
    <row r="1328" spans="3:11" x14ac:dyDescent="0.25">
      <c r="C1328" s="12" t="s">
        <v>15</v>
      </c>
      <c r="D1328" s="13" t="s">
        <v>16</v>
      </c>
      <c r="E1328" s="14"/>
      <c r="F1328" s="14"/>
      <c r="G1328" s="14"/>
      <c r="H1328" s="14"/>
      <c r="J1328" s="15"/>
      <c r="K1328" s="39"/>
    </row>
    <row r="1329" spans="3:11" x14ac:dyDescent="0.3">
      <c r="C1329" s="16">
        <v>1</v>
      </c>
      <c r="D1329" s="13" t="s">
        <v>18</v>
      </c>
      <c r="E1329" s="17" t="s">
        <v>19</v>
      </c>
      <c r="F1329" s="18">
        <v>3.5999999999999997E-2</v>
      </c>
      <c r="G1329" s="19">
        <f>VLOOKUP(D1329,upahbahan,3,FALSE)</f>
        <v>100000</v>
      </c>
      <c r="H1329" s="19">
        <f t="shared" ref="H1329:H1332" si="135">F1329*G1329</f>
        <v>3599.9999999999995</v>
      </c>
      <c r="J1329" s="15"/>
      <c r="K1329" s="39"/>
    </row>
    <row r="1330" spans="3:11" x14ac:dyDescent="0.3">
      <c r="C1330" s="16">
        <v>2</v>
      </c>
      <c r="D1330" s="13" t="str">
        <f>D1313</f>
        <v>Tukang listrik</v>
      </c>
      <c r="E1330" s="17" t="s">
        <v>19</v>
      </c>
      <c r="F1330" s="18">
        <v>0.06</v>
      </c>
      <c r="G1330" s="19">
        <f>VLOOKUP(D1330,upahbahan,3,FALSE)</f>
        <v>145000</v>
      </c>
      <c r="H1330" s="19">
        <f t="shared" si="135"/>
        <v>8700</v>
      </c>
      <c r="J1330" s="15"/>
      <c r="K1330" s="39"/>
    </row>
    <row r="1331" spans="3:11" x14ac:dyDescent="0.3">
      <c r="C1331" s="16">
        <v>3</v>
      </c>
      <c r="D1331" s="13" t="s">
        <v>22</v>
      </c>
      <c r="E1331" s="17" t="s">
        <v>19</v>
      </c>
      <c r="F1331" s="18">
        <v>6.0000000000000001E-3</v>
      </c>
      <c r="G1331" s="19">
        <f>VLOOKUP(D1331,upahbahan,3,FALSE)</f>
        <v>175000</v>
      </c>
      <c r="H1331" s="19">
        <f t="shared" si="135"/>
        <v>1050</v>
      </c>
      <c r="J1331" s="15"/>
      <c r="K1331" s="39"/>
    </row>
    <row r="1332" spans="3:11" x14ac:dyDescent="0.3">
      <c r="C1332" s="16">
        <v>4</v>
      </c>
      <c r="D1332" s="13" t="s">
        <v>23</v>
      </c>
      <c r="E1332" s="17" t="s">
        <v>19</v>
      </c>
      <c r="F1332" s="18">
        <v>2E-3</v>
      </c>
      <c r="G1332" s="19">
        <f>VLOOKUP(D1332,upahbahan,3,FALSE)</f>
        <v>200000</v>
      </c>
      <c r="H1332" s="19">
        <f t="shared" si="135"/>
        <v>400</v>
      </c>
      <c r="J1332" s="15"/>
      <c r="K1332" s="39"/>
    </row>
    <row r="1333" spans="3:11" x14ac:dyDescent="0.3">
      <c r="C1333" s="21" t="s">
        <v>24</v>
      </c>
      <c r="D1333" s="22"/>
      <c r="E1333" s="22"/>
      <c r="F1333" s="54"/>
      <c r="G1333" s="24"/>
      <c r="H1333" s="19">
        <f>SUM(H1329:H1332)</f>
        <v>13750</v>
      </c>
      <c r="I1333" s="25"/>
      <c r="J1333" s="15"/>
      <c r="K1333" s="39"/>
    </row>
    <row r="1334" spans="3:11" x14ac:dyDescent="0.25">
      <c r="C1334" s="12" t="s">
        <v>25</v>
      </c>
      <c r="D1334" s="13" t="s">
        <v>26</v>
      </c>
      <c r="E1334" s="14"/>
      <c r="F1334" s="55"/>
      <c r="G1334" s="14"/>
      <c r="H1334" s="14"/>
      <c r="J1334" s="15"/>
      <c r="K1334" s="39"/>
    </row>
    <row r="1335" spans="3:11" x14ac:dyDescent="0.3">
      <c r="C1335" s="63" t="s">
        <v>202</v>
      </c>
      <c r="D1335" s="26" t="s">
        <v>276</v>
      </c>
      <c r="E1335" s="27" t="s">
        <v>28</v>
      </c>
      <c r="F1335" s="18">
        <v>1.2</v>
      </c>
      <c r="G1335" s="19">
        <f>VLOOKUP(D1335,upahbahan,3,FALSE)</f>
        <v>150000</v>
      </c>
      <c r="H1335" s="19">
        <f t="shared" ref="H1335" si="136">F1335*G1335</f>
        <v>180000</v>
      </c>
      <c r="J1335" s="15"/>
      <c r="K1335" s="39"/>
    </row>
    <row r="1336" spans="3:11" x14ac:dyDescent="0.3">
      <c r="C1336" s="21" t="s">
        <v>29</v>
      </c>
      <c r="D1336" s="22"/>
      <c r="E1336" s="22"/>
      <c r="F1336" s="22"/>
      <c r="G1336" s="28"/>
      <c r="H1336" s="19">
        <f>SUM(H1335:H1335)</f>
        <v>180000</v>
      </c>
      <c r="J1336" s="15"/>
      <c r="K1336" s="39"/>
    </row>
    <row r="1337" spans="3:11" x14ac:dyDescent="0.25">
      <c r="C1337" s="12" t="s">
        <v>30</v>
      </c>
      <c r="D1337" s="13" t="s">
        <v>31</v>
      </c>
      <c r="E1337" s="14"/>
      <c r="F1337" s="14"/>
      <c r="G1337" s="14"/>
      <c r="H1337" s="14"/>
      <c r="J1337" s="15"/>
      <c r="K1337" s="39"/>
    </row>
    <row r="1338" spans="3:11" x14ac:dyDescent="0.3">
      <c r="C1338" s="21" t="s">
        <v>32</v>
      </c>
      <c r="D1338" s="22"/>
      <c r="E1338" s="22"/>
      <c r="F1338" s="22"/>
      <c r="G1338" s="28"/>
      <c r="H1338" s="29">
        <v>0</v>
      </c>
      <c r="J1338" s="15"/>
      <c r="K1338" s="39"/>
    </row>
    <row r="1339" spans="3:11" x14ac:dyDescent="0.3">
      <c r="C1339" s="30" t="s">
        <v>33</v>
      </c>
      <c r="D1339" s="31" t="s">
        <v>34</v>
      </c>
      <c r="E1339" s="32"/>
      <c r="F1339" s="32"/>
      <c r="G1339" s="33"/>
      <c r="H1339" s="46">
        <f>H1338+H1336+H1333</f>
        <v>193750</v>
      </c>
      <c r="I1339" s="47"/>
      <c r="J1339" s="15"/>
      <c r="K1339" s="39"/>
    </row>
    <row r="1340" spans="3:11" x14ac:dyDescent="0.3">
      <c r="C1340" s="30" t="s">
        <v>35</v>
      </c>
      <c r="D1340" s="31" t="s">
        <v>36</v>
      </c>
      <c r="E1340" s="32"/>
      <c r="F1340" s="33"/>
      <c r="G1340" s="34">
        <f>$M$9</f>
        <v>0.1</v>
      </c>
      <c r="H1340" s="19">
        <f>H1339*G1340</f>
        <v>19375</v>
      </c>
      <c r="I1340" s="47"/>
      <c r="J1340" s="15"/>
      <c r="K1340" s="39"/>
    </row>
    <row r="1341" spans="3:11" x14ac:dyDescent="0.3">
      <c r="C1341" s="30" t="s">
        <v>37</v>
      </c>
      <c r="D1341" s="31" t="s">
        <v>38</v>
      </c>
      <c r="E1341" s="32"/>
      <c r="F1341" s="32"/>
      <c r="G1341" s="33"/>
      <c r="H1341" s="48">
        <f>SUM(H1339:H1340)</f>
        <v>213125</v>
      </c>
      <c r="I1341" s="47"/>
      <c r="J1341" s="15"/>
      <c r="K1341" s="39"/>
    </row>
    <row r="1342" spans="3:11" x14ac:dyDescent="0.3">
      <c r="J1342" s="15"/>
      <c r="K1342" s="39"/>
    </row>
    <row r="1343" spans="3:11" x14ac:dyDescent="0.3">
      <c r="C1343" s="2" t="s">
        <v>277</v>
      </c>
      <c r="D1343" s="2" t="s">
        <v>278</v>
      </c>
      <c r="J1343" s="15"/>
      <c r="K1343" s="39"/>
    </row>
    <row r="1344" spans="3:11" x14ac:dyDescent="0.3">
      <c r="C1344" s="2" t="s">
        <v>279</v>
      </c>
      <c r="D1344" s="8" t="s">
        <v>280</v>
      </c>
      <c r="E1344" s="44"/>
      <c r="F1344" s="44"/>
      <c r="G1344" s="44"/>
      <c r="H1344" s="44"/>
      <c r="I1344" s="10">
        <f>ROUNDDOWN(H1359,0)</f>
        <v>22286</v>
      </c>
      <c r="J1344" s="15"/>
      <c r="K1344" s="39"/>
    </row>
    <row r="1345" spans="3:11" ht="27.6" x14ac:dyDescent="0.3">
      <c r="C1345" s="11" t="s">
        <v>9</v>
      </c>
      <c r="D1345" s="11" t="s">
        <v>10</v>
      </c>
      <c r="E1345" s="11" t="s">
        <v>11</v>
      </c>
      <c r="F1345" s="11" t="s">
        <v>12</v>
      </c>
      <c r="G1345" s="11" t="s">
        <v>13</v>
      </c>
      <c r="H1345" s="11" t="s">
        <v>14</v>
      </c>
      <c r="J1345" s="15"/>
      <c r="K1345" s="39"/>
    </row>
    <row r="1346" spans="3:11" x14ac:dyDescent="0.25">
      <c r="C1346" s="12" t="s">
        <v>15</v>
      </c>
      <c r="D1346" s="13" t="s">
        <v>16</v>
      </c>
      <c r="E1346" s="14"/>
      <c r="F1346" s="14"/>
      <c r="G1346" s="14"/>
      <c r="H1346" s="14"/>
      <c r="J1346" s="15"/>
      <c r="K1346" s="39"/>
    </row>
    <row r="1347" spans="3:11" x14ac:dyDescent="0.3">
      <c r="C1347" s="16">
        <v>1</v>
      </c>
      <c r="D1347" s="13" t="s">
        <v>18</v>
      </c>
      <c r="E1347" s="17" t="s">
        <v>19</v>
      </c>
      <c r="F1347" s="18">
        <v>2.4E-2</v>
      </c>
      <c r="G1347" s="19">
        <f>VLOOKUP(D1347,upahbahan,3,FALSE)</f>
        <v>100000</v>
      </c>
      <c r="H1347" s="19">
        <f t="shared" ref="H1347:H1350" si="137">F1347*G1347</f>
        <v>2400</v>
      </c>
      <c r="J1347" s="15"/>
      <c r="K1347" s="39"/>
    </row>
    <row r="1348" spans="3:11" x14ac:dyDescent="0.3">
      <c r="C1348" s="16">
        <v>2</v>
      </c>
      <c r="D1348" s="13" t="str">
        <f>D1330</f>
        <v>Tukang listrik</v>
      </c>
      <c r="E1348" s="17" t="s">
        <v>19</v>
      </c>
      <c r="F1348" s="18">
        <v>0.04</v>
      </c>
      <c r="G1348" s="19">
        <f>VLOOKUP(D1348,upahbahan,3,FALSE)</f>
        <v>145000</v>
      </c>
      <c r="H1348" s="19">
        <f t="shared" si="137"/>
        <v>5800</v>
      </c>
      <c r="J1348" s="15"/>
      <c r="K1348" s="39"/>
    </row>
    <row r="1349" spans="3:11" x14ac:dyDescent="0.3">
      <c r="C1349" s="16">
        <v>3</v>
      </c>
      <c r="D1349" s="13" t="s">
        <v>22</v>
      </c>
      <c r="E1349" s="17" t="s">
        <v>19</v>
      </c>
      <c r="F1349" s="18">
        <v>4.0000000000000001E-3</v>
      </c>
      <c r="G1349" s="19">
        <f>VLOOKUP(D1349,upahbahan,3,FALSE)</f>
        <v>175000</v>
      </c>
      <c r="H1349" s="19">
        <f t="shared" si="137"/>
        <v>700</v>
      </c>
      <c r="J1349" s="15"/>
      <c r="K1349" s="39"/>
    </row>
    <row r="1350" spans="3:11" x14ac:dyDescent="0.3">
      <c r="C1350" s="16">
        <v>4</v>
      </c>
      <c r="D1350" s="13" t="s">
        <v>23</v>
      </c>
      <c r="E1350" s="17" t="s">
        <v>19</v>
      </c>
      <c r="F1350" s="18">
        <v>1E-3</v>
      </c>
      <c r="G1350" s="19">
        <f>VLOOKUP(D1350,upahbahan,3,FALSE)</f>
        <v>200000</v>
      </c>
      <c r="H1350" s="19">
        <f t="shared" si="137"/>
        <v>200</v>
      </c>
      <c r="J1350" s="15"/>
      <c r="K1350" s="39"/>
    </row>
    <row r="1351" spans="3:11" x14ac:dyDescent="0.3">
      <c r="C1351" s="21" t="s">
        <v>24</v>
      </c>
      <c r="D1351" s="22"/>
      <c r="E1351" s="22"/>
      <c r="F1351" s="54"/>
      <c r="G1351" s="24"/>
      <c r="H1351" s="19">
        <f>SUM(H1347:H1350)</f>
        <v>9100</v>
      </c>
      <c r="I1351" s="25"/>
      <c r="J1351" s="15"/>
      <c r="K1351" s="39"/>
    </row>
    <row r="1352" spans="3:11" x14ac:dyDescent="0.25">
      <c r="C1352" s="12" t="s">
        <v>25</v>
      </c>
      <c r="D1352" s="13" t="s">
        <v>26</v>
      </c>
      <c r="E1352" s="14"/>
      <c r="F1352" s="55"/>
      <c r="G1352" s="14"/>
      <c r="H1352" s="14"/>
      <c r="J1352" s="15"/>
      <c r="K1352" s="39"/>
    </row>
    <row r="1353" spans="3:11" x14ac:dyDescent="0.3">
      <c r="C1353" s="63" t="s">
        <v>202</v>
      </c>
      <c r="D1353" s="26" t="s">
        <v>281</v>
      </c>
      <c r="E1353" s="27" t="s">
        <v>28</v>
      </c>
      <c r="F1353" s="18">
        <v>1.2</v>
      </c>
      <c r="G1353" s="19">
        <f>VLOOKUP(D1353,upahbahan,3,FALSE)</f>
        <v>9300</v>
      </c>
      <c r="H1353" s="19">
        <f t="shared" ref="H1353" si="138">F1353*G1353</f>
        <v>11160</v>
      </c>
      <c r="J1353" s="15"/>
      <c r="K1353" s="39"/>
    </row>
    <row r="1354" spans="3:11" x14ac:dyDescent="0.3">
      <c r="C1354" s="21" t="s">
        <v>29</v>
      </c>
      <c r="D1354" s="22"/>
      <c r="E1354" s="22"/>
      <c r="F1354" s="22"/>
      <c r="G1354" s="28"/>
      <c r="H1354" s="19">
        <f>SUM(H1353:H1353)</f>
        <v>11160</v>
      </c>
      <c r="J1354" s="15"/>
      <c r="K1354" s="39"/>
    </row>
    <row r="1355" spans="3:11" x14ac:dyDescent="0.25">
      <c r="C1355" s="12" t="s">
        <v>30</v>
      </c>
      <c r="D1355" s="13" t="s">
        <v>31</v>
      </c>
      <c r="E1355" s="14"/>
      <c r="F1355" s="14"/>
      <c r="G1355" s="14"/>
      <c r="H1355" s="14"/>
      <c r="J1355" s="15"/>
      <c r="K1355" s="39"/>
    </row>
    <row r="1356" spans="3:11" x14ac:dyDescent="0.3">
      <c r="C1356" s="21" t="s">
        <v>32</v>
      </c>
      <c r="D1356" s="22"/>
      <c r="E1356" s="22"/>
      <c r="F1356" s="22"/>
      <c r="G1356" s="28"/>
      <c r="H1356" s="29">
        <v>0</v>
      </c>
      <c r="J1356" s="15"/>
      <c r="K1356" s="39"/>
    </row>
    <row r="1357" spans="3:11" x14ac:dyDescent="0.3">
      <c r="C1357" s="30" t="s">
        <v>33</v>
      </c>
      <c r="D1357" s="31" t="s">
        <v>34</v>
      </c>
      <c r="E1357" s="32"/>
      <c r="F1357" s="32"/>
      <c r="G1357" s="33"/>
      <c r="H1357" s="46">
        <f>H1356+H1354+H1351</f>
        <v>20260</v>
      </c>
      <c r="I1357" s="47"/>
      <c r="J1357" s="15"/>
      <c r="K1357" s="39"/>
    </row>
    <row r="1358" spans="3:11" x14ac:dyDescent="0.3">
      <c r="C1358" s="30" t="s">
        <v>35</v>
      </c>
      <c r="D1358" s="31" t="s">
        <v>36</v>
      </c>
      <c r="E1358" s="32"/>
      <c r="F1358" s="33"/>
      <c r="G1358" s="34">
        <f>$M$9</f>
        <v>0.1</v>
      </c>
      <c r="H1358" s="19">
        <f>H1357*G1358</f>
        <v>2026</v>
      </c>
      <c r="I1358" s="47"/>
      <c r="J1358" s="15"/>
      <c r="K1358" s="39"/>
    </row>
    <row r="1359" spans="3:11" x14ac:dyDescent="0.3">
      <c r="C1359" s="30" t="s">
        <v>37</v>
      </c>
      <c r="D1359" s="31" t="s">
        <v>38</v>
      </c>
      <c r="E1359" s="32"/>
      <c r="F1359" s="32"/>
      <c r="G1359" s="33"/>
      <c r="H1359" s="48">
        <f>SUM(H1357:H1358)</f>
        <v>22286</v>
      </c>
      <c r="I1359" s="47"/>
      <c r="J1359" s="15"/>
      <c r="K1359" s="39"/>
    </row>
    <row r="1360" spans="3:11" x14ac:dyDescent="0.3">
      <c r="J1360" s="15"/>
      <c r="K1360" s="39"/>
    </row>
    <row r="1361" spans="3:11" x14ac:dyDescent="0.3">
      <c r="C1361" s="2" t="s">
        <v>282</v>
      </c>
      <c r="D1361" s="8" t="s">
        <v>283</v>
      </c>
      <c r="E1361" s="44"/>
      <c r="F1361" s="44"/>
      <c r="G1361" s="44"/>
      <c r="H1361" s="44"/>
      <c r="I1361" s="10">
        <f>ROUNDDOWN(H1376,0)</f>
        <v>28358</v>
      </c>
      <c r="J1361" s="15"/>
      <c r="K1361" s="39"/>
    </row>
    <row r="1362" spans="3:11" ht="27.6" x14ac:dyDescent="0.3">
      <c r="C1362" s="11" t="s">
        <v>9</v>
      </c>
      <c r="D1362" s="11" t="s">
        <v>10</v>
      </c>
      <c r="E1362" s="11" t="s">
        <v>11</v>
      </c>
      <c r="F1362" s="11" t="s">
        <v>12</v>
      </c>
      <c r="G1362" s="11" t="s">
        <v>13</v>
      </c>
      <c r="H1362" s="11" t="s">
        <v>14</v>
      </c>
      <c r="J1362" s="15"/>
      <c r="K1362" s="39"/>
    </row>
    <row r="1363" spans="3:11" x14ac:dyDescent="0.25">
      <c r="C1363" s="12" t="s">
        <v>15</v>
      </c>
      <c r="D1363" s="13" t="s">
        <v>16</v>
      </c>
      <c r="E1363" s="14"/>
      <c r="F1363" s="14"/>
      <c r="G1363" s="14"/>
      <c r="H1363" s="14"/>
      <c r="J1363" s="15"/>
      <c r="K1363" s="39"/>
    </row>
    <row r="1364" spans="3:11" x14ac:dyDescent="0.3">
      <c r="C1364" s="16">
        <v>1</v>
      </c>
      <c r="D1364" s="13" t="s">
        <v>18</v>
      </c>
      <c r="E1364" s="17" t="s">
        <v>19</v>
      </c>
      <c r="F1364" s="18">
        <v>2.4E-2</v>
      </c>
      <c r="G1364" s="19">
        <f>VLOOKUP(D1364,upahbahan,3,FALSE)</f>
        <v>100000</v>
      </c>
      <c r="H1364" s="19">
        <f t="shared" ref="H1364:H1367" si="139">F1364*G1364</f>
        <v>2400</v>
      </c>
      <c r="J1364" s="15"/>
      <c r="K1364" s="39"/>
    </row>
    <row r="1365" spans="3:11" x14ac:dyDescent="0.3">
      <c r="C1365" s="16">
        <v>2</v>
      </c>
      <c r="D1365" s="13" t="str">
        <f>D1348</f>
        <v>Tukang listrik</v>
      </c>
      <c r="E1365" s="17" t="s">
        <v>19</v>
      </c>
      <c r="F1365" s="18">
        <v>0.04</v>
      </c>
      <c r="G1365" s="19">
        <f>VLOOKUP(D1365,upahbahan,3,FALSE)</f>
        <v>145000</v>
      </c>
      <c r="H1365" s="19">
        <f t="shared" si="139"/>
        <v>5800</v>
      </c>
      <c r="J1365" s="15"/>
      <c r="K1365" s="39"/>
    </row>
    <row r="1366" spans="3:11" x14ac:dyDescent="0.3">
      <c r="C1366" s="16">
        <v>3</v>
      </c>
      <c r="D1366" s="13" t="s">
        <v>22</v>
      </c>
      <c r="E1366" s="17" t="s">
        <v>19</v>
      </c>
      <c r="F1366" s="18">
        <v>4.0000000000000001E-3</v>
      </c>
      <c r="G1366" s="19">
        <f>VLOOKUP(D1366,upahbahan,3,FALSE)</f>
        <v>175000</v>
      </c>
      <c r="H1366" s="19">
        <f t="shared" si="139"/>
        <v>700</v>
      </c>
      <c r="J1366" s="15"/>
      <c r="K1366" s="39"/>
    </row>
    <row r="1367" spans="3:11" x14ac:dyDescent="0.3">
      <c r="C1367" s="16">
        <v>4</v>
      </c>
      <c r="D1367" s="13" t="s">
        <v>23</v>
      </c>
      <c r="E1367" s="17" t="s">
        <v>19</v>
      </c>
      <c r="F1367" s="18">
        <v>1E-3</v>
      </c>
      <c r="G1367" s="19">
        <f>VLOOKUP(D1367,upahbahan,3,FALSE)</f>
        <v>200000</v>
      </c>
      <c r="H1367" s="19">
        <f t="shared" si="139"/>
        <v>200</v>
      </c>
      <c r="J1367" s="15"/>
      <c r="K1367" s="39"/>
    </row>
    <row r="1368" spans="3:11" x14ac:dyDescent="0.3">
      <c r="C1368" s="21" t="s">
        <v>24</v>
      </c>
      <c r="D1368" s="22"/>
      <c r="E1368" s="22"/>
      <c r="F1368" s="54"/>
      <c r="G1368" s="24"/>
      <c r="H1368" s="19">
        <f>SUM(H1364:H1367)</f>
        <v>9100</v>
      </c>
      <c r="I1368" s="25"/>
      <c r="J1368" s="15"/>
      <c r="K1368" s="39"/>
    </row>
    <row r="1369" spans="3:11" x14ac:dyDescent="0.25">
      <c r="C1369" s="12" t="s">
        <v>25</v>
      </c>
      <c r="D1369" s="13" t="s">
        <v>26</v>
      </c>
      <c r="E1369" s="14"/>
      <c r="F1369" s="55"/>
      <c r="G1369" s="14"/>
      <c r="H1369" s="14"/>
      <c r="J1369" s="15"/>
      <c r="K1369" s="39"/>
    </row>
    <row r="1370" spans="3:11" x14ac:dyDescent="0.3">
      <c r="C1370" s="63" t="s">
        <v>202</v>
      </c>
      <c r="D1370" s="26" t="s">
        <v>284</v>
      </c>
      <c r="E1370" s="27" t="s">
        <v>28</v>
      </c>
      <c r="F1370" s="18">
        <v>1.2</v>
      </c>
      <c r="G1370" s="19">
        <f>VLOOKUP(D1370,upahbahan,3,FALSE)</f>
        <v>13900</v>
      </c>
      <c r="H1370" s="19">
        <f>F1370*G1370</f>
        <v>16680</v>
      </c>
      <c r="J1370" s="15"/>
      <c r="K1370" s="39"/>
    </row>
    <row r="1371" spans="3:11" x14ac:dyDescent="0.3">
      <c r="C1371" s="21" t="s">
        <v>29</v>
      </c>
      <c r="D1371" s="22"/>
      <c r="E1371" s="22"/>
      <c r="F1371" s="22"/>
      <c r="G1371" s="28"/>
      <c r="H1371" s="19">
        <f>SUM(H1370:H1370)</f>
        <v>16680</v>
      </c>
      <c r="J1371" s="15"/>
      <c r="K1371" s="39"/>
    </row>
    <row r="1372" spans="3:11" x14ac:dyDescent="0.25">
      <c r="C1372" s="12" t="s">
        <v>30</v>
      </c>
      <c r="D1372" s="13" t="s">
        <v>31</v>
      </c>
      <c r="E1372" s="14"/>
      <c r="F1372" s="14"/>
      <c r="G1372" s="14"/>
      <c r="H1372" s="14"/>
      <c r="J1372" s="15"/>
      <c r="K1372" s="39"/>
    </row>
    <row r="1373" spans="3:11" x14ac:dyDescent="0.3">
      <c r="C1373" s="21" t="s">
        <v>32</v>
      </c>
      <c r="D1373" s="22"/>
      <c r="E1373" s="22"/>
      <c r="F1373" s="22"/>
      <c r="G1373" s="28"/>
      <c r="H1373" s="29">
        <v>0</v>
      </c>
      <c r="J1373" s="15"/>
      <c r="K1373" s="39"/>
    </row>
    <row r="1374" spans="3:11" x14ac:dyDescent="0.3">
      <c r="C1374" s="30" t="s">
        <v>33</v>
      </c>
      <c r="D1374" s="31" t="s">
        <v>34</v>
      </c>
      <c r="E1374" s="32"/>
      <c r="F1374" s="32"/>
      <c r="G1374" s="33"/>
      <c r="H1374" s="46">
        <f>H1373+H1371+H1368</f>
        <v>25780</v>
      </c>
      <c r="I1374" s="47"/>
      <c r="J1374" s="15"/>
      <c r="K1374" s="39"/>
    </row>
    <row r="1375" spans="3:11" x14ac:dyDescent="0.3">
      <c r="C1375" s="30" t="s">
        <v>35</v>
      </c>
      <c r="D1375" s="31" t="s">
        <v>36</v>
      </c>
      <c r="E1375" s="32"/>
      <c r="F1375" s="33"/>
      <c r="G1375" s="34">
        <f>$M$9</f>
        <v>0.1</v>
      </c>
      <c r="H1375" s="19">
        <f>H1374*G1375</f>
        <v>2578</v>
      </c>
      <c r="I1375" s="47"/>
      <c r="J1375" s="15"/>
      <c r="K1375" s="39"/>
    </row>
    <row r="1376" spans="3:11" x14ac:dyDescent="0.3">
      <c r="C1376" s="30" t="s">
        <v>37</v>
      </c>
      <c r="D1376" s="31" t="s">
        <v>38</v>
      </c>
      <c r="E1376" s="32"/>
      <c r="F1376" s="32"/>
      <c r="G1376" s="33"/>
      <c r="H1376" s="48">
        <f>SUM(H1374:H1375)</f>
        <v>28358</v>
      </c>
      <c r="I1376" s="47"/>
      <c r="J1376" s="15"/>
      <c r="K1376" s="39"/>
    </row>
    <row r="1377" spans="3:11" x14ac:dyDescent="0.3">
      <c r="J1377" s="15"/>
      <c r="K1377" s="39"/>
    </row>
    <row r="1378" spans="3:11" x14ac:dyDescent="0.3">
      <c r="C1378" s="2" t="s">
        <v>285</v>
      </c>
      <c r="D1378" s="8" t="s">
        <v>286</v>
      </c>
      <c r="E1378" s="44"/>
      <c r="F1378" s="44"/>
      <c r="G1378" s="44"/>
      <c r="H1378" s="44"/>
      <c r="I1378" s="10">
        <f>ROUNDDOWN(H1393,0)</f>
        <v>27698</v>
      </c>
      <c r="J1378" s="15"/>
      <c r="K1378" s="39"/>
    </row>
    <row r="1379" spans="3:11" ht="27.6" x14ac:dyDescent="0.3">
      <c r="C1379" s="11" t="s">
        <v>9</v>
      </c>
      <c r="D1379" s="11" t="s">
        <v>10</v>
      </c>
      <c r="E1379" s="11" t="s">
        <v>11</v>
      </c>
      <c r="F1379" s="11" t="s">
        <v>12</v>
      </c>
      <c r="G1379" s="11" t="s">
        <v>13</v>
      </c>
      <c r="H1379" s="11" t="s">
        <v>14</v>
      </c>
      <c r="J1379" s="15"/>
      <c r="K1379" s="39"/>
    </row>
    <row r="1380" spans="3:11" x14ac:dyDescent="0.25">
      <c r="C1380" s="12" t="s">
        <v>15</v>
      </c>
      <c r="D1380" s="13" t="s">
        <v>16</v>
      </c>
      <c r="E1380" s="14"/>
      <c r="F1380" s="14"/>
      <c r="G1380" s="14"/>
      <c r="H1380" s="14"/>
      <c r="J1380" s="15"/>
      <c r="K1380" s="39"/>
    </row>
    <row r="1381" spans="3:11" x14ac:dyDescent="0.3">
      <c r="C1381" s="16">
        <v>1</v>
      </c>
      <c r="D1381" s="13" t="s">
        <v>18</v>
      </c>
      <c r="E1381" s="17" t="s">
        <v>19</v>
      </c>
      <c r="F1381" s="18">
        <v>2.4E-2</v>
      </c>
      <c r="G1381" s="19">
        <f>VLOOKUP(D1381,upahbahan,3,FALSE)</f>
        <v>100000</v>
      </c>
      <c r="H1381" s="19">
        <f>F1381*G1381</f>
        <v>2400</v>
      </c>
      <c r="J1381" s="15"/>
      <c r="K1381" s="39"/>
    </row>
    <row r="1382" spans="3:11" x14ac:dyDescent="0.3">
      <c r="C1382" s="16">
        <v>2</v>
      </c>
      <c r="D1382" s="13" t="str">
        <f>D1365</f>
        <v>Tukang listrik</v>
      </c>
      <c r="E1382" s="17" t="s">
        <v>19</v>
      </c>
      <c r="F1382" s="18">
        <v>0.04</v>
      </c>
      <c r="G1382" s="19">
        <f>VLOOKUP(D1382,upahbahan,3,FALSE)</f>
        <v>145000</v>
      </c>
      <c r="H1382" s="19">
        <f t="shared" ref="H1382:H1384" si="140">F1382*G1382</f>
        <v>5800</v>
      </c>
      <c r="J1382" s="15"/>
      <c r="K1382" s="39"/>
    </row>
    <row r="1383" spans="3:11" x14ac:dyDescent="0.3">
      <c r="C1383" s="16">
        <v>3</v>
      </c>
      <c r="D1383" s="13" t="s">
        <v>22</v>
      </c>
      <c r="E1383" s="17" t="s">
        <v>19</v>
      </c>
      <c r="F1383" s="18">
        <v>4.0000000000000001E-3</v>
      </c>
      <c r="G1383" s="19">
        <f>VLOOKUP(D1383,upahbahan,3,FALSE)</f>
        <v>175000</v>
      </c>
      <c r="H1383" s="19">
        <f t="shared" si="140"/>
        <v>700</v>
      </c>
      <c r="J1383" s="15"/>
      <c r="K1383" s="39"/>
    </row>
    <row r="1384" spans="3:11" x14ac:dyDescent="0.3">
      <c r="C1384" s="16">
        <v>4</v>
      </c>
      <c r="D1384" s="13" t="s">
        <v>23</v>
      </c>
      <c r="E1384" s="17" t="s">
        <v>19</v>
      </c>
      <c r="F1384" s="18">
        <v>1E-3</v>
      </c>
      <c r="G1384" s="19">
        <f>VLOOKUP(D1384,upahbahan,3,FALSE)</f>
        <v>200000</v>
      </c>
      <c r="H1384" s="19">
        <f t="shared" si="140"/>
        <v>200</v>
      </c>
      <c r="J1384" s="15"/>
      <c r="K1384" s="39"/>
    </row>
    <row r="1385" spans="3:11" x14ac:dyDescent="0.3">
      <c r="C1385" s="21" t="s">
        <v>24</v>
      </c>
      <c r="D1385" s="22"/>
      <c r="E1385" s="22"/>
      <c r="F1385" s="54"/>
      <c r="G1385" s="24"/>
      <c r="H1385" s="19">
        <f>SUM(H1381:H1384)</f>
        <v>9100</v>
      </c>
      <c r="I1385" s="25"/>
      <c r="J1385" s="15"/>
      <c r="K1385" s="39"/>
    </row>
    <row r="1386" spans="3:11" x14ac:dyDescent="0.25">
      <c r="C1386" s="12" t="s">
        <v>25</v>
      </c>
      <c r="D1386" s="13" t="s">
        <v>26</v>
      </c>
      <c r="E1386" s="14"/>
      <c r="F1386" s="55"/>
      <c r="G1386" s="14"/>
      <c r="H1386" s="14"/>
      <c r="J1386" s="15"/>
      <c r="K1386" s="39"/>
    </row>
    <row r="1387" spans="3:11" x14ac:dyDescent="0.3">
      <c r="C1387" s="63" t="s">
        <v>202</v>
      </c>
      <c r="D1387" s="26" t="s">
        <v>287</v>
      </c>
      <c r="E1387" s="27" t="s">
        <v>28</v>
      </c>
      <c r="F1387" s="18">
        <v>1.2</v>
      </c>
      <c r="G1387" s="19">
        <f>VLOOKUP(D1387,upahbahan,3,FALSE)</f>
        <v>13400</v>
      </c>
      <c r="H1387" s="19">
        <f>F1387*G1387</f>
        <v>16080</v>
      </c>
      <c r="J1387" s="15"/>
      <c r="K1387" s="39"/>
    </row>
    <row r="1388" spans="3:11" x14ac:dyDescent="0.3">
      <c r="C1388" s="21" t="s">
        <v>29</v>
      </c>
      <c r="D1388" s="22"/>
      <c r="E1388" s="22"/>
      <c r="F1388" s="22"/>
      <c r="G1388" s="28"/>
      <c r="H1388" s="19">
        <f>SUM(H1387:H1387)</f>
        <v>16080</v>
      </c>
      <c r="J1388" s="15"/>
      <c r="K1388" s="39"/>
    </row>
    <row r="1389" spans="3:11" x14ac:dyDescent="0.25">
      <c r="C1389" s="12" t="s">
        <v>30</v>
      </c>
      <c r="D1389" s="13" t="s">
        <v>31</v>
      </c>
      <c r="E1389" s="14"/>
      <c r="F1389" s="14"/>
      <c r="G1389" s="14"/>
      <c r="H1389" s="14"/>
      <c r="J1389" s="15"/>
      <c r="K1389" s="39"/>
    </row>
    <row r="1390" spans="3:11" x14ac:dyDescent="0.3">
      <c r="C1390" s="21" t="s">
        <v>32</v>
      </c>
      <c r="D1390" s="22"/>
      <c r="E1390" s="22"/>
      <c r="F1390" s="22"/>
      <c r="G1390" s="28"/>
      <c r="H1390" s="29">
        <v>0</v>
      </c>
      <c r="J1390" s="15"/>
      <c r="K1390" s="39"/>
    </row>
    <row r="1391" spans="3:11" x14ac:dyDescent="0.3">
      <c r="C1391" s="30" t="s">
        <v>33</v>
      </c>
      <c r="D1391" s="31" t="s">
        <v>34</v>
      </c>
      <c r="E1391" s="32"/>
      <c r="F1391" s="32"/>
      <c r="G1391" s="33"/>
      <c r="H1391" s="46">
        <f>H1390+H1388+H1385</f>
        <v>25180</v>
      </c>
      <c r="I1391" s="47"/>
      <c r="J1391" s="15"/>
      <c r="K1391" s="39"/>
    </row>
    <row r="1392" spans="3:11" x14ac:dyDescent="0.3">
      <c r="C1392" s="30" t="s">
        <v>35</v>
      </c>
      <c r="D1392" s="31" t="s">
        <v>36</v>
      </c>
      <c r="E1392" s="32"/>
      <c r="F1392" s="33"/>
      <c r="G1392" s="34">
        <f>$M$9</f>
        <v>0.1</v>
      </c>
      <c r="H1392" s="19">
        <f>H1391*G1392</f>
        <v>2518</v>
      </c>
      <c r="I1392" s="47"/>
      <c r="J1392" s="15"/>
      <c r="K1392" s="39"/>
    </row>
    <row r="1393" spans="3:11" x14ac:dyDescent="0.3">
      <c r="C1393" s="30" t="s">
        <v>37</v>
      </c>
      <c r="D1393" s="31" t="s">
        <v>38</v>
      </c>
      <c r="E1393" s="32"/>
      <c r="F1393" s="32"/>
      <c r="G1393" s="33"/>
      <c r="H1393" s="48">
        <f>SUM(H1391:H1392)</f>
        <v>27698</v>
      </c>
      <c r="I1393" s="47"/>
      <c r="J1393" s="15"/>
      <c r="K1393" s="39"/>
    </row>
    <row r="1394" spans="3:11" x14ac:dyDescent="0.3">
      <c r="J1394" s="15"/>
      <c r="K1394" s="39"/>
    </row>
    <row r="1395" spans="3:11" x14ac:dyDescent="0.3">
      <c r="C1395" s="67" t="s">
        <v>288</v>
      </c>
      <c r="D1395" s="57" t="s">
        <v>289</v>
      </c>
      <c r="E1395" s="58"/>
      <c r="F1395" s="58"/>
      <c r="G1395" s="58"/>
      <c r="H1395" s="58"/>
      <c r="I1395" s="10">
        <f>ROUNDDOWN(H1410,0)</f>
        <v>38126</v>
      </c>
      <c r="J1395" s="15"/>
      <c r="K1395" s="39"/>
    </row>
    <row r="1396" spans="3:11" ht="27.6" x14ac:dyDescent="0.3">
      <c r="C1396" s="11" t="s">
        <v>9</v>
      </c>
      <c r="D1396" s="11" t="s">
        <v>10</v>
      </c>
      <c r="E1396" s="11" t="s">
        <v>11</v>
      </c>
      <c r="F1396" s="11" t="s">
        <v>12</v>
      </c>
      <c r="G1396" s="11" t="s">
        <v>13</v>
      </c>
      <c r="H1396" s="11" t="s">
        <v>14</v>
      </c>
      <c r="J1396" s="15"/>
      <c r="K1396" s="39"/>
    </row>
    <row r="1397" spans="3:11" x14ac:dyDescent="0.25">
      <c r="C1397" s="12" t="s">
        <v>15</v>
      </c>
      <c r="D1397" s="13" t="s">
        <v>16</v>
      </c>
      <c r="E1397" s="14"/>
      <c r="F1397" s="14"/>
      <c r="G1397" s="14"/>
      <c r="H1397" s="14"/>
      <c r="J1397" s="15"/>
      <c r="K1397" s="39"/>
    </row>
    <row r="1398" spans="3:11" x14ac:dyDescent="0.3">
      <c r="C1398" s="16">
        <v>1</v>
      </c>
      <c r="D1398" s="13" t="s">
        <v>18</v>
      </c>
      <c r="E1398" s="17" t="s">
        <v>19</v>
      </c>
      <c r="F1398" s="18">
        <v>2.4E-2</v>
      </c>
      <c r="G1398" s="19">
        <f>VLOOKUP(D1398,upahbahan,3,FALSE)</f>
        <v>100000</v>
      </c>
      <c r="H1398" s="19">
        <f>F1398*G1398</f>
        <v>2400</v>
      </c>
      <c r="J1398" s="15"/>
      <c r="K1398" s="39"/>
    </row>
    <row r="1399" spans="3:11" x14ac:dyDescent="0.3">
      <c r="C1399" s="16">
        <v>2</v>
      </c>
      <c r="D1399" s="13" t="str">
        <f>D1382</f>
        <v>Tukang listrik</v>
      </c>
      <c r="E1399" s="17" t="s">
        <v>19</v>
      </c>
      <c r="F1399" s="18">
        <v>0.04</v>
      </c>
      <c r="G1399" s="19">
        <f>VLOOKUP(D1399,upahbahan,3,FALSE)</f>
        <v>145000</v>
      </c>
      <c r="H1399" s="19">
        <f t="shared" ref="H1399:H1401" si="141">F1399*G1399</f>
        <v>5800</v>
      </c>
      <c r="J1399" s="15"/>
      <c r="K1399" s="39"/>
    </row>
    <row r="1400" spans="3:11" x14ac:dyDescent="0.3">
      <c r="C1400" s="16">
        <v>3</v>
      </c>
      <c r="D1400" s="13" t="s">
        <v>22</v>
      </c>
      <c r="E1400" s="17" t="s">
        <v>19</v>
      </c>
      <c r="F1400" s="18">
        <v>4.0000000000000001E-3</v>
      </c>
      <c r="G1400" s="19">
        <f>VLOOKUP(D1400,upahbahan,3,FALSE)</f>
        <v>175000</v>
      </c>
      <c r="H1400" s="19">
        <f t="shared" si="141"/>
        <v>700</v>
      </c>
      <c r="J1400" s="15"/>
      <c r="K1400" s="39"/>
    </row>
    <row r="1401" spans="3:11" x14ac:dyDescent="0.3">
      <c r="C1401" s="16">
        <v>4</v>
      </c>
      <c r="D1401" s="13" t="s">
        <v>23</v>
      </c>
      <c r="E1401" s="17" t="s">
        <v>19</v>
      </c>
      <c r="F1401" s="18">
        <v>1E-3</v>
      </c>
      <c r="G1401" s="19">
        <f>VLOOKUP(D1401,upahbahan,3,FALSE)</f>
        <v>200000</v>
      </c>
      <c r="H1401" s="19">
        <f t="shared" si="141"/>
        <v>200</v>
      </c>
      <c r="J1401" s="15"/>
      <c r="K1401" s="39"/>
    </row>
    <row r="1402" spans="3:11" x14ac:dyDescent="0.3">
      <c r="C1402" s="21" t="s">
        <v>24</v>
      </c>
      <c r="D1402" s="22"/>
      <c r="E1402" s="22"/>
      <c r="F1402" s="54"/>
      <c r="G1402" s="24"/>
      <c r="H1402" s="19">
        <f>SUM(H1398:H1401)</f>
        <v>9100</v>
      </c>
      <c r="I1402" s="25"/>
      <c r="J1402" s="15"/>
      <c r="K1402" s="39"/>
    </row>
    <row r="1403" spans="3:11" x14ac:dyDescent="0.25">
      <c r="C1403" s="12" t="s">
        <v>25</v>
      </c>
      <c r="D1403" s="13" t="s">
        <v>26</v>
      </c>
      <c r="E1403" s="14"/>
      <c r="F1403" s="55"/>
      <c r="G1403" s="14"/>
      <c r="H1403" s="14"/>
      <c r="J1403" s="15"/>
      <c r="K1403" s="39"/>
    </row>
    <row r="1404" spans="3:11" x14ac:dyDescent="0.3">
      <c r="C1404" s="63" t="s">
        <v>202</v>
      </c>
      <c r="D1404" s="26" t="s">
        <v>290</v>
      </c>
      <c r="E1404" s="27" t="s">
        <v>28</v>
      </c>
      <c r="F1404" s="18">
        <v>1.2</v>
      </c>
      <c r="G1404" s="19">
        <f>VLOOKUP(D1404,upahbahan,3,FALSE)</f>
        <v>21300</v>
      </c>
      <c r="H1404" s="19">
        <f>F1404*G1404</f>
        <v>25560</v>
      </c>
      <c r="J1404" s="15"/>
      <c r="K1404" s="39"/>
    </row>
    <row r="1405" spans="3:11" x14ac:dyDescent="0.3">
      <c r="C1405" s="21" t="s">
        <v>29</v>
      </c>
      <c r="D1405" s="22"/>
      <c r="E1405" s="22"/>
      <c r="F1405" s="22"/>
      <c r="G1405" s="28"/>
      <c r="H1405" s="19">
        <f>SUM(H1404:H1404)</f>
        <v>25560</v>
      </c>
      <c r="J1405" s="15"/>
      <c r="K1405" s="39"/>
    </row>
    <row r="1406" spans="3:11" x14ac:dyDescent="0.25">
      <c r="C1406" s="12" t="s">
        <v>30</v>
      </c>
      <c r="D1406" s="13" t="s">
        <v>31</v>
      </c>
      <c r="E1406" s="14"/>
      <c r="F1406" s="14"/>
      <c r="G1406" s="14"/>
      <c r="H1406" s="14"/>
      <c r="J1406" s="15"/>
      <c r="K1406" s="39"/>
    </row>
    <row r="1407" spans="3:11" x14ac:dyDescent="0.3">
      <c r="C1407" s="21" t="s">
        <v>32</v>
      </c>
      <c r="D1407" s="22"/>
      <c r="E1407" s="22"/>
      <c r="F1407" s="22"/>
      <c r="G1407" s="28"/>
      <c r="H1407" s="29">
        <v>0</v>
      </c>
      <c r="J1407" s="15"/>
      <c r="K1407" s="39"/>
    </row>
    <row r="1408" spans="3:11" x14ac:dyDescent="0.3">
      <c r="C1408" s="30" t="s">
        <v>33</v>
      </c>
      <c r="D1408" s="31" t="s">
        <v>34</v>
      </c>
      <c r="E1408" s="32"/>
      <c r="F1408" s="32"/>
      <c r="G1408" s="33"/>
      <c r="H1408" s="46">
        <f>H1407+H1405+H1402</f>
        <v>34660</v>
      </c>
      <c r="I1408" s="47"/>
      <c r="J1408" s="15"/>
      <c r="K1408" s="39"/>
    </row>
    <row r="1409" spans="3:11" x14ac:dyDescent="0.3">
      <c r="C1409" s="30" t="s">
        <v>35</v>
      </c>
      <c r="D1409" s="31" t="s">
        <v>36</v>
      </c>
      <c r="E1409" s="32"/>
      <c r="F1409" s="33"/>
      <c r="G1409" s="34">
        <f>$M$9</f>
        <v>0.1</v>
      </c>
      <c r="H1409" s="19">
        <f>H1408*G1409</f>
        <v>3466</v>
      </c>
      <c r="I1409" s="47"/>
      <c r="J1409" s="15"/>
      <c r="K1409" s="39"/>
    </row>
    <row r="1410" spans="3:11" x14ac:dyDescent="0.3">
      <c r="C1410" s="30" t="s">
        <v>37</v>
      </c>
      <c r="D1410" s="31" t="s">
        <v>38</v>
      </c>
      <c r="E1410" s="32"/>
      <c r="F1410" s="32"/>
      <c r="G1410" s="33"/>
      <c r="H1410" s="48">
        <f>SUM(H1408:H1409)</f>
        <v>38126</v>
      </c>
      <c r="I1410" s="47"/>
      <c r="J1410" s="15"/>
      <c r="K1410" s="39"/>
    </row>
    <row r="1411" spans="3:11" x14ac:dyDescent="0.3">
      <c r="J1411" s="15"/>
      <c r="K1411" s="39"/>
    </row>
    <row r="1412" spans="3:11" x14ac:dyDescent="0.3">
      <c r="C1412" s="2" t="s">
        <v>291</v>
      </c>
      <c r="D1412" s="8" t="s">
        <v>292</v>
      </c>
      <c r="E1412" s="44"/>
      <c r="F1412" s="44"/>
      <c r="G1412" s="44"/>
      <c r="H1412" s="44"/>
      <c r="I1412" s="10">
        <f>ROUNDDOWN(H1427,0)</f>
        <v>47894</v>
      </c>
      <c r="J1412" s="15"/>
      <c r="K1412" s="39"/>
    </row>
    <row r="1413" spans="3:11" ht="27.6" x14ac:dyDescent="0.3">
      <c r="C1413" s="11" t="s">
        <v>9</v>
      </c>
      <c r="D1413" s="11" t="s">
        <v>10</v>
      </c>
      <c r="E1413" s="11" t="s">
        <v>11</v>
      </c>
      <c r="F1413" s="11" t="s">
        <v>12</v>
      </c>
      <c r="G1413" s="11" t="s">
        <v>13</v>
      </c>
      <c r="H1413" s="11" t="s">
        <v>14</v>
      </c>
      <c r="J1413" s="15"/>
      <c r="K1413" s="39"/>
    </row>
    <row r="1414" spans="3:11" x14ac:dyDescent="0.25">
      <c r="C1414" s="12" t="s">
        <v>15</v>
      </c>
      <c r="D1414" s="13" t="s">
        <v>16</v>
      </c>
      <c r="E1414" s="14"/>
      <c r="F1414" s="14"/>
      <c r="G1414" s="14"/>
      <c r="H1414" s="14"/>
      <c r="J1414" s="15"/>
      <c r="K1414" s="39"/>
    </row>
    <row r="1415" spans="3:11" x14ac:dyDescent="0.3">
      <c r="C1415" s="16">
        <v>1</v>
      </c>
      <c r="D1415" s="13" t="s">
        <v>18</v>
      </c>
      <c r="E1415" s="17" t="s">
        <v>19</v>
      </c>
      <c r="F1415" s="18">
        <v>2.4E-2</v>
      </c>
      <c r="G1415" s="19">
        <f>VLOOKUP(D1415,upahbahan,3,FALSE)</f>
        <v>100000</v>
      </c>
      <c r="H1415" s="19">
        <f t="shared" ref="H1415:H1418" si="142">F1415*G1415</f>
        <v>2400</v>
      </c>
      <c r="J1415" s="15"/>
      <c r="K1415" s="39"/>
    </row>
    <row r="1416" spans="3:11" x14ac:dyDescent="0.3">
      <c r="C1416" s="16">
        <v>2</v>
      </c>
      <c r="D1416" s="13" t="str">
        <f>D1399</f>
        <v>Tukang listrik</v>
      </c>
      <c r="E1416" s="17" t="s">
        <v>19</v>
      </c>
      <c r="F1416" s="18">
        <v>0.04</v>
      </c>
      <c r="G1416" s="19">
        <f>VLOOKUP(D1416,upahbahan,3,FALSE)</f>
        <v>145000</v>
      </c>
      <c r="H1416" s="19">
        <f t="shared" si="142"/>
        <v>5800</v>
      </c>
      <c r="J1416" s="15"/>
      <c r="K1416" s="39"/>
    </row>
    <row r="1417" spans="3:11" x14ac:dyDescent="0.3">
      <c r="C1417" s="16">
        <v>3</v>
      </c>
      <c r="D1417" s="13" t="s">
        <v>22</v>
      </c>
      <c r="E1417" s="17" t="s">
        <v>19</v>
      </c>
      <c r="F1417" s="18">
        <v>4.0000000000000001E-3</v>
      </c>
      <c r="G1417" s="19">
        <f>VLOOKUP(D1417,upahbahan,3,FALSE)</f>
        <v>175000</v>
      </c>
      <c r="H1417" s="19">
        <f t="shared" si="142"/>
        <v>700</v>
      </c>
      <c r="J1417" s="15"/>
      <c r="K1417" s="39"/>
    </row>
    <row r="1418" spans="3:11" x14ac:dyDescent="0.3">
      <c r="C1418" s="16">
        <v>4</v>
      </c>
      <c r="D1418" s="13" t="s">
        <v>23</v>
      </c>
      <c r="E1418" s="17" t="s">
        <v>19</v>
      </c>
      <c r="F1418" s="18">
        <v>1E-3</v>
      </c>
      <c r="G1418" s="19">
        <f>VLOOKUP(D1418,upahbahan,3,FALSE)</f>
        <v>200000</v>
      </c>
      <c r="H1418" s="19">
        <f t="shared" si="142"/>
        <v>200</v>
      </c>
      <c r="J1418" s="15"/>
      <c r="K1418" s="39"/>
    </row>
    <row r="1419" spans="3:11" x14ac:dyDescent="0.3">
      <c r="C1419" s="21" t="s">
        <v>24</v>
      </c>
      <c r="D1419" s="22"/>
      <c r="E1419" s="22"/>
      <c r="F1419" s="54"/>
      <c r="G1419" s="24"/>
      <c r="H1419" s="19">
        <f>SUM(H1415:H1418)</f>
        <v>9100</v>
      </c>
      <c r="I1419" s="25"/>
      <c r="J1419" s="15"/>
      <c r="K1419" s="39"/>
    </row>
    <row r="1420" spans="3:11" x14ac:dyDescent="0.25">
      <c r="C1420" s="12" t="s">
        <v>25</v>
      </c>
      <c r="D1420" s="13" t="s">
        <v>26</v>
      </c>
      <c r="E1420" s="14"/>
      <c r="F1420" s="55"/>
      <c r="G1420" s="14"/>
      <c r="H1420" s="14"/>
      <c r="J1420" s="15"/>
      <c r="K1420" s="39"/>
    </row>
    <row r="1421" spans="3:11" x14ac:dyDescent="0.3">
      <c r="C1421" s="63" t="s">
        <v>202</v>
      </c>
      <c r="D1421" s="26" t="s">
        <v>293</v>
      </c>
      <c r="E1421" s="27" t="s">
        <v>28</v>
      </c>
      <c r="F1421" s="18">
        <v>1.2</v>
      </c>
      <c r="G1421" s="19">
        <f>VLOOKUP(D1421,upahbahan,3,FALSE)</f>
        <v>28700</v>
      </c>
      <c r="H1421" s="19">
        <f t="shared" ref="H1421" si="143">F1421*G1421</f>
        <v>34440</v>
      </c>
      <c r="J1421" s="15"/>
      <c r="K1421" s="39"/>
    </row>
    <row r="1422" spans="3:11" x14ac:dyDescent="0.3">
      <c r="C1422" s="21" t="s">
        <v>29</v>
      </c>
      <c r="D1422" s="22"/>
      <c r="E1422" s="22"/>
      <c r="F1422" s="22"/>
      <c r="G1422" s="28"/>
      <c r="H1422" s="19">
        <f>SUM(H1421:H1421)</f>
        <v>34440</v>
      </c>
      <c r="J1422" s="15"/>
      <c r="K1422" s="39"/>
    </row>
    <row r="1423" spans="3:11" x14ac:dyDescent="0.25">
      <c r="C1423" s="12" t="s">
        <v>30</v>
      </c>
      <c r="D1423" s="13" t="s">
        <v>31</v>
      </c>
      <c r="E1423" s="14"/>
      <c r="F1423" s="14"/>
      <c r="G1423" s="14"/>
      <c r="H1423" s="14"/>
      <c r="J1423" s="15"/>
      <c r="K1423" s="39"/>
    </row>
    <row r="1424" spans="3:11" x14ac:dyDescent="0.3">
      <c r="C1424" s="21" t="s">
        <v>32</v>
      </c>
      <c r="D1424" s="22"/>
      <c r="E1424" s="22"/>
      <c r="F1424" s="22"/>
      <c r="G1424" s="28"/>
      <c r="H1424" s="29">
        <v>0</v>
      </c>
      <c r="J1424" s="15"/>
      <c r="K1424" s="39"/>
    </row>
    <row r="1425" spans="3:11" x14ac:dyDescent="0.3">
      <c r="C1425" s="30" t="s">
        <v>33</v>
      </c>
      <c r="D1425" s="31" t="s">
        <v>34</v>
      </c>
      <c r="E1425" s="32"/>
      <c r="F1425" s="32"/>
      <c r="G1425" s="33"/>
      <c r="H1425" s="46">
        <f>H1424+H1422+H1419</f>
        <v>43540</v>
      </c>
      <c r="I1425" s="47"/>
      <c r="J1425" s="15"/>
      <c r="K1425" s="39"/>
    </row>
    <row r="1426" spans="3:11" x14ac:dyDescent="0.3">
      <c r="C1426" s="30" t="s">
        <v>35</v>
      </c>
      <c r="D1426" s="31" t="s">
        <v>36</v>
      </c>
      <c r="E1426" s="32"/>
      <c r="F1426" s="33"/>
      <c r="G1426" s="34">
        <f>$M$9</f>
        <v>0.1</v>
      </c>
      <c r="H1426" s="19">
        <f>H1425*G1426</f>
        <v>4354</v>
      </c>
      <c r="I1426" s="47"/>
      <c r="J1426" s="15"/>
      <c r="K1426" s="39"/>
    </row>
    <row r="1427" spans="3:11" x14ac:dyDescent="0.3">
      <c r="C1427" s="30" t="s">
        <v>37</v>
      </c>
      <c r="D1427" s="31" t="s">
        <v>38</v>
      </c>
      <c r="E1427" s="32"/>
      <c r="F1427" s="32"/>
      <c r="G1427" s="33"/>
      <c r="H1427" s="48">
        <f>SUM(H1425:H1426)</f>
        <v>47894</v>
      </c>
      <c r="I1427" s="47"/>
      <c r="J1427" s="15"/>
      <c r="K1427" s="39"/>
    </row>
    <row r="1428" spans="3:11" x14ac:dyDescent="0.3">
      <c r="J1428" s="15"/>
      <c r="K1428" s="39"/>
    </row>
    <row r="1429" spans="3:11" x14ac:dyDescent="0.3">
      <c r="C1429" s="2" t="s">
        <v>294</v>
      </c>
      <c r="D1429" s="8" t="s">
        <v>295</v>
      </c>
      <c r="E1429" s="44"/>
      <c r="F1429" s="44"/>
      <c r="G1429" s="44"/>
      <c r="H1429" s="44"/>
      <c r="I1429" s="10">
        <f>ROUNDDOWN(H1444,0)</f>
        <v>33110</v>
      </c>
      <c r="J1429" s="15" t="s">
        <v>296</v>
      </c>
      <c r="K1429" s="39" t="s">
        <v>297</v>
      </c>
    </row>
    <row r="1430" spans="3:11" ht="27.6" x14ac:dyDescent="0.3">
      <c r="C1430" s="11" t="s">
        <v>9</v>
      </c>
      <c r="D1430" s="11" t="s">
        <v>10</v>
      </c>
      <c r="E1430" s="11" t="s">
        <v>11</v>
      </c>
      <c r="F1430" s="11" t="s">
        <v>12</v>
      </c>
      <c r="G1430" s="11" t="s">
        <v>13</v>
      </c>
      <c r="H1430" s="11" t="s">
        <v>14</v>
      </c>
      <c r="J1430" s="15"/>
      <c r="K1430" s="39"/>
    </row>
    <row r="1431" spans="3:11" x14ac:dyDescent="0.25">
      <c r="C1431" s="12" t="s">
        <v>15</v>
      </c>
      <c r="D1431" s="13" t="s">
        <v>16</v>
      </c>
      <c r="E1431" s="14"/>
      <c r="F1431" s="14"/>
      <c r="G1431" s="14"/>
      <c r="H1431" s="14"/>
      <c r="J1431" s="15"/>
      <c r="K1431" s="39"/>
    </row>
    <row r="1432" spans="3:11" x14ac:dyDescent="0.3">
      <c r="C1432" s="16">
        <v>1</v>
      </c>
      <c r="D1432" s="13" t="s">
        <v>18</v>
      </c>
      <c r="E1432" s="17" t="s">
        <v>19</v>
      </c>
      <c r="F1432" s="18">
        <v>2.4E-2</v>
      </c>
      <c r="G1432" s="19">
        <f>VLOOKUP(D1432,upahbahan,3,FALSE)</f>
        <v>100000</v>
      </c>
      <c r="H1432" s="19">
        <f t="shared" ref="H1432:H1435" si="144">F1432*G1432</f>
        <v>2400</v>
      </c>
      <c r="J1432" s="15"/>
      <c r="K1432" s="39"/>
    </row>
    <row r="1433" spans="3:11" x14ac:dyDescent="0.3">
      <c r="C1433" s="16">
        <v>2</v>
      </c>
      <c r="D1433" s="13" t="str">
        <f>D1416</f>
        <v>Tukang listrik</v>
      </c>
      <c r="E1433" s="17" t="s">
        <v>19</v>
      </c>
      <c r="F1433" s="18">
        <v>0.04</v>
      </c>
      <c r="G1433" s="19">
        <f>VLOOKUP(D1433,upahbahan,3,FALSE)</f>
        <v>145000</v>
      </c>
      <c r="H1433" s="19">
        <f t="shared" si="144"/>
        <v>5800</v>
      </c>
      <c r="J1433" s="15"/>
      <c r="K1433" s="39"/>
    </row>
    <row r="1434" spans="3:11" x14ac:dyDescent="0.3">
      <c r="C1434" s="16">
        <v>3</v>
      </c>
      <c r="D1434" s="13" t="s">
        <v>22</v>
      </c>
      <c r="E1434" s="17" t="s">
        <v>19</v>
      </c>
      <c r="F1434" s="18">
        <v>4.0000000000000001E-3</v>
      </c>
      <c r="G1434" s="19">
        <f>VLOOKUP(D1434,upahbahan,3,FALSE)</f>
        <v>175000</v>
      </c>
      <c r="H1434" s="19">
        <f t="shared" si="144"/>
        <v>700</v>
      </c>
      <c r="J1434" s="15"/>
      <c r="K1434" s="39"/>
    </row>
    <row r="1435" spans="3:11" x14ac:dyDescent="0.3">
      <c r="C1435" s="16">
        <v>4</v>
      </c>
      <c r="D1435" s="13" t="s">
        <v>23</v>
      </c>
      <c r="E1435" s="17" t="s">
        <v>19</v>
      </c>
      <c r="F1435" s="18">
        <v>1E-3</v>
      </c>
      <c r="G1435" s="19">
        <f>VLOOKUP(D1435,upahbahan,3,FALSE)</f>
        <v>200000</v>
      </c>
      <c r="H1435" s="19">
        <f t="shared" si="144"/>
        <v>200</v>
      </c>
      <c r="J1435" s="15"/>
      <c r="K1435" s="39"/>
    </row>
    <row r="1436" spans="3:11" x14ac:dyDescent="0.3">
      <c r="C1436" s="21" t="s">
        <v>24</v>
      </c>
      <c r="D1436" s="22"/>
      <c r="E1436" s="22"/>
      <c r="F1436" s="54"/>
      <c r="G1436" s="24"/>
      <c r="H1436" s="19">
        <f>SUM(H1432:H1435)</f>
        <v>9100</v>
      </c>
      <c r="I1436" s="25"/>
      <c r="J1436" s="15"/>
      <c r="K1436" s="39"/>
    </row>
    <row r="1437" spans="3:11" x14ac:dyDescent="0.25">
      <c r="C1437" s="12" t="s">
        <v>25</v>
      </c>
      <c r="D1437" s="13" t="s">
        <v>26</v>
      </c>
      <c r="E1437" s="14"/>
      <c r="F1437" s="55"/>
      <c r="G1437" s="14"/>
      <c r="H1437" s="14"/>
      <c r="J1437" s="15"/>
      <c r="K1437" s="39"/>
    </row>
    <row r="1438" spans="3:11" ht="55.2" x14ac:dyDescent="0.3">
      <c r="C1438" s="63" t="s">
        <v>202</v>
      </c>
      <c r="D1438" s="13" t="s">
        <v>298</v>
      </c>
      <c r="E1438" s="27" t="s">
        <v>28</v>
      </c>
      <c r="F1438" s="18">
        <v>1.2</v>
      </c>
      <c r="G1438" s="19">
        <f>VLOOKUP(D1438,upahbahan,3,FALSE)</f>
        <v>17500</v>
      </c>
      <c r="H1438" s="19">
        <f>F1438*G1438</f>
        <v>21000</v>
      </c>
      <c r="J1438" s="15"/>
      <c r="K1438" s="39"/>
    </row>
    <row r="1439" spans="3:11" x14ac:dyDescent="0.3">
      <c r="C1439" s="21" t="s">
        <v>29</v>
      </c>
      <c r="D1439" s="22"/>
      <c r="E1439" s="22"/>
      <c r="F1439" s="22"/>
      <c r="G1439" s="28"/>
      <c r="H1439" s="19">
        <f>SUM(H1438:H1438)</f>
        <v>21000</v>
      </c>
      <c r="J1439" s="15"/>
      <c r="K1439" s="39"/>
    </row>
    <row r="1440" spans="3:11" x14ac:dyDescent="0.25">
      <c r="C1440" s="12" t="s">
        <v>30</v>
      </c>
      <c r="D1440" s="13" t="s">
        <v>31</v>
      </c>
      <c r="E1440" s="14"/>
      <c r="F1440" s="14"/>
      <c r="G1440" s="14"/>
      <c r="H1440" s="14"/>
      <c r="J1440" s="15"/>
      <c r="K1440" s="39"/>
    </row>
    <row r="1441" spans="3:11" x14ac:dyDescent="0.3">
      <c r="C1441" s="21" t="s">
        <v>32</v>
      </c>
      <c r="D1441" s="22"/>
      <c r="E1441" s="22"/>
      <c r="F1441" s="22"/>
      <c r="G1441" s="28"/>
      <c r="H1441" s="29">
        <v>0</v>
      </c>
      <c r="J1441" s="15"/>
      <c r="K1441" s="39"/>
    </row>
    <row r="1442" spans="3:11" x14ac:dyDescent="0.3">
      <c r="C1442" s="30" t="s">
        <v>33</v>
      </c>
      <c r="D1442" s="31" t="s">
        <v>34</v>
      </c>
      <c r="E1442" s="32"/>
      <c r="F1442" s="32"/>
      <c r="G1442" s="33"/>
      <c r="H1442" s="46">
        <f>H1441+H1439+H1436</f>
        <v>30100</v>
      </c>
      <c r="I1442" s="47"/>
      <c r="J1442" s="15"/>
      <c r="K1442" s="39"/>
    </row>
    <row r="1443" spans="3:11" x14ac:dyDescent="0.3">
      <c r="C1443" s="30" t="s">
        <v>35</v>
      </c>
      <c r="D1443" s="31" t="s">
        <v>36</v>
      </c>
      <c r="E1443" s="32"/>
      <c r="F1443" s="33"/>
      <c r="G1443" s="34">
        <f>$M$9</f>
        <v>0.1</v>
      </c>
      <c r="H1443" s="19">
        <f>H1442*G1443</f>
        <v>3010</v>
      </c>
      <c r="I1443" s="47"/>
      <c r="J1443" s="15"/>
      <c r="K1443" s="39"/>
    </row>
    <row r="1444" spans="3:11" x14ac:dyDescent="0.3">
      <c r="C1444" s="30" t="s">
        <v>37</v>
      </c>
      <c r="D1444" s="31" t="s">
        <v>38</v>
      </c>
      <c r="E1444" s="32"/>
      <c r="F1444" s="32"/>
      <c r="G1444" s="33"/>
      <c r="H1444" s="48">
        <f>SUM(H1442:H1443)</f>
        <v>33110</v>
      </c>
      <c r="I1444" s="47"/>
      <c r="J1444" s="15"/>
      <c r="K1444" s="39"/>
    </row>
    <row r="1445" spans="3:11" x14ac:dyDescent="0.3">
      <c r="J1445" s="15"/>
      <c r="K1445" s="39"/>
    </row>
    <row r="1446" spans="3:11" x14ac:dyDescent="0.3">
      <c r="C1446" s="2" t="s">
        <v>299</v>
      </c>
      <c r="D1446" s="8" t="s">
        <v>300</v>
      </c>
      <c r="E1446" s="44"/>
      <c r="F1446" s="44"/>
      <c r="G1446" s="44"/>
      <c r="H1446" s="44"/>
      <c r="I1446" s="10">
        <f>ROUNDDOWN(H1461,0)</f>
        <v>59306</v>
      </c>
      <c r="J1446" s="15" t="s">
        <v>296</v>
      </c>
      <c r="K1446" s="39" t="s">
        <v>297</v>
      </c>
    </row>
    <row r="1447" spans="3:11" ht="27.6" x14ac:dyDescent="0.3">
      <c r="C1447" s="11" t="s">
        <v>9</v>
      </c>
      <c r="D1447" s="11" t="s">
        <v>10</v>
      </c>
      <c r="E1447" s="11" t="s">
        <v>11</v>
      </c>
      <c r="F1447" s="11" t="s">
        <v>12</v>
      </c>
      <c r="G1447" s="11" t="s">
        <v>13</v>
      </c>
      <c r="H1447" s="11" t="s">
        <v>14</v>
      </c>
      <c r="J1447" s="15"/>
      <c r="K1447" s="39"/>
    </row>
    <row r="1448" spans="3:11" x14ac:dyDescent="0.25">
      <c r="C1448" s="12" t="s">
        <v>15</v>
      </c>
      <c r="D1448" s="13" t="s">
        <v>16</v>
      </c>
      <c r="E1448" s="14"/>
      <c r="F1448" s="14"/>
      <c r="G1448" s="14"/>
      <c r="H1448" s="14"/>
      <c r="J1448" s="15"/>
      <c r="K1448" s="39"/>
    </row>
    <row r="1449" spans="3:11" x14ac:dyDescent="0.3">
      <c r="C1449" s="16">
        <v>1</v>
      </c>
      <c r="D1449" s="13" t="s">
        <v>18</v>
      </c>
      <c r="E1449" s="17" t="s">
        <v>19</v>
      </c>
      <c r="F1449" s="49">
        <v>3.1E-2</v>
      </c>
      <c r="G1449" s="19">
        <f>VLOOKUP(D1449,upahbahan,3,FALSE)</f>
        <v>100000</v>
      </c>
      <c r="H1449" s="19">
        <f>F1449*G1449</f>
        <v>3100</v>
      </c>
      <c r="J1449" s="15"/>
      <c r="K1449" s="39"/>
    </row>
    <row r="1450" spans="3:11" x14ac:dyDescent="0.3">
      <c r="C1450" s="16">
        <v>2</v>
      </c>
      <c r="D1450" s="13" t="str">
        <f>D1433</f>
        <v>Tukang listrik</v>
      </c>
      <c r="E1450" s="17" t="s">
        <v>19</v>
      </c>
      <c r="F1450" s="49">
        <v>5.1999999999999998E-2</v>
      </c>
      <c r="G1450" s="19">
        <f>VLOOKUP(D1450,upahbahan,3,FALSE)</f>
        <v>145000</v>
      </c>
      <c r="H1450" s="19">
        <f t="shared" ref="H1450:H1452" si="145">F1450*G1450</f>
        <v>7540</v>
      </c>
      <c r="J1450" s="15"/>
      <c r="K1450" s="39"/>
    </row>
    <row r="1451" spans="3:11" x14ac:dyDescent="0.3">
      <c r="C1451" s="16">
        <v>3</v>
      </c>
      <c r="D1451" s="13" t="s">
        <v>22</v>
      </c>
      <c r="E1451" s="17" t="s">
        <v>19</v>
      </c>
      <c r="F1451" s="49">
        <v>5.0000000000000001E-3</v>
      </c>
      <c r="G1451" s="19">
        <f>VLOOKUP(D1451,upahbahan,3,FALSE)</f>
        <v>175000</v>
      </c>
      <c r="H1451" s="19">
        <f t="shared" si="145"/>
        <v>875</v>
      </c>
      <c r="J1451" s="15"/>
      <c r="K1451" s="39"/>
    </row>
    <row r="1452" spans="3:11" x14ac:dyDescent="0.3">
      <c r="C1452" s="16">
        <v>4</v>
      </c>
      <c r="D1452" s="13" t="s">
        <v>23</v>
      </c>
      <c r="E1452" s="17" t="s">
        <v>19</v>
      </c>
      <c r="F1452" s="49">
        <v>2E-3</v>
      </c>
      <c r="G1452" s="19">
        <f>VLOOKUP(D1452,upahbahan,3,FALSE)</f>
        <v>200000</v>
      </c>
      <c r="H1452" s="19">
        <f t="shared" si="145"/>
        <v>400</v>
      </c>
      <c r="J1452" s="15"/>
      <c r="K1452" s="39"/>
    </row>
    <row r="1453" spans="3:11" x14ac:dyDescent="0.3">
      <c r="C1453" s="21" t="s">
        <v>24</v>
      </c>
      <c r="D1453" s="22"/>
      <c r="E1453" s="22"/>
      <c r="F1453" s="54"/>
      <c r="G1453" s="24"/>
      <c r="H1453" s="19">
        <f>SUM(H1449:H1452)</f>
        <v>11915</v>
      </c>
      <c r="I1453" s="25"/>
      <c r="J1453" s="15"/>
      <c r="K1453" s="39"/>
    </row>
    <row r="1454" spans="3:11" x14ac:dyDescent="0.25">
      <c r="C1454" s="12" t="s">
        <v>25</v>
      </c>
      <c r="D1454" s="13" t="s">
        <v>26</v>
      </c>
      <c r="E1454" s="14"/>
      <c r="F1454" s="55"/>
      <c r="G1454" s="14"/>
      <c r="H1454" s="14"/>
      <c r="J1454" s="15"/>
      <c r="K1454" s="39"/>
    </row>
    <row r="1455" spans="3:11" ht="55.2" x14ac:dyDescent="0.3">
      <c r="C1455" s="63" t="s">
        <v>202</v>
      </c>
      <c r="D1455" s="13" t="s">
        <v>301</v>
      </c>
      <c r="E1455" s="27" t="s">
        <v>28</v>
      </c>
      <c r="F1455" s="18">
        <v>1.2</v>
      </c>
      <c r="G1455" s="19">
        <f>VLOOKUP(D1455,upahbahan,3,FALSE)</f>
        <v>35000</v>
      </c>
      <c r="H1455" s="19">
        <f>F1455*G1455</f>
        <v>42000</v>
      </c>
      <c r="J1455" s="15"/>
      <c r="K1455" s="39"/>
    </row>
    <row r="1456" spans="3:11" x14ac:dyDescent="0.3">
      <c r="C1456" s="21" t="s">
        <v>29</v>
      </c>
      <c r="D1456" s="22"/>
      <c r="E1456" s="22"/>
      <c r="F1456" s="22"/>
      <c r="G1456" s="28"/>
      <c r="H1456" s="19">
        <f>SUM(H1455:H1455)</f>
        <v>42000</v>
      </c>
      <c r="J1456" s="15"/>
      <c r="K1456" s="39"/>
    </row>
    <row r="1457" spans="3:11" x14ac:dyDescent="0.25">
      <c r="C1457" s="12" t="s">
        <v>30</v>
      </c>
      <c r="D1457" s="13" t="s">
        <v>31</v>
      </c>
      <c r="E1457" s="14"/>
      <c r="F1457" s="14"/>
      <c r="G1457" s="14"/>
      <c r="H1457" s="14"/>
      <c r="J1457" s="15"/>
      <c r="K1457" s="39"/>
    </row>
    <row r="1458" spans="3:11" x14ac:dyDescent="0.3">
      <c r="C1458" s="21" t="s">
        <v>32</v>
      </c>
      <c r="D1458" s="22"/>
      <c r="E1458" s="22"/>
      <c r="F1458" s="22"/>
      <c r="G1458" s="28"/>
      <c r="H1458" s="29">
        <v>0</v>
      </c>
      <c r="J1458" s="15"/>
      <c r="K1458" s="39"/>
    </row>
    <row r="1459" spans="3:11" x14ac:dyDescent="0.3">
      <c r="C1459" s="30" t="s">
        <v>33</v>
      </c>
      <c r="D1459" s="31" t="s">
        <v>34</v>
      </c>
      <c r="E1459" s="32"/>
      <c r="F1459" s="32"/>
      <c r="G1459" s="33"/>
      <c r="H1459" s="46">
        <f>H1458+H1456+H1453</f>
        <v>53915</v>
      </c>
      <c r="I1459" s="47"/>
      <c r="J1459" s="15"/>
      <c r="K1459" s="39"/>
    </row>
    <row r="1460" spans="3:11" x14ac:dyDescent="0.3">
      <c r="C1460" s="30" t="s">
        <v>35</v>
      </c>
      <c r="D1460" s="31" t="s">
        <v>36</v>
      </c>
      <c r="E1460" s="32"/>
      <c r="F1460" s="33"/>
      <c r="G1460" s="34">
        <f>$M$9</f>
        <v>0.1</v>
      </c>
      <c r="H1460" s="19">
        <f>H1459*G1460</f>
        <v>5391.5</v>
      </c>
      <c r="I1460" s="47"/>
      <c r="J1460" s="15"/>
      <c r="K1460" s="39"/>
    </row>
    <row r="1461" spans="3:11" x14ac:dyDescent="0.3">
      <c r="C1461" s="30" t="s">
        <v>37</v>
      </c>
      <c r="D1461" s="31" t="s">
        <v>38</v>
      </c>
      <c r="E1461" s="32"/>
      <c r="F1461" s="32"/>
      <c r="G1461" s="33"/>
      <c r="H1461" s="48">
        <f>SUM(H1459:H1460)</f>
        <v>59306.5</v>
      </c>
      <c r="I1461" s="47"/>
      <c r="J1461" s="15"/>
      <c r="K1461" s="39"/>
    </row>
    <row r="1462" spans="3:11" x14ac:dyDescent="0.3">
      <c r="J1462" s="15"/>
      <c r="K1462" s="39"/>
    </row>
    <row r="1463" spans="3:11" x14ac:dyDescent="0.3">
      <c r="C1463" s="2" t="s">
        <v>302</v>
      </c>
      <c r="D1463" s="2" t="s">
        <v>303</v>
      </c>
      <c r="J1463" s="15"/>
      <c r="K1463" s="39"/>
    </row>
    <row r="1464" spans="3:11" x14ac:dyDescent="0.3">
      <c r="C1464" s="2" t="s">
        <v>304</v>
      </c>
      <c r="D1464" s="8" t="s">
        <v>305</v>
      </c>
      <c r="E1464" s="44"/>
      <c r="F1464" s="44"/>
      <c r="G1464" s="44"/>
      <c r="H1464" s="44"/>
      <c r="I1464" s="10">
        <f>ROUNDDOWN(H1479,0)</f>
        <v>40040</v>
      </c>
      <c r="J1464" s="15"/>
      <c r="K1464" s="39"/>
    </row>
    <row r="1465" spans="3:11" ht="27.6" x14ac:dyDescent="0.3">
      <c r="C1465" s="11" t="s">
        <v>9</v>
      </c>
      <c r="D1465" s="11" t="s">
        <v>10</v>
      </c>
      <c r="E1465" s="11" t="s">
        <v>11</v>
      </c>
      <c r="F1465" s="11" t="s">
        <v>12</v>
      </c>
      <c r="G1465" s="11" t="s">
        <v>13</v>
      </c>
      <c r="H1465" s="11" t="s">
        <v>14</v>
      </c>
      <c r="J1465" s="15"/>
      <c r="K1465" s="39"/>
    </row>
    <row r="1466" spans="3:11" x14ac:dyDescent="0.25">
      <c r="C1466" s="12" t="s">
        <v>15</v>
      </c>
      <c r="D1466" s="13" t="s">
        <v>16</v>
      </c>
      <c r="E1466" s="14"/>
      <c r="F1466" s="14"/>
      <c r="G1466" s="14"/>
      <c r="H1466" s="14"/>
      <c r="J1466" s="15"/>
      <c r="K1466" s="39"/>
    </row>
    <row r="1467" spans="3:11" x14ac:dyDescent="0.3">
      <c r="C1467" s="16">
        <v>1</v>
      </c>
      <c r="D1467" s="13" t="s">
        <v>18</v>
      </c>
      <c r="E1467" s="17" t="s">
        <v>19</v>
      </c>
      <c r="F1467" s="18">
        <v>2.4E-2</v>
      </c>
      <c r="G1467" s="19">
        <f>VLOOKUP(D1467,upahbahan,3,FALSE)</f>
        <v>100000</v>
      </c>
      <c r="H1467" s="19">
        <f t="shared" ref="H1467:H1470" si="146">F1467*G1467</f>
        <v>2400</v>
      </c>
      <c r="J1467" s="15"/>
      <c r="K1467" s="39"/>
    </row>
    <row r="1468" spans="3:11" x14ac:dyDescent="0.3">
      <c r="C1468" s="16">
        <v>2</v>
      </c>
      <c r="D1468" s="13" t="str">
        <f>D1450</f>
        <v>Tukang listrik</v>
      </c>
      <c r="E1468" s="17" t="s">
        <v>19</v>
      </c>
      <c r="F1468" s="18">
        <v>0.04</v>
      </c>
      <c r="G1468" s="19">
        <f>VLOOKUP(D1468,upahbahan,3,FALSE)</f>
        <v>145000</v>
      </c>
      <c r="H1468" s="19">
        <f t="shared" si="146"/>
        <v>5800</v>
      </c>
      <c r="J1468" s="15"/>
      <c r="K1468" s="39"/>
    </row>
    <row r="1469" spans="3:11" x14ac:dyDescent="0.3">
      <c r="C1469" s="16">
        <v>3</v>
      </c>
      <c r="D1469" s="13" t="s">
        <v>22</v>
      </c>
      <c r="E1469" s="17" t="s">
        <v>19</v>
      </c>
      <c r="F1469" s="18">
        <v>4.0000000000000001E-3</v>
      </c>
      <c r="G1469" s="19">
        <f>VLOOKUP(D1469,upahbahan,3,FALSE)</f>
        <v>175000</v>
      </c>
      <c r="H1469" s="19">
        <f t="shared" si="146"/>
        <v>700</v>
      </c>
      <c r="J1469" s="15"/>
      <c r="K1469" s="39"/>
    </row>
    <row r="1470" spans="3:11" x14ac:dyDescent="0.3">
      <c r="C1470" s="16">
        <v>4</v>
      </c>
      <c r="D1470" s="13" t="s">
        <v>23</v>
      </c>
      <c r="E1470" s="17" t="s">
        <v>19</v>
      </c>
      <c r="F1470" s="18">
        <v>1E-3</v>
      </c>
      <c r="G1470" s="19">
        <f>VLOOKUP(D1470,upahbahan,3,FALSE)</f>
        <v>200000</v>
      </c>
      <c r="H1470" s="19">
        <f t="shared" si="146"/>
        <v>200</v>
      </c>
      <c r="J1470" s="15"/>
      <c r="K1470" s="39"/>
    </row>
    <row r="1471" spans="3:11" x14ac:dyDescent="0.3">
      <c r="C1471" s="21" t="s">
        <v>24</v>
      </c>
      <c r="D1471" s="22"/>
      <c r="E1471" s="22"/>
      <c r="F1471" s="54"/>
      <c r="G1471" s="24"/>
      <c r="H1471" s="19">
        <f>SUM(H1467:H1470)</f>
        <v>9100</v>
      </c>
      <c r="I1471" s="25"/>
      <c r="J1471" s="15"/>
      <c r="K1471" s="39"/>
    </row>
    <row r="1472" spans="3:11" x14ac:dyDescent="0.25">
      <c r="C1472" s="12" t="s">
        <v>25</v>
      </c>
      <c r="D1472" s="13" t="s">
        <v>26</v>
      </c>
      <c r="E1472" s="14"/>
      <c r="F1472" s="55"/>
      <c r="G1472" s="14"/>
      <c r="H1472" s="14"/>
      <c r="J1472" s="15"/>
      <c r="K1472" s="39"/>
    </row>
    <row r="1473" spans="3:11" x14ac:dyDescent="0.3">
      <c r="C1473" s="63" t="s">
        <v>202</v>
      </c>
      <c r="D1473" s="26" t="s">
        <v>306</v>
      </c>
      <c r="E1473" s="27" t="s">
        <v>28</v>
      </c>
      <c r="F1473" s="18">
        <v>1.2</v>
      </c>
      <c r="G1473" s="19">
        <f>VLOOKUP(D1473,upahbahan,3,FALSE)</f>
        <v>22750</v>
      </c>
      <c r="H1473" s="19">
        <f t="shared" ref="H1473" si="147">F1473*G1473</f>
        <v>27300</v>
      </c>
      <c r="J1473" s="15"/>
      <c r="K1473" s="39"/>
    </row>
    <row r="1474" spans="3:11" x14ac:dyDescent="0.3">
      <c r="C1474" s="21" t="s">
        <v>29</v>
      </c>
      <c r="D1474" s="22"/>
      <c r="E1474" s="22"/>
      <c r="F1474" s="22"/>
      <c r="G1474" s="28"/>
      <c r="H1474" s="19">
        <f>SUM(H1473:H1473)</f>
        <v>27300</v>
      </c>
      <c r="J1474" s="15"/>
      <c r="K1474" s="39"/>
    </row>
    <row r="1475" spans="3:11" x14ac:dyDescent="0.25">
      <c r="C1475" s="12" t="s">
        <v>30</v>
      </c>
      <c r="D1475" s="13" t="s">
        <v>31</v>
      </c>
      <c r="E1475" s="14"/>
      <c r="F1475" s="14"/>
      <c r="G1475" s="14"/>
      <c r="H1475" s="14"/>
      <c r="J1475" s="15"/>
      <c r="K1475" s="39"/>
    </row>
    <row r="1476" spans="3:11" x14ac:dyDescent="0.3">
      <c r="C1476" s="21" t="s">
        <v>32</v>
      </c>
      <c r="D1476" s="22"/>
      <c r="E1476" s="22"/>
      <c r="F1476" s="22"/>
      <c r="G1476" s="28"/>
      <c r="H1476" s="29">
        <v>0</v>
      </c>
      <c r="J1476" s="15"/>
      <c r="K1476" s="39"/>
    </row>
    <row r="1477" spans="3:11" x14ac:dyDescent="0.3">
      <c r="C1477" s="30" t="s">
        <v>33</v>
      </c>
      <c r="D1477" s="31" t="s">
        <v>34</v>
      </c>
      <c r="E1477" s="32"/>
      <c r="F1477" s="32"/>
      <c r="G1477" s="33"/>
      <c r="H1477" s="46">
        <f>H1476+H1474+H1471</f>
        <v>36400</v>
      </c>
      <c r="I1477" s="47"/>
      <c r="J1477" s="15"/>
      <c r="K1477" s="39"/>
    </row>
    <row r="1478" spans="3:11" x14ac:dyDescent="0.3">
      <c r="C1478" s="30" t="s">
        <v>35</v>
      </c>
      <c r="D1478" s="31" t="s">
        <v>36</v>
      </c>
      <c r="E1478" s="32"/>
      <c r="F1478" s="33"/>
      <c r="G1478" s="34">
        <f>$M$9</f>
        <v>0.1</v>
      </c>
      <c r="H1478" s="19">
        <f>H1477*G1478</f>
        <v>3640</v>
      </c>
      <c r="I1478" s="47"/>
      <c r="J1478" s="15"/>
      <c r="K1478" s="39"/>
    </row>
    <row r="1479" spans="3:11" x14ac:dyDescent="0.3">
      <c r="C1479" s="30" t="s">
        <v>37</v>
      </c>
      <c r="D1479" s="31" t="s">
        <v>38</v>
      </c>
      <c r="E1479" s="32"/>
      <c r="F1479" s="32"/>
      <c r="G1479" s="33"/>
      <c r="H1479" s="48">
        <f>SUM(H1477:H1478)</f>
        <v>40040</v>
      </c>
      <c r="I1479" s="47"/>
      <c r="J1479" s="15"/>
      <c r="K1479" s="39"/>
    </row>
    <row r="1480" spans="3:11" x14ac:dyDescent="0.3">
      <c r="J1480" s="15"/>
      <c r="K1480" s="39"/>
    </row>
    <row r="1481" spans="3:11" x14ac:dyDescent="0.3">
      <c r="C1481" s="40" t="s">
        <v>307</v>
      </c>
      <c r="D1481" s="8" t="s">
        <v>308</v>
      </c>
      <c r="E1481" s="44"/>
      <c r="F1481" s="44"/>
      <c r="G1481" s="44"/>
      <c r="H1481" s="44"/>
      <c r="I1481" s="10">
        <f>ROUNDDOWN(H1496,0)</f>
        <v>50270</v>
      </c>
      <c r="J1481" s="15"/>
      <c r="K1481" s="39"/>
    </row>
    <row r="1482" spans="3:11" ht="27.6" x14ac:dyDescent="0.3">
      <c r="C1482" s="11" t="s">
        <v>9</v>
      </c>
      <c r="D1482" s="11" t="s">
        <v>10</v>
      </c>
      <c r="E1482" s="11" t="s">
        <v>11</v>
      </c>
      <c r="F1482" s="11" t="s">
        <v>12</v>
      </c>
      <c r="G1482" s="11" t="s">
        <v>13</v>
      </c>
      <c r="H1482" s="11" t="s">
        <v>14</v>
      </c>
      <c r="J1482" s="15"/>
      <c r="K1482" s="39"/>
    </row>
    <row r="1483" spans="3:11" x14ac:dyDescent="0.25">
      <c r="C1483" s="12" t="s">
        <v>15</v>
      </c>
      <c r="D1483" s="13" t="s">
        <v>16</v>
      </c>
      <c r="E1483" s="14"/>
      <c r="F1483" s="14"/>
      <c r="G1483" s="14"/>
      <c r="H1483" s="14"/>
      <c r="J1483" s="15"/>
      <c r="K1483" s="39"/>
    </row>
    <row r="1484" spans="3:11" x14ac:dyDescent="0.3">
      <c r="C1484" s="16">
        <v>1</v>
      </c>
      <c r="D1484" s="13" t="s">
        <v>18</v>
      </c>
      <c r="E1484" s="17" t="s">
        <v>19</v>
      </c>
      <c r="F1484" s="18">
        <v>2.4E-2</v>
      </c>
      <c r="G1484" s="19">
        <f>VLOOKUP(D1484,upahbahan,3,FALSE)</f>
        <v>100000</v>
      </c>
      <c r="H1484" s="19">
        <f>F1484*G1484</f>
        <v>2400</v>
      </c>
      <c r="J1484" s="15"/>
      <c r="K1484" s="39"/>
    </row>
    <row r="1485" spans="3:11" x14ac:dyDescent="0.3">
      <c r="C1485" s="16">
        <v>2</v>
      </c>
      <c r="D1485" s="13" t="str">
        <f>D1468</f>
        <v>Tukang listrik</v>
      </c>
      <c r="E1485" s="17" t="s">
        <v>19</v>
      </c>
      <c r="F1485" s="18">
        <v>0.04</v>
      </c>
      <c r="G1485" s="19">
        <f>VLOOKUP(D1485,upahbahan,3,FALSE)</f>
        <v>145000</v>
      </c>
      <c r="H1485" s="19">
        <f t="shared" ref="H1485:H1487" si="148">F1485*G1485</f>
        <v>5800</v>
      </c>
      <c r="J1485" s="15"/>
      <c r="K1485" s="39"/>
    </row>
    <row r="1486" spans="3:11" x14ac:dyDescent="0.3">
      <c r="C1486" s="16">
        <v>3</v>
      </c>
      <c r="D1486" s="13" t="s">
        <v>22</v>
      </c>
      <c r="E1486" s="17" t="s">
        <v>19</v>
      </c>
      <c r="F1486" s="18">
        <v>4.0000000000000001E-3</v>
      </c>
      <c r="G1486" s="19">
        <f>VLOOKUP(D1486,upahbahan,3,FALSE)</f>
        <v>175000</v>
      </c>
      <c r="H1486" s="19">
        <f t="shared" si="148"/>
        <v>700</v>
      </c>
      <c r="J1486" s="15"/>
      <c r="K1486" s="39"/>
    </row>
    <row r="1487" spans="3:11" x14ac:dyDescent="0.3">
      <c r="C1487" s="16">
        <v>4</v>
      </c>
      <c r="D1487" s="13" t="s">
        <v>23</v>
      </c>
      <c r="E1487" s="17" t="s">
        <v>19</v>
      </c>
      <c r="F1487" s="18">
        <v>1E-3</v>
      </c>
      <c r="G1487" s="19">
        <f>VLOOKUP(D1487,upahbahan,3,FALSE)</f>
        <v>200000</v>
      </c>
      <c r="H1487" s="19">
        <f t="shared" si="148"/>
        <v>200</v>
      </c>
      <c r="J1487" s="15"/>
      <c r="K1487" s="39"/>
    </row>
    <row r="1488" spans="3:11" x14ac:dyDescent="0.3">
      <c r="C1488" s="21" t="s">
        <v>24</v>
      </c>
      <c r="D1488" s="22"/>
      <c r="E1488" s="22"/>
      <c r="F1488" s="54"/>
      <c r="G1488" s="19"/>
      <c r="H1488" s="19">
        <f>SUM(H1484:H1487)</f>
        <v>9100</v>
      </c>
      <c r="I1488" s="25"/>
      <c r="J1488" s="15"/>
      <c r="K1488" s="39"/>
    </row>
    <row r="1489" spans="3:11" x14ac:dyDescent="0.25">
      <c r="C1489" s="12" t="s">
        <v>25</v>
      </c>
      <c r="D1489" s="13" t="s">
        <v>26</v>
      </c>
      <c r="E1489" s="14"/>
      <c r="F1489" s="55"/>
      <c r="G1489" s="14"/>
      <c r="H1489" s="14"/>
      <c r="J1489" s="15"/>
      <c r="K1489" s="39"/>
    </row>
    <row r="1490" spans="3:11" x14ac:dyDescent="0.3">
      <c r="C1490" s="63" t="s">
        <v>202</v>
      </c>
      <c r="D1490" s="26" t="s">
        <v>309</v>
      </c>
      <c r="E1490" s="27" t="s">
        <v>28</v>
      </c>
      <c r="F1490" s="18">
        <v>1.2</v>
      </c>
      <c r="G1490" s="19">
        <f>VLOOKUP(D1490,upahbahan,3,FALSE)</f>
        <v>30500</v>
      </c>
      <c r="H1490" s="19">
        <f>F1490*G1490</f>
        <v>36600</v>
      </c>
      <c r="J1490" s="15"/>
      <c r="K1490" s="39"/>
    </row>
    <row r="1491" spans="3:11" x14ac:dyDescent="0.3">
      <c r="C1491" s="21" t="s">
        <v>29</v>
      </c>
      <c r="D1491" s="22"/>
      <c r="E1491" s="22"/>
      <c r="F1491" s="22"/>
      <c r="G1491" s="28"/>
      <c r="H1491" s="19">
        <f>SUM(H1490:H1490)</f>
        <v>36600</v>
      </c>
      <c r="J1491" s="15"/>
      <c r="K1491" s="39"/>
    </row>
    <row r="1492" spans="3:11" x14ac:dyDescent="0.25">
      <c r="C1492" s="12" t="s">
        <v>30</v>
      </c>
      <c r="D1492" s="13" t="s">
        <v>31</v>
      </c>
      <c r="E1492" s="14"/>
      <c r="F1492" s="14"/>
      <c r="G1492" s="14"/>
      <c r="H1492" s="14"/>
      <c r="J1492" s="15"/>
      <c r="K1492" s="39"/>
    </row>
    <row r="1493" spans="3:11" x14ac:dyDescent="0.3">
      <c r="C1493" s="21" t="s">
        <v>32</v>
      </c>
      <c r="D1493" s="22"/>
      <c r="E1493" s="22"/>
      <c r="F1493" s="22"/>
      <c r="G1493" s="28"/>
      <c r="H1493" s="29">
        <v>0</v>
      </c>
      <c r="J1493" s="15"/>
      <c r="K1493" s="39"/>
    </row>
    <row r="1494" spans="3:11" x14ac:dyDescent="0.3">
      <c r="C1494" s="30" t="s">
        <v>33</v>
      </c>
      <c r="D1494" s="31" t="s">
        <v>34</v>
      </c>
      <c r="E1494" s="32"/>
      <c r="F1494" s="32"/>
      <c r="G1494" s="33"/>
      <c r="H1494" s="46">
        <f>H1493+H1491+H1488</f>
        <v>45700</v>
      </c>
      <c r="I1494" s="47"/>
      <c r="J1494" s="15"/>
      <c r="K1494" s="39"/>
    </row>
    <row r="1495" spans="3:11" x14ac:dyDescent="0.3">
      <c r="C1495" s="30" t="s">
        <v>35</v>
      </c>
      <c r="D1495" s="31" t="s">
        <v>36</v>
      </c>
      <c r="E1495" s="32"/>
      <c r="F1495" s="33"/>
      <c r="G1495" s="34">
        <f>$M$9</f>
        <v>0.1</v>
      </c>
      <c r="H1495" s="19">
        <f>H1494*G1495</f>
        <v>4570</v>
      </c>
      <c r="I1495" s="47"/>
      <c r="J1495" s="15"/>
      <c r="K1495" s="39"/>
    </row>
    <row r="1496" spans="3:11" x14ac:dyDescent="0.3">
      <c r="C1496" s="30" t="s">
        <v>37</v>
      </c>
      <c r="D1496" s="31" t="s">
        <v>38</v>
      </c>
      <c r="E1496" s="32"/>
      <c r="F1496" s="32"/>
      <c r="G1496" s="33"/>
      <c r="H1496" s="48">
        <f>SUM(H1494:H1495)</f>
        <v>50270</v>
      </c>
      <c r="I1496" s="47"/>
      <c r="J1496" s="15"/>
      <c r="K1496" s="39"/>
    </row>
    <row r="1497" spans="3:11" x14ac:dyDescent="0.3">
      <c r="J1497" s="15"/>
      <c r="K1497" s="39"/>
    </row>
    <row r="1498" spans="3:11" x14ac:dyDescent="0.3">
      <c r="C1498" s="40" t="s">
        <v>310</v>
      </c>
      <c r="D1498" s="8" t="s">
        <v>311</v>
      </c>
      <c r="E1498" s="44"/>
      <c r="F1498" s="44"/>
      <c r="G1498" s="44"/>
      <c r="H1498" s="44"/>
      <c r="I1498" s="10">
        <f>ROUNDDOWN(H1513,0)</f>
        <v>56474</v>
      </c>
      <c r="J1498" s="15"/>
      <c r="K1498" s="39"/>
    </row>
    <row r="1499" spans="3:11" ht="27.6" x14ac:dyDescent="0.3">
      <c r="C1499" s="11" t="s">
        <v>9</v>
      </c>
      <c r="D1499" s="11" t="s">
        <v>10</v>
      </c>
      <c r="E1499" s="11" t="s">
        <v>11</v>
      </c>
      <c r="F1499" s="11" t="s">
        <v>12</v>
      </c>
      <c r="G1499" s="11" t="s">
        <v>13</v>
      </c>
      <c r="H1499" s="11" t="s">
        <v>14</v>
      </c>
      <c r="J1499" s="15"/>
      <c r="K1499" s="39"/>
    </row>
    <row r="1500" spans="3:11" x14ac:dyDescent="0.25">
      <c r="C1500" s="12" t="s">
        <v>15</v>
      </c>
      <c r="D1500" s="13" t="s">
        <v>16</v>
      </c>
      <c r="E1500" s="14"/>
      <c r="F1500" s="14"/>
      <c r="G1500" s="14"/>
      <c r="H1500" s="14"/>
      <c r="J1500" s="15"/>
      <c r="K1500" s="39"/>
    </row>
    <row r="1501" spans="3:11" x14ac:dyDescent="0.3">
      <c r="C1501" s="16">
        <v>1</v>
      </c>
      <c r="D1501" s="13" t="s">
        <v>18</v>
      </c>
      <c r="E1501" s="17" t="s">
        <v>19</v>
      </c>
      <c r="F1501" s="18">
        <v>2.4E-2</v>
      </c>
      <c r="G1501" s="19">
        <f>VLOOKUP(D1501,upahbahan,3,FALSE)</f>
        <v>100000</v>
      </c>
      <c r="H1501" s="19">
        <f>F1501*G1501</f>
        <v>2400</v>
      </c>
      <c r="J1501" s="15"/>
      <c r="K1501" s="39"/>
    </row>
    <row r="1502" spans="3:11" x14ac:dyDescent="0.3">
      <c r="C1502" s="16">
        <v>2</v>
      </c>
      <c r="D1502" s="13" t="str">
        <f>D1485</f>
        <v>Tukang listrik</v>
      </c>
      <c r="E1502" s="17" t="s">
        <v>19</v>
      </c>
      <c r="F1502" s="18">
        <v>0.04</v>
      </c>
      <c r="G1502" s="19">
        <f>VLOOKUP(D1502,upahbahan,3,FALSE)</f>
        <v>145000</v>
      </c>
      <c r="H1502" s="19">
        <f t="shared" ref="H1502:H1504" si="149">F1502*G1502</f>
        <v>5800</v>
      </c>
      <c r="J1502" s="15"/>
      <c r="K1502" s="39"/>
    </row>
    <row r="1503" spans="3:11" x14ac:dyDescent="0.3">
      <c r="C1503" s="16">
        <v>3</v>
      </c>
      <c r="D1503" s="13" t="s">
        <v>22</v>
      </c>
      <c r="E1503" s="17" t="s">
        <v>19</v>
      </c>
      <c r="F1503" s="18">
        <v>4.0000000000000001E-3</v>
      </c>
      <c r="G1503" s="19">
        <f>VLOOKUP(D1503,upahbahan,3,FALSE)</f>
        <v>175000</v>
      </c>
      <c r="H1503" s="19">
        <f t="shared" si="149"/>
        <v>700</v>
      </c>
      <c r="J1503" s="15"/>
      <c r="K1503" s="39"/>
    </row>
    <row r="1504" spans="3:11" x14ac:dyDescent="0.3">
      <c r="C1504" s="16">
        <v>4</v>
      </c>
      <c r="D1504" s="13" t="s">
        <v>23</v>
      </c>
      <c r="E1504" s="17" t="s">
        <v>19</v>
      </c>
      <c r="F1504" s="18">
        <v>1E-3</v>
      </c>
      <c r="G1504" s="19">
        <f>VLOOKUP(D1504,upahbahan,3,FALSE)</f>
        <v>200000</v>
      </c>
      <c r="H1504" s="19">
        <f t="shared" si="149"/>
        <v>200</v>
      </c>
      <c r="J1504" s="15"/>
      <c r="K1504" s="39"/>
    </row>
    <row r="1505" spans="3:11" x14ac:dyDescent="0.3">
      <c r="C1505" s="21" t="s">
        <v>24</v>
      </c>
      <c r="D1505" s="22"/>
      <c r="E1505" s="22"/>
      <c r="F1505" s="54"/>
      <c r="G1505" s="24"/>
      <c r="H1505" s="19">
        <f>SUM(H1501:H1504)</f>
        <v>9100</v>
      </c>
      <c r="I1505" s="25"/>
      <c r="J1505" s="15"/>
      <c r="K1505" s="39"/>
    </row>
    <row r="1506" spans="3:11" x14ac:dyDescent="0.25">
      <c r="C1506" s="12" t="s">
        <v>25</v>
      </c>
      <c r="D1506" s="13" t="s">
        <v>26</v>
      </c>
      <c r="E1506" s="14"/>
      <c r="F1506" s="55"/>
      <c r="G1506" s="14"/>
      <c r="H1506" s="14"/>
      <c r="J1506" s="15"/>
      <c r="K1506" s="39"/>
    </row>
    <row r="1507" spans="3:11" x14ac:dyDescent="0.3">
      <c r="C1507" s="63" t="s">
        <v>202</v>
      </c>
      <c r="D1507" s="26" t="s">
        <v>312</v>
      </c>
      <c r="E1507" s="27" t="s">
        <v>28</v>
      </c>
      <c r="F1507" s="18">
        <v>1.2</v>
      </c>
      <c r="G1507" s="19">
        <f>VLOOKUP(D1507,upahbahan,3,FALSE)</f>
        <v>35200</v>
      </c>
      <c r="H1507" s="19">
        <f>F1507*G1507</f>
        <v>42240</v>
      </c>
      <c r="J1507" s="15"/>
      <c r="K1507" s="39"/>
    </row>
    <row r="1508" spans="3:11" x14ac:dyDescent="0.3">
      <c r="C1508" s="21" t="s">
        <v>29</v>
      </c>
      <c r="D1508" s="22"/>
      <c r="E1508" s="22"/>
      <c r="F1508" s="22"/>
      <c r="G1508" s="28"/>
      <c r="H1508" s="19">
        <f>SUM(H1507:H1507)</f>
        <v>42240</v>
      </c>
      <c r="J1508" s="15"/>
      <c r="K1508" s="39"/>
    </row>
    <row r="1509" spans="3:11" x14ac:dyDescent="0.25">
      <c r="C1509" s="12" t="s">
        <v>30</v>
      </c>
      <c r="D1509" s="13" t="s">
        <v>31</v>
      </c>
      <c r="E1509" s="14"/>
      <c r="F1509" s="14"/>
      <c r="G1509" s="14"/>
      <c r="H1509" s="14"/>
      <c r="J1509" s="15"/>
      <c r="K1509" s="39"/>
    </row>
    <row r="1510" spans="3:11" x14ac:dyDescent="0.3">
      <c r="C1510" s="21" t="s">
        <v>32</v>
      </c>
      <c r="D1510" s="22"/>
      <c r="E1510" s="22"/>
      <c r="F1510" s="22"/>
      <c r="G1510" s="28"/>
      <c r="H1510" s="29">
        <v>0</v>
      </c>
      <c r="J1510" s="15"/>
      <c r="K1510" s="39"/>
    </row>
    <row r="1511" spans="3:11" x14ac:dyDescent="0.3">
      <c r="C1511" s="30" t="s">
        <v>33</v>
      </c>
      <c r="D1511" s="31" t="s">
        <v>34</v>
      </c>
      <c r="E1511" s="32"/>
      <c r="F1511" s="32"/>
      <c r="G1511" s="33"/>
      <c r="H1511" s="46">
        <f>H1510+H1508+H1505</f>
        <v>51340</v>
      </c>
      <c r="I1511" s="47"/>
      <c r="J1511" s="15"/>
      <c r="K1511" s="39"/>
    </row>
    <row r="1512" spans="3:11" x14ac:dyDescent="0.3">
      <c r="C1512" s="30" t="s">
        <v>35</v>
      </c>
      <c r="D1512" s="31" t="s">
        <v>36</v>
      </c>
      <c r="E1512" s="32"/>
      <c r="F1512" s="33"/>
      <c r="G1512" s="34">
        <f>$M$9</f>
        <v>0.1</v>
      </c>
      <c r="H1512" s="19">
        <f>H1511*G1512</f>
        <v>5134</v>
      </c>
      <c r="I1512" s="47"/>
      <c r="J1512" s="15"/>
      <c r="K1512" s="39"/>
    </row>
    <row r="1513" spans="3:11" x14ac:dyDescent="0.3">
      <c r="C1513" s="30" t="s">
        <v>37</v>
      </c>
      <c r="D1513" s="31" t="s">
        <v>38</v>
      </c>
      <c r="E1513" s="32"/>
      <c r="F1513" s="32"/>
      <c r="G1513" s="33"/>
      <c r="H1513" s="48">
        <f>SUM(H1511:H1512)</f>
        <v>56474</v>
      </c>
      <c r="I1513" s="47"/>
      <c r="J1513" s="15"/>
      <c r="K1513" s="39"/>
    </row>
    <row r="1514" spans="3:11" x14ac:dyDescent="0.3">
      <c r="J1514" s="15"/>
      <c r="K1514" s="39"/>
    </row>
    <row r="1515" spans="3:11" x14ac:dyDescent="0.3">
      <c r="C1515" s="40" t="s">
        <v>313</v>
      </c>
      <c r="D1515" s="8" t="s">
        <v>314</v>
      </c>
      <c r="E1515" s="44"/>
      <c r="F1515" s="44"/>
      <c r="G1515" s="44"/>
      <c r="H1515" s="44"/>
      <c r="I1515" s="10">
        <f>ROUNDDOWN(H1530,0)</f>
        <v>67232</v>
      </c>
      <c r="J1515" s="15"/>
      <c r="K1515" s="39"/>
    </row>
    <row r="1516" spans="3:11" ht="27.6" x14ac:dyDescent="0.3">
      <c r="C1516" s="11" t="s">
        <v>9</v>
      </c>
      <c r="D1516" s="11" t="s">
        <v>10</v>
      </c>
      <c r="E1516" s="11" t="s">
        <v>11</v>
      </c>
      <c r="F1516" s="11" t="s">
        <v>12</v>
      </c>
      <c r="G1516" s="11" t="s">
        <v>13</v>
      </c>
      <c r="H1516" s="11" t="s">
        <v>14</v>
      </c>
      <c r="J1516" s="15"/>
      <c r="K1516" s="39"/>
    </row>
    <row r="1517" spans="3:11" x14ac:dyDescent="0.25">
      <c r="C1517" s="12" t="s">
        <v>15</v>
      </c>
      <c r="D1517" s="13" t="s">
        <v>16</v>
      </c>
      <c r="E1517" s="14"/>
      <c r="F1517" s="14"/>
      <c r="G1517" s="14"/>
      <c r="H1517" s="14"/>
      <c r="J1517" s="15"/>
      <c r="K1517" s="39"/>
    </row>
    <row r="1518" spans="3:11" x14ac:dyDescent="0.3">
      <c r="C1518" s="16">
        <v>1</v>
      </c>
      <c r="D1518" s="13" t="s">
        <v>18</v>
      </c>
      <c r="E1518" s="17" t="s">
        <v>19</v>
      </c>
      <c r="F1518" s="18">
        <v>2.4E-2</v>
      </c>
      <c r="G1518" s="19">
        <f>VLOOKUP(D1518,upahbahan,3,FALSE)</f>
        <v>100000</v>
      </c>
      <c r="H1518" s="19">
        <f>F1518*G1518</f>
        <v>2400</v>
      </c>
      <c r="J1518" s="15"/>
      <c r="K1518" s="39"/>
    </row>
    <row r="1519" spans="3:11" x14ac:dyDescent="0.3">
      <c r="C1519" s="16">
        <v>2</v>
      </c>
      <c r="D1519" s="13" t="str">
        <f>D1502</f>
        <v>Tukang listrik</v>
      </c>
      <c r="E1519" s="17" t="s">
        <v>19</v>
      </c>
      <c r="F1519" s="18">
        <v>0.04</v>
      </c>
      <c r="G1519" s="19">
        <f>VLOOKUP(D1519,upahbahan,3,FALSE)</f>
        <v>145000</v>
      </c>
      <c r="H1519" s="19">
        <f t="shared" ref="H1519:H1521" si="150">F1519*G1519</f>
        <v>5800</v>
      </c>
      <c r="J1519" s="15"/>
      <c r="K1519" s="39"/>
    </row>
    <row r="1520" spans="3:11" x14ac:dyDescent="0.3">
      <c r="C1520" s="16">
        <v>3</v>
      </c>
      <c r="D1520" s="13" t="s">
        <v>22</v>
      </c>
      <c r="E1520" s="17" t="s">
        <v>19</v>
      </c>
      <c r="F1520" s="18">
        <v>4.0000000000000001E-3</v>
      </c>
      <c r="G1520" s="19">
        <f>VLOOKUP(D1520,upahbahan,3,FALSE)</f>
        <v>175000</v>
      </c>
      <c r="H1520" s="19">
        <f t="shared" si="150"/>
        <v>700</v>
      </c>
      <c r="J1520" s="15"/>
      <c r="K1520" s="39"/>
    </row>
    <row r="1521" spans="3:11" x14ac:dyDescent="0.3">
      <c r="C1521" s="16">
        <v>4</v>
      </c>
      <c r="D1521" s="13" t="s">
        <v>23</v>
      </c>
      <c r="E1521" s="17" t="s">
        <v>19</v>
      </c>
      <c r="F1521" s="18">
        <v>1E-3</v>
      </c>
      <c r="G1521" s="19">
        <f>VLOOKUP(D1521,upahbahan,3,FALSE)</f>
        <v>200000</v>
      </c>
      <c r="H1521" s="19">
        <f t="shared" si="150"/>
        <v>200</v>
      </c>
      <c r="J1521" s="15"/>
      <c r="K1521" s="39"/>
    </row>
    <row r="1522" spans="3:11" x14ac:dyDescent="0.3">
      <c r="C1522" s="21" t="s">
        <v>24</v>
      </c>
      <c r="D1522" s="22"/>
      <c r="E1522" s="22"/>
      <c r="F1522" s="54"/>
      <c r="G1522" s="24"/>
      <c r="H1522" s="19">
        <f>SUM(H1518:H1521)</f>
        <v>9100</v>
      </c>
      <c r="I1522" s="25"/>
      <c r="J1522" s="15"/>
      <c r="K1522" s="39"/>
    </row>
    <row r="1523" spans="3:11" x14ac:dyDescent="0.25">
      <c r="C1523" s="12" t="s">
        <v>25</v>
      </c>
      <c r="D1523" s="13" t="s">
        <v>26</v>
      </c>
      <c r="E1523" s="14"/>
      <c r="F1523" s="55"/>
      <c r="G1523" s="14"/>
      <c r="H1523" s="14"/>
      <c r="J1523" s="15"/>
      <c r="K1523" s="39"/>
    </row>
    <row r="1524" spans="3:11" x14ac:dyDescent="0.3">
      <c r="C1524" s="63" t="s">
        <v>202</v>
      </c>
      <c r="D1524" s="26" t="s">
        <v>315</v>
      </c>
      <c r="E1524" s="27" t="s">
        <v>28</v>
      </c>
      <c r="F1524" s="18">
        <v>1.2</v>
      </c>
      <c r="G1524" s="19">
        <f>VLOOKUP(D1524,upahbahan,3,FALSE)</f>
        <v>43350</v>
      </c>
      <c r="H1524" s="19">
        <f>F1524*G1524</f>
        <v>52020</v>
      </c>
      <c r="J1524" s="15"/>
      <c r="K1524" s="39"/>
    </row>
    <row r="1525" spans="3:11" x14ac:dyDescent="0.3">
      <c r="C1525" s="21" t="s">
        <v>29</v>
      </c>
      <c r="D1525" s="22"/>
      <c r="E1525" s="22"/>
      <c r="F1525" s="22"/>
      <c r="G1525" s="28"/>
      <c r="H1525" s="19">
        <f>SUM(H1524:H1524)</f>
        <v>52020</v>
      </c>
      <c r="J1525" s="15"/>
      <c r="K1525" s="39"/>
    </row>
    <row r="1526" spans="3:11" x14ac:dyDescent="0.25">
      <c r="C1526" s="12" t="s">
        <v>30</v>
      </c>
      <c r="D1526" s="13" t="s">
        <v>31</v>
      </c>
      <c r="E1526" s="14"/>
      <c r="F1526" s="14"/>
      <c r="G1526" s="14"/>
      <c r="H1526" s="14"/>
      <c r="J1526" s="15"/>
      <c r="K1526" s="39"/>
    </row>
    <row r="1527" spans="3:11" x14ac:dyDescent="0.3">
      <c r="C1527" s="21" t="s">
        <v>32</v>
      </c>
      <c r="D1527" s="22"/>
      <c r="E1527" s="22"/>
      <c r="F1527" s="22"/>
      <c r="G1527" s="28"/>
      <c r="H1527" s="29">
        <v>0</v>
      </c>
      <c r="J1527" s="15"/>
      <c r="K1527" s="39"/>
    </row>
    <row r="1528" spans="3:11" x14ac:dyDescent="0.3">
      <c r="C1528" s="30" t="s">
        <v>33</v>
      </c>
      <c r="D1528" s="31" t="s">
        <v>34</v>
      </c>
      <c r="E1528" s="32"/>
      <c r="F1528" s="32"/>
      <c r="G1528" s="33"/>
      <c r="H1528" s="46">
        <f>H1527+H1525+H1522</f>
        <v>61120</v>
      </c>
      <c r="I1528" s="47"/>
      <c r="J1528" s="15"/>
      <c r="K1528" s="39"/>
    </row>
    <row r="1529" spans="3:11" x14ac:dyDescent="0.3">
      <c r="C1529" s="30" t="s">
        <v>35</v>
      </c>
      <c r="D1529" s="31" t="s">
        <v>36</v>
      </c>
      <c r="E1529" s="32"/>
      <c r="F1529" s="33"/>
      <c r="G1529" s="34">
        <f>$M$9</f>
        <v>0.1</v>
      </c>
      <c r="H1529" s="19">
        <f>H1528*G1529</f>
        <v>6112</v>
      </c>
      <c r="I1529" s="47"/>
      <c r="J1529" s="15"/>
      <c r="K1529" s="39"/>
    </row>
    <row r="1530" spans="3:11" x14ac:dyDescent="0.3">
      <c r="C1530" s="30" t="s">
        <v>37</v>
      </c>
      <c r="D1530" s="31" t="s">
        <v>38</v>
      </c>
      <c r="E1530" s="32"/>
      <c r="F1530" s="32"/>
      <c r="G1530" s="33"/>
      <c r="H1530" s="48">
        <f>SUM(H1528:H1529)</f>
        <v>67232</v>
      </c>
      <c r="I1530" s="47"/>
      <c r="J1530" s="15"/>
      <c r="K1530" s="39"/>
    </row>
    <row r="1531" spans="3:11" x14ac:dyDescent="0.3">
      <c r="J1531" s="15"/>
      <c r="K1531" s="39"/>
    </row>
    <row r="1532" spans="3:11" x14ac:dyDescent="0.3">
      <c r="C1532" s="40" t="s">
        <v>316</v>
      </c>
      <c r="D1532" s="8" t="s">
        <v>317</v>
      </c>
      <c r="E1532" s="44"/>
      <c r="F1532" s="44"/>
      <c r="G1532" s="44"/>
      <c r="H1532" s="44"/>
      <c r="I1532" s="10">
        <f>ROUNDDOWN(H1547,0)</f>
        <v>90200</v>
      </c>
      <c r="J1532" s="15"/>
      <c r="K1532" s="39"/>
    </row>
    <row r="1533" spans="3:11" ht="27.6" x14ac:dyDescent="0.3">
      <c r="C1533" s="11" t="s">
        <v>9</v>
      </c>
      <c r="D1533" s="11" t="s">
        <v>10</v>
      </c>
      <c r="E1533" s="11" t="s">
        <v>11</v>
      </c>
      <c r="F1533" s="11" t="s">
        <v>12</v>
      </c>
      <c r="G1533" s="11" t="s">
        <v>13</v>
      </c>
      <c r="H1533" s="11" t="s">
        <v>14</v>
      </c>
      <c r="J1533" s="15"/>
      <c r="K1533" s="39"/>
    </row>
    <row r="1534" spans="3:11" x14ac:dyDescent="0.25">
      <c r="C1534" s="12" t="s">
        <v>15</v>
      </c>
      <c r="D1534" s="13" t="s">
        <v>16</v>
      </c>
      <c r="E1534" s="14"/>
      <c r="F1534" s="14"/>
      <c r="G1534" s="14"/>
      <c r="H1534" s="14"/>
      <c r="J1534" s="15"/>
      <c r="K1534" s="39"/>
    </row>
    <row r="1535" spans="3:11" x14ac:dyDescent="0.3">
      <c r="C1535" s="16">
        <v>1</v>
      </c>
      <c r="D1535" s="13" t="s">
        <v>18</v>
      </c>
      <c r="E1535" s="17" t="s">
        <v>19</v>
      </c>
      <c r="F1535" s="18">
        <v>2.4E-2</v>
      </c>
      <c r="G1535" s="19">
        <f>VLOOKUP(D1535,upahbahan,3,FALSE)</f>
        <v>100000</v>
      </c>
      <c r="H1535" s="19">
        <f>F1535*G1535</f>
        <v>2400</v>
      </c>
      <c r="J1535" s="15"/>
      <c r="K1535" s="39"/>
    </row>
    <row r="1536" spans="3:11" x14ac:dyDescent="0.3">
      <c r="C1536" s="16">
        <v>2</v>
      </c>
      <c r="D1536" s="13" t="str">
        <f>D1519</f>
        <v>Tukang listrik</v>
      </c>
      <c r="E1536" s="17" t="s">
        <v>19</v>
      </c>
      <c r="F1536" s="18">
        <v>0.04</v>
      </c>
      <c r="G1536" s="19">
        <f>VLOOKUP(D1536,upahbahan,3,FALSE)</f>
        <v>145000</v>
      </c>
      <c r="H1536" s="19">
        <f>F1536*G1536</f>
        <v>5800</v>
      </c>
      <c r="J1536" s="15"/>
      <c r="K1536" s="39"/>
    </row>
    <row r="1537" spans="3:11" x14ac:dyDescent="0.3">
      <c r="C1537" s="16">
        <v>3</v>
      </c>
      <c r="D1537" s="13" t="s">
        <v>22</v>
      </c>
      <c r="E1537" s="17" t="s">
        <v>19</v>
      </c>
      <c r="F1537" s="18">
        <v>4.0000000000000001E-3</v>
      </c>
      <c r="G1537" s="19">
        <f>VLOOKUP(D1537,upahbahan,3,FALSE)</f>
        <v>175000</v>
      </c>
      <c r="H1537" s="19">
        <f t="shared" ref="H1537:H1538" si="151">F1537*G1537</f>
        <v>700</v>
      </c>
      <c r="J1537" s="15"/>
      <c r="K1537" s="39"/>
    </row>
    <row r="1538" spans="3:11" x14ac:dyDescent="0.3">
      <c r="C1538" s="16">
        <v>4</v>
      </c>
      <c r="D1538" s="13" t="s">
        <v>23</v>
      </c>
      <c r="E1538" s="17" t="s">
        <v>19</v>
      </c>
      <c r="F1538" s="18">
        <v>1E-3</v>
      </c>
      <c r="G1538" s="19">
        <f>VLOOKUP(D1538,upahbahan,3,FALSE)</f>
        <v>200000</v>
      </c>
      <c r="H1538" s="19">
        <f t="shared" si="151"/>
        <v>200</v>
      </c>
      <c r="J1538" s="15"/>
      <c r="K1538" s="39"/>
    </row>
    <row r="1539" spans="3:11" x14ac:dyDescent="0.3">
      <c r="C1539" s="21" t="s">
        <v>24</v>
      </c>
      <c r="D1539" s="22"/>
      <c r="E1539" s="22"/>
      <c r="F1539" s="54"/>
      <c r="G1539" s="24"/>
      <c r="H1539" s="19">
        <f>SUM(H1535:H1538)</f>
        <v>9100</v>
      </c>
      <c r="I1539" s="25"/>
      <c r="J1539" s="15"/>
      <c r="K1539" s="39"/>
    </row>
    <row r="1540" spans="3:11" x14ac:dyDescent="0.25">
      <c r="C1540" s="12" t="s">
        <v>25</v>
      </c>
      <c r="D1540" s="13" t="s">
        <v>26</v>
      </c>
      <c r="E1540" s="14"/>
      <c r="F1540" s="55"/>
      <c r="G1540" s="14"/>
      <c r="H1540" s="14"/>
      <c r="J1540" s="15"/>
      <c r="K1540" s="39"/>
    </row>
    <row r="1541" spans="3:11" x14ac:dyDescent="0.3">
      <c r="C1541" s="63" t="s">
        <v>202</v>
      </c>
      <c r="D1541" s="26" t="s">
        <v>318</v>
      </c>
      <c r="E1541" s="27" t="s">
        <v>28</v>
      </c>
      <c r="F1541" s="18">
        <v>1.2</v>
      </c>
      <c r="G1541" s="19">
        <f>VLOOKUP(D1541,upahbahan,3,FALSE)</f>
        <v>60750</v>
      </c>
      <c r="H1541" s="19">
        <f t="shared" ref="H1541" si="152">F1541*G1541</f>
        <v>72900</v>
      </c>
      <c r="J1541" s="15"/>
      <c r="K1541" s="39"/>
    </row>
    <row r="1542" spans="3:11" x14ac:dyDescent="0.3">
      <c r="C1542" s="21" t="s">
        <v>29</v>
      </c>
      <c r="D1542" s="22"/>
      <c r="E1542" s="22"/>
      <c r="F1542" s="22"/>
      <c r="G1542" s="28"/>
      <c r="H1542" s="19">
        <f>SUM(H1541:H1541)</f>
        <v>72900</v>
      </c>
      <c r="J1542" s="15"/>
      <c r="K1542" s="39"/>
    </row>
    <row r="1543" spans="3:11" x14ac:dyDescent="0.25">
      <c r="C1543" s="12" t="s">
        <v>30</v>
      </c>
      <c r="D1543" s="13" t="s">
        <v>31</v>
      </c>
      <c r="E1543" s="14"/>
      <c r="F1543" s="14"/>
      <c r="G1543" s="14"/>
      <c r="H1543" s="14"/>
      <c r="J1543" s="15"/>
      <c r="K1543" s="39"/>
    </row>
    <row r="1544" spans="3:11" x14ac:dyDescent="0.3">
      <c r="C1544" s="21" t="s">
        <v>32</v>
      </c>
      <c r="D1544" s="22"/>
      <c r="E1544" s="22"/>
      <c r="F1544" s="22"/>
      <c r="G1544" s="28"/>
      <c r="H1544" s="29">
        <v>0</v>
      </c>
      <c r="J1544" s="15"/>
      <c r="K1544" s="39"/>
    </row>
    <row r="1545" spans="3:11" x14ac:dyDescent="0.3">
      <c r="C1545" s="30" t="s">
        <v>33</v>
      </c>
      <c r="D1545" s="31" t="s">
        <v>34</v>
      </c>
      <c r="E1545" s="32"/>
      <c r="F1545" s="32"/>
      <c r="G1545" s="33"/>
      <c r="H1545" s="46">
        <f>H1544+H1542+H1539</f>
        <v>82000</v>
      </c>
      <c r="I1545" s="47"/>
      <c r="J1545" s="15"/>
      <c r="K1545" s="39"/>
    </row>
    <row r="1546" spans="3:11" x14ac:dyDescent="0.3">
      <c r="C1546" s="30" t="s">
        <v>35</v>
      </c>
      <c r="D1546" s="31" t="s">
        <v>36</v>
      </c>
      <c r="E1546" s="32"/>
      <c r="F1546" s="33"/>
      <c r="G1546" s="34">
        <f>$M$9</f>
        <v>0.1</v>
      </c>
      <c r="H1546" s="19">
        <f>H1545*G1546</f>
        <v>8200</v>
      </c>
      <c r="I1546" s="47"/>
      <c r="J1546" s="15"/>
      <c r="K1546" s="39"/>
    </row>
    <row r="1547" spans="3:11" x14ac:dyDescent="0.3">
      <c r="C1547" s="30" t="s">
        <v>37</v>
      </c>
      <c r="D1547" s="31" t="s">
        <v>38</v>
      </c>
      <c r="E1547" s="32"/>
      <c r="F1547" s="32"/>
      <c r="G1547" s="33"/>
      <c r="H1547" s="48">
        <f>SUM(H1545:H1546)</f>
        <v>90200</v>
      </c>
      <c r="I1547" s="47"/>
      <c r="J1547" s="15"/>
      <c r="K1547" s="39"/>
    </row>
    <row r="1548" spans="3:11" x14ac:dyDescent="0.3">
      <c r="J1548" s="15"/>
      <c r="K1548" s="39"/>
    </row>
    <row r="1549" spans="3:11" x14ac:dyDescent="0.3">
      <c r="C1549" s="40" t="s">
        <v>319</v>
      </c>
      <c r="D1549" s="8" t="s">
        <v>320</v>
      </c>
      <c r="E1549" s="44"/>
      <c r="F1549" s="44"/>
      <c r="G1549" s="44"/>
      <c r="H1549" s="44"/>
      <c r="I1549" s="10">
        <f>ROUNDDOWN(H1564,0)</f>
        <v>118250</v>
      </c>
      <c r="J1549" s="15"/>
      <c r="K1549" s="39"/>
    </row>
    <row r="1550" spans="3:11" ht="27.6" x14ac:dyDescent="0.3">
      <c r="C1550" s="11" t="s">
        <v>9</v>
      </c>
      <c r="D1550" s="11" t="s">
        <v>10</v>
      </c>
      <c r="E1550" s="11" t="s">
        <v>11</v>
      </c>
      <c r="F1550" s="11" t="s">
        <v>12</v>
      </c>
      <c r="G1550" s="11" t="s">
        <v>13</v>
      </c>
      <c r="H1550" s="11" t="s">
        <v>14</v>
      </c>
      <c r="J1550" s="15"/>
      <c r="K1550" s="39"/>
    </row>
    <row r="1551" spans="3:11" x14ac:dyDescent="0.25">
      <c r="C1551" s="12" t="s">
        <v>15</v>
      </c>
      <c r="D1551" s="13" t="s">
        <v>16</v>
      </c>
      <c r="E1551" s="14"/>
      <c r="F1551" s="14"/>
      <c r="G1551" s="14"/>
      <c r="H1551" s="14"/>
      <c r="J1551" s="15"/>
      <c r="K1551" s="39"/>
    </row>
    <row r="1552" spans="3:11" x14ac:dyDescent="0.3">
      <c r="C1552" s="16">
        <v>1</v>
      </c>
      <c r="D1552" s="13" t="s">
        <v>18</v>
      </c>
      <c r="E1552" s="17" t="s">
        <v>19</v>
      </c>
      <c r="F1552" s="18">
        <v>2.4E-2</v>
      </c>
      <c r="G1552" s="19">
        <f>VLOOKUP(D1552,upahbahan,3,FALSE)</f>
        <v>100000</v>
      </c>
      <c r="H1552" s="19">
        <f t="shared" ref="H1552:H1555" si="153">F1552*G1552</f>
        <v>2400</v>
      </c>
      <c r="J1552" s="15"/>
      <c r="K1552" s="39"/>
    </row>
    <row r="1553" spans="3:11" x14ac:dyDescent="0.3">
      <c r="C1553" s="16">
        <v>2</v>
      </c>
      <c r="D1553" s="13" t="str">
        <f>D1536</f>
        <v>Tukang listrik</v>
      </c>
      <c r="E1553" s="17" t="s">
        <v>19</v>
      </c>
      <c r="F1553" s="18">
        <v>0.04</v>
      </c>
      <c r="G1553" s="19">
        <f>VLOOKUP(D1553,upahbahan,3,FALSE)</f>
        <v>145000</v>
      </c>
      <c r="H1553" s="19">
        <f t="shared" si="153"/>
        <v>5800</v>
      </c>
      <c r="J1553" s="15"/>
      <c r="K1553" s="39"/>
    </row>
    <row r="1554" spans="3:11" x14ac:dyDescent="0.3">
      <c r="C1554" s="16">
        <v>3</v>
      </c>
      <c r="D1554" s="13" t="s">
        <v>22</v>
      </c>
      <c r="E1554" s="17" t="s">
        <v>19</v>
      </c>
      <c r="F1554" s="18">
        <v>4.0000000000000001E-3</v>
      </c>
      <c r="G1554" s="19">
        <f>VLOOKUP(D1554,upahbahan,3,FALSE)</f>
        <v>175000</v>
      </c>
      <c r="H1554" s="19">
        <f t="shared" si="153"/>
        <v>700</v>
      </c>
      <c r="J1554" s="15"/>
      <c r="K1554" s="39"/>
    </row>
    <row r="1555" spans="3:11" x14ac:dyDescent="0.3">
      <c r="C1555" s="16">
        <v>4</v>
      </c>
      <c r="D1555" s="13" t="s">
        <v>23</v>
      </c>
      <c r="E1555" s="17" t="s">
        <v>19</v>
      </c>
      <c r="F1555" s="18">
        <v>1E-3</v>
      </c>
      <c r="G1555" s="19">
        <f>VLOOKUP(D1555,upahbahan,3,FALSE)</f>
        <v>200000</v>
      </c>
      <c r="H1555" s="19">
        <f t="shared" si="153"/>
        <v>200</v>
      </c>
      <c r="J1555" s="15"/>
      <c r="K1555" s="39"/>
    </row>
    <row r="1556" spans="3:11" x14ac:dyDescent="0.3">
      <c r="C1556" s="21" t="s">
        <v>24</v>
      </c>
      <c r="D1556" s="22"/>
      <c r="E1556" s="22"/>
      <c r="F1556" s="54"/>
      <c r="G1556" s="24"/>
      <c r="H1556" s="19">
        <f>SUM(H1552:H1555)</f>
        <v>9100</v>
      </c>
      <c r="I1556" s="25"/>
      <c r="J1556" s="15"/>
      <c r="K1556" s="39"/>
    </row>
    <row r="1557" spans="3:11" x14ac:dyDescent="0.25">
      <c r="C1557" s="12" t="s">
        <v>25</v>
      </c>
      <c r="D1557" s="13" t="s">
        <v>26</v>
      </c>
      <c r="E1557" s="14"/>
      <c r="F1557" s="55"/>
      <c r="G1557" s="14"/>
      <c r="H1557" s="14"/>
      <c r="J1557" s="15"/>
      <c r="K1557" s="39"/>
    </row>
    <row r="1558" spans="3:11" x14ac:dyDescent="0.3">
      <c r="C1558" s="63" t="s">
        <v>202</v>
      </c>
      <c r="D1558" s="26" t="s">
        <v>321</v>
      </c>
      <c r="E1558" s="27" t="s">
        <v>28</v>
      </c>
      <c r="F1558" s="18">
        <v>1.2</v>
      </c>
      <c r="G1558" s="19">
        <f>VLOOKUP(D1558,upahbahan,3,FALSE)</f>
        <v>82000</v>
      </c>
      <c r="H1558" s="19">
        <f t="shared" ref="H1558" si="154">F1558*G1558</f>
        <v>98400</v>
      </c>
      <c r="J1558" s="15"/>
      <c r="K1558" s="39"/>
    </row>
    <row r="1559" spans="3:11" x14ac:dyDescent="0.3">
      <c r="C1559" s="21" t="s">
        <v>29</v>
      </c>
      <c r="D1559" s="22"/>
      <c r="E1559" s="22"/>
      <c r="F1559" s="22"/>
      <c r="G1559" s="28"/>
      <c r="H1559" s="19">
        <f>SUM(H1558:H1558)</f>
        <v>98400</v>
      </c>
      <c r="J1559" s="15"/>
      <c r="K1559" s="39"/>
    </row>
    <row r="1560" spans="3:11" x14ac:dyDescent="0.25">
      <c r="C1560" s="12" t="s">
        <v>30</v>
      </c>
      <c r="D1560" s="13" t="s">
        <v>31</v>
      </c>
      <c r="E1560" s="14"/>
      <c r="F1560" s="14"/>
      <c r="G1560" s="14"/>
      <c r="H1560" s="14"/>
      <c r="J1560" s="15"/>
      <c r="K1560" s="39"/>
    </row>
    <row r="1561" spans="3:11" x14ac:dyDescent="0.3">
      <c r="C1561" s="21" t="s">
        <v>32</v>
      </c>
      <c r="D1561" s="22"/>
      <c r="E1561" s="22"/>
      <c r="F1561" s="22"/>
      <c r="G1561" s="28"/>
      <c r="H1561" s="29">
        <v>0</v>
      </c>
      <c r="J1561" s="15"/>
      <c r="K1561" s="39"/>
    </row>
    <row r="1562" spans="3:11" x14ac:dyDescent="0.3">
      <c r="C1562" s="30" t="s">
        <v>33</v>
      </c>
      <c r="D1562" s="31" t="s">
        <v>34</v>
      </c>
      <c r="E1562" s="32"/>
      <c r="F1562" s="32"/>
      <c r="G1562" s="33"/>
      <c r="H1562" s="46">
        <f>H1561+H1559+H1556</f>
        <v>107500</v>
      </c>
      <c r="I1562" s="47"/>
      <c r="J1562" s="15"/>
      <c r="K1562" s="39"/>
    </row>
    <row r="1563" spans="3:11" x14ac:dyDescent="0.3">
      <c r="C1563" s="30" t="s">
        <v>35</v>
      </c>
      <c r="D1563" s="31" t="s">
        <v>36</v>
      </c>
      <c r="E1563" s="32"/>
      <c r="F1563" s="33"/>
      <c r="G1563" s="34">
        <f>$M$9</f>
        <v>0.1</v>
      </c>
      <c r="H1563" s="19">
        <f>H1562*G1563</f>
        <v>10750</v>
      </c>
      <c r="I1563" s="47"/>
      <c r="J1563" s="15"/>
      <c r="K1563" s="39"/>
    </row>
    <row r="1564" spans="3:11" x14ac:dyDescent="0.3">
      <c r="C1564" s="30" t="s">
        <v>37</v>
      </c>
      <c r="D1564" s="31" t="s">
        <v>38</v>
      </c>
      <c r="E1564" s="32"/>
      <c r="F1564" s="32"/>
      <c r="G1564" s="33"/>
      <c r="H1564" s="48">
        <f>SUM(H1562:H1563)</f>
        <v>118250</v>
      </c>
      <c r="I1564" s="47"/>
      <c r="J1564" s="15"/>
      <c r="K1564" s="39"/>
    </row>
    <row r="1565" spans="3:11" x14ac:dyDescent="0.3">
      <c r="J1565" s="15"/>
      <c r="K1565" s="39"/>
    </row>
    <row r="1566" spans="3:11" x14ac:dyDescent="0.3">
      <c r="C1566" s="40" t="s">
        <v>322</v>
      </c>
      <c r="D1566" s="8" t="s">
        <v>323</v>
      </c>
      <c r="E1566" s="44"/>
      <c r="F1566" s="44"/>
      <c r="G1566" s="44"/>
      <c r="H1566" s="44"/>
      <c r="I1566" s="10">
        <f>ROUNDDOWN(H1581,0)</f>
        <v>47630</v>
      </c>
      <c r="J1566" s="15"/>
      <c r="K1566" s="39"/>
    </row>
    <row r="1567" spans="3:11" ht="27.6" x14ac:dyDescent="0.3">
      <c r="C1567" s="11" t="s">
        <v>9</v>
      </c>
      <c r="D1567" s="11" t="s">
        <v>10</v>
      </c>
      <c r="E1567" s="11" t="s">
        <v>11</v>
      </c>
      <c r="F1567" s="11" t="s">
        <v>12</v>
      </c>
      <c r="G1567" s="11" t="s">
        <v>13</v>
      </c>
      <c r="H1567" s="11" t="s">
        <v>14</v>
      </c>
      <c r="J1567" s="15"/>
      <c r="K1567" s="39"/>
    </row>
    <row r="1568" spans="3:11" x14ac:dyDescent="0.25">
      <c r="C1568" s="12" t="s">
        <v>15</v>
      </c>
      <c r="D1568" s="13" t="s">
        <v>16</v>
      </c>
      <c r="E1568" s="14"/>
      <c r="F1568" s="14"/>
      <c r="G1568" s="14"/>
      <c r="H1568" s="14"/>
      <c r="J1568" s="15"/>
      <c r="K1568" s="39"/>
    </row>
    <row r="1569" spans="3:11" x14ac:dyDescent="0.3">
      <c r="C1569" s="16">
        <v>1</v>
      </c>
      <c r="D1569" s="13" t="s">
        <v>18</v>
      </c>
      <c r="E1569" s="17" t="s">
        <v>19</v>
      </c>
      <c r="F1569" s="18">
        <v>2.4E-2</v>
      </c>
      <c r="G1569" s="19">
        <f>VLOOKUP(D1569,upahbahan,3,FALSE)</f>
        <v>100000</v>
      </c>
      <c r="H1569" s="19">
        <f t="shared" ref="H1569:H1572" si="155">F1569*G1569</f>
        <v>2400</v>
      </c>
      <c r="J1569" s="15"/>
      <c r="K1569" s="39"/>
    </row>
    <row r="1570" spans="3:11" x14ac:dyDescent="0.3">
      <c r="C1570" s="16">
        <v>2</v>
      </c>
      <c r="D1570" s="13" t="str">
        <f>D1553</f>
        <v>Tukang listrik</v>
      </c>
      <c r="E1570" s="17" t="s">
        <v>19</v>
      </c>
      <c r="F1570" s="18">
        <v>0.04</v>
      </c>
      <c r="G1570" s="19">
        <f>VLOOKUP(D1570,upahbahan,3,FALSE)</f>
        <v>145000</v>
      </c>
      <c r="H1570" s="19">
        <f t="shared" si="155"/>
        <v>5800</v>
      </c>
      <c r="J1570" s="15"/>
      <c r="K1570" s="39"/>
    </row>
    <row r="1571" spans="3:11" x14ac:dyDescent="0.3">
      <c r="C1571" s="16">
        <v>3</v>
      </c>
      <c r="D1571" s="13" t="s">
        <v>22</v>
      </c>
      <c r="E1571" s="17" t="s">
        <v>19</v>
      </c>
      <c r="F1571" s="18">
        <v>4.0000000000000001E-3</v>
      </c>
      <c r="G1571" s="19">
        <f>VLOOKUP(D1571,upahbahan,3,FALSE)</f>
        <v>175000</v>
      </c>
      <c r="H1571" s="19">
        <f t="shared" si="155"/>
        <v>700</v>
      </c>
      <c r="J1571" s="15"/>
      <c r="K1571" s="39"/>
    </row>
    <row r="1572" spans="3:11" x14ac:dyDescent="0.3">
      <c r="C1572" s="16">
        <v>4</v>
      </c>
      <c r="D1572" s="13" t="s">
        <v>23</v>
      </c>
      <c r="E1572" s="17" t="s">
        <v>19</v>
      </c>
      <c r="F1572" s="18">
        <v>1E-3</v>
      </c>
      <c r="G1572" s="19">
        <f>VLOOKUP(D1572,upahbahan,3,FALSE)</f>
        <v>200000</v>
      </c>
      <c r="H1572" s="19">
        <f t="shared" si="155"/>
        <v>200</v>
      </c>
      <c r="J1572" s="15"/>
      <c r="K1572" s="39"/>
    </row>
    <row r="1573" spans="3:11" x14ac:dyDescent="0.3">
      <c r="C1573" s="21" t="s">
        <v>24</v>
      </c>
      <c r="D1573" s="22"/>
      <c r="E1573" s="22"/>
      <c r="F1573" s="54"/>
      <c r="G1573" s="24"/>
      <c r="H1573" s="19">
        <f>SUM(H1569:H1572)</f>
        <v>9100</v>
      </c>
      <c r="I1573" s="25"/>
      <c r="J1573" s="15"/>
      <c r="K1573" s="39"/>
    </row>
    <row r="1574" spans="3:11" x14ac:dyDescent="0.25">
      <c r="C1574" s="12" t="s">
        <v>25</v>
      </c>
      <c r="D1574" s="13" t="s">
        <v>26</v>
      </c>
      <c r="E1574" s="14"/>
      <c r="F1574" s="55"/>
      <c r="G1574" s="14"/>
      <c r="H1574" s="14"/>
      <c r="J1574" s="15"/>
      <c r="K1574" s="39"/>
    </row>
    <row r="1575" spans="3:11" x14ac:dyDescent="0.3">
      <c r="C1575" s="63" t="s">
        <v>202</v>
      </c>
      <c r="D1575" s="26" t="s">
        <v>324</v>
      </c>
      <c r="E1575" s="27" t="s">
        <v>28</v>
      </c>
      <c r="F1575" s="18">
        <v>1.2</v>
      </c>
      <c r="G1575" s="19">
        <f>VLOOKUP(D1575,upahbahan,3,FALSE)</f>
        <v>28500</v>
      </c>
      <c r="H1575" s="19">
        <f t="shared" ref="H1575" si="156">F1575*G1575</f>
        <v>34200</v>
      </c>
      <c r="J1575" s="15"/>
      <c r="K1575" s="39"/>
    </row>
    <row r="1576" spans="3:11" x14ac:dyDescent="0.3">
      <c r="C1576" s="21" t="s">
        <v>29</v>
      </c>
      <c r="D1576" s="22"/>
      <c r="E1576" s="22"/>
      <c r="F1576" s="22"/>
      <c r="G1576" s="28"/>
      <c r="H1576" s="19">
        <f>SUM(H1575:H1575)</f>
        <v>34200</v>
      </c>
      <c r="J1576" s="15"/>
      <c r="K1576" s="39"/>
    </row>
    <row r="1577" spans="3:11" x14ac:dyDescent="0.25">
      <c r="C1577" s="12" t="s">
        <v>30</v>
      </c>
      <c r="D1577" s="13" t="s">
        <v>31</v>
      </c>
      <c r="E1577" s="14"/>
      <c r="F1577" s="14"/>
      <c r="G1577" s="14"/>
      <c r="H1577" s="14"/>
      <c r="J1577" s="15"/>
      <c r="K1577" s="39"/>
    </row>
    <row r="1578" spans="3:11" x14ac:dyDescent="0.3">
      <c r="C1578" s="21" t="s">
        <v>32</v>
      </c>
      <c r="D1578" s="22"/>
      <c r="E1578" s="22"/>
      <c r="F1578" s="22"/>
      <c r="G1578" s="28"/>
      <c r="H1578" s="29">
        <v>0</v>
      </c>
      <c r="J1578" s="15"/>
      <c r="K1578" s="39"/>
    </row>
    <row r="1579" spans="3:11" x14ac:dyDescent="0.3">
      <c r="C1579" s="30" t="s">
        <v>33</v>
      </c>
      <c r="D1579" s="31" t="s">
        <v>34</v>
      </c>
      <c r="E1579" s="32"/>
      <c r="F1579" s="32"/>
      <c r="G1579" s="33"/>
      <c r="H1579" s="46">
        <f>H1578+H1576+H1573</f>
        <v>43300</v>
      </c>
      <c r="I1579" s="47"/>
      <c r="J1579" s="15"/>
      <c r="K1579" s="39"/>
    </row>
    <row r="1580" spans="3:11" x14ac:dyDescent="0.3">
      <c r="C1580" s="30" t="s">
        <v>35</v>
      </c>
      <c r="D1580" s="31" t="s">
        <v>36</v>
      </c>
      <c r="E1580" s="32"/>
      <c r="F1580" s="33"/>
      <c r="G1580" s="34">
        <f>$M$9</f>
        <v>0.1</v>
      </c>
      <c r="H1580" s="19">
        <f>H1579*G1580</f>
        <v>4330</v>
      </c>
      <c r="I1580" s="47"/>
      <c r="J1580" s="15"/>
      <c r="K1580" s="39"/>
    </row>
    <row r="1581" spans="3:11" x14ac:dyDescent="0.3">
      <c r="C1581" s="30" t="s">
        <v>37</v>
      </c>
      <c r="D1581" s="31" t="s">
        <v>38</v>
      </c>
      <c r="E1581" s="32"/>
      <c r="F1581" s="32"/>
      <c r="G1581" s="33"/>
      <c r="H1581" s="48">
        <f>SUM(H1579:H1580)</f>
        <v>47630</v>
      </c>
      <c r="I1581" s="47"/>
      <c r="J1581" s="15"/>
      <c r="K1581" s="39"/>
    </row>
    <row r="1582" spans="3:11" x14ac:dyDescent="0.3">
      <c r="J1582" s="15"/>
      <c r="K1582" s="39"/>
    </row>
    <row r="1583" spans="3:11" x14ac:dyDescent="0.3">
      <c r="C1583" s="40" t="s">
        <v>325</v>
      </c>
      <c r="D1583" s="8" t="s">
        <v>326</v>
      </c>
      <c r="E1583" s="44"/>
      <c r="F1583" s="44"/>
      <c r="G1583" s="44"/>
      <c r="H1583" s="44"/>
      <c r="I1583" s="10">
        <f>ROUNDDOWN(H1598,0)</f>
        <v>55676</v>
      </c>
      <c r="J1583" s="15"/>
      <c r="K1583" s="39"/>
    </row>
    <row r="1584" spans="3:11" ht="27.6" x14ac:dyDescent="0.3">
      <c r="C1584" s="11" t="s">
        <v>9</v>
      </c>
      <c r="D1584" s="11" t="s">
        <v>10</v>
      </c>
      <c r="E1584" s="11" t="s">
        <v>11</v>
      </c>
      <c r="F1584" s="11" t="s">
        <v>12</v>
      </c>
      <c r="G1584" s="11" t="s">
        <v>13</v>
      </c>
      <c r="H1584" s="11" t="s">
        <v>14</v>
      </c>
      <c r="J1584" s="15"/>
      <c r="K1584" s="39"/>
    </row>
    <row r="1585" spans="3:11" x14ac:dyDescent="0.25">
      <c r="C1585" s="12" t="s">
        <v>15</v>
      </c>
      <c r="D1585" s="13" t="s">
        <v>16</v>
      </c>
      <c r="E1585" s="14"/>
      <c r="F1585" s="14"/>
      <c r="G1585" s="14"/>
      <c r="H1585" s="14"/>
      <c r="J1585" s="15"/>
      <c r="K1585" s="39"/>
    </row>
    <row r="1586" spans="3:11" x14ac:dyDescent="0.3">
      <c r="C1586" s="16">
        <v>1</v>
      </c>
      <c r="D1586" s="13" t="s">
        <v>18</v>
      </c>
      <c r="E1586" s="17" t="s">
        <v>19</v>
      </c>
      <c r="F1586" s="49">
        <v>2.9000000000000001E-2</v>
      </c>
      <c r="G1586" s="19">
        <f>VLOOKUP(D1586,upahbahan,3,FALSE)</f>
        <v>100000</v>
      </c>
      <c r="H1586" s="19">
        <f t="shared" ref="H1586:H1589" si="157">F1586*G1586</f>
        <v>2900</v>
      </c>
      <c r="J1586" s="15"/>
      <c r="K1586" s="39"/>
    </row>
    <row r="1587" spans="3:11" x14ac:dyDescent="0.3">
      <c r="C1587" s="16">
        <v>2</v>
      </c>
      <c r="D1587" s="13" t="str">
        <f>D1570</f>
        <v>Tukang listrik</v>
      </c>
      <c r="E1587" s="17" t="s">
        <v>19</v>
      </c>
      <c r="F1587" s="49">
        <v>4.8000000000000001E-2</v>
      </c>
      <c r="G1587" s="19">
        <f>VLOOKUP(D1587,upahbahan,3,FALSE)</f>
        <v>145000</v>
      </c>
      <c r="H1587" s="19">
        <f t="shared" si="157"/>
        <v>6960</v>
      </c>
      <c r="J1587" s="15"/>
      <c r="K1587" s="39"/>
    </row>
    <row r="1588" spans="3:11" x14ac:dyDescent="0.3">
      <c r="C1588" s="16">
        <v>3</v>
      </c>
      <c r="D1588" s="13" t="s">
        <v>22</v>
      </c>
      <c r="E1588" s="17" t="s">
        <v>19</v>
      </c>
      <c r="F1588" s="49">
        <v>5.0000000000000001E-3</v>
      </c>
      <c r="G1588" s="19">
        <f>VLOOKUP(D1588,upahbahan,3,FALSE)</f>
        <v>175000</v>
      </c>
      <c r="H1588" s="19">
        <f t="shared" si="157"/>
        <v>875</v>
      </c>
      <c r="J1588" s="15"/>
      <c r="K1588" s="39"/>
    </row>
    <row r="1589" spans="3:11" x14ac:dyDescent="0.3">
      <c r="C1589" s="16">
        <v>4</v>
      </c>
      <c r="D1589" s="13" t="s">
        <v>23</v>
      </c>
      <c r="E1589" s="17" t="s">
        <v>19</v>
      </c>
      <c r="F1589" s="49">
        <v>2E-3</v>
      </c>
      <c r="G1589" s="19">
        <f>VLOOKUP(D1589,upahbahan,3,FALSE)</f>
        <v>200000</v>
      </c>
      <c r="H1589" s="19">
        <f t="shared" si="157"/>
        <v>400</v>
      </c>
      <c r="J1589" s="15"/>
      <c r="K1589" s="39"/>
    </row>
    <row r="1590" spans="3:11" x14ac:dyDescent="0.3">
      <c r="C1590" s="21" t="s">
        <v>24</v>
      </c>
      <c r="D1590" s="22"/>
      <c r="E1590" s="22"/>
      <c r="F1590" s="54"/>
      <c r="G1590" s="24"/>
      <c r="H1590" s="19">
        <f>SUM(H1586:H1589)</f>
        <v>11135</v>
      </c>
      <c r="I1590" s="25"/>
      <c r="J1590" s="15"/>
      <c r="K1590" s="39"/>
    </row>
    <row r="1591" spans="3:11" x14ac:dyDescent="0.25">
      <c r="C1591" s="12" t="s">
        <v>25</v>
      </c>
      <c r="D1591" s="13" t="s">
        <v>26</v>
      </c>
      <c r="E1591" s="14"/>
      <c r="F1591" s="55"/>
      <c r="G1591" s="14"/>
      <c r="H1591" s="14"/>
      <c r="J1591" s="15"/>
      <c r="K1591" s="39"/>
    </row>
    <row r="1592" spans="3:11" x14ac:dyDescent="0.3">
      <c r="C1592" s="63" t="s">
        <v>202</v>
      </c>
      <c r="D1592" s="26" t="s">
        <v>327</v>
      </c>
      <c r="E1592" s="27" t="s">
        <v>28</v>
      </c>
      <c r="F1592" s="18">
        <v>1.2</v>
      </c>
      <c r="G1592" s="19">
        <f>VLOOKUP(D1592,upahbahan,3,FALSE)</f>
        <v>32900</v>
      </c>
      <c r="H1592" s="19">
        <f>F1592*G1592</f>
        <v>39480</v>
      </c>
      <c r="J1592" s="15"/>
      <c r="K1592" s="39"/>
    </row>
    <row r="1593" spans="3:11" x14ac:dyDescent="0.3">
      <c r="C1593" s="21" t="s">
        <v>29</v>
      </c>
      <c r="D1593" s="22"/>
      <c r="E1593" s="22"/>
      <c r="F1593" s="22"/>
      <c r="G1593" s="28"/>
      <c r="H1593" s="19">
        <f>SUM(H1592:H1592)</f>
        <v>39480</v>
      </c>
      <c r="J1593" s="15"/>
      <c r="K1593" s="39"/>
    </row>
    <row r="1594" spans="3:11" x14ac:dyDescent="0.25">
      <c r="C1594" s="12" t="s">
        <v>30</v>
      </c>
      <c r="D1594" s="13" t="s">
        <v>31</v>
      </c>
      <c r="E1594" s="14"/>
      <c r="F1594" s="14"/>
      <c r="G1594" s="14"/>
      <c r="H1594" s="14"/>
      <c r="J1594" s="15"/>
      <c r="K1594" s="39"/>
    </row>
    <row r="1595" spans="3:11" x14ac:dyDescent="0.3">
      <c r="C1595" s="21" t="s">
        <v>32</v>
      </c>
      <c r="D1595" s="22"/>
      <c r="E1595" s="22"/>
      <c r="F1595" s="22"/>
      <c r="G1595" s="28"/>
      <c r="H1595" s="29">
        <v>0</v>
      </c>
      <c r="J1595" s="15"/>
      <c r="K1595" s="39"/>
    </row>
    <row r="1596" spans="3:11" x14ac:dyDescent="0.3">
      <c r="C1596" s="30" t="s">
        <v>33</v>
      </c>
      <c r="D1596" s="31" t="s">
        <v>34</v>
      </c>
      <c r="E1596" s="32"/>
      <c r="F1596" s="32"/>
      <c r="G1596" s="33"/>
      <c r="H1596" s="46">
        <f>H1595+H1593+H1590</f>
        <v>50615</v>
      </c>
      <c r="I1596" s="47"/>
      <c r="J1596" s="15"/>
      <c r="K1596" s="39"/>
    </row>
    <row r="1597" spans="3:11" x14ac:dyDescent="0.3">
      <c r="C1597" s="30" t="s">
        <v>35</v>
      </c>
      <c r="D1597" s="31" t="s">
        <v>36</v>
      </c>
      <c r="E1597" s="32"/>
      <c r="F1597" s="33"/>
      <c r="G1597" s="34">
        <f>$M$9</f>
        <v>0.1</v>
      </c>
      <c r="H1597" s="19">
        <f>H1596*G1597</f>
        <v>5061.5</v>
      </c>
      <c r="I1597" s="47"/>
      <c r="J1597" s="15"/>
      <c r="K1597" s="39"/>
    </row>
    <row r="1598" spans="3:11" x14ac:dyDescent="0.3">
      <c r="C1598" s="30" t="s">
        <v>37</v>
      </c>
      <c r="D1598" s="31" t="s">
        <v>38</v>
      </c>
      <c r="E1598" s="32"/>
      <c r="F1598" s="32"/>
      <c r="G1598" s="33"/>
      <c r="H1598" s="48">
        <f>SUM(H1596:H1597)</f>
        <v>55676.5</v>
      </c>
      <c r="I1598" s="47"/>
      <c r="J1598" s="15"/>
      <c r="K1598" s="39"/>
    </row>
    <row r="1599" spans="3:11" x14ac:dyDescent="0.3">
      <c r="J1599" s="15"/>
      <c r="K1599" s="39"/>
    </row>
    <row r="1600" spans="3:11" x14ac:dyDescent="0.3">
      <c r="C1600" s="40" t="s">
        <v>328</v>
      </c>
      <c r="D1600" s="8" t="s">
        <v>329</v>
      </c>
      <c r="E1600" s="44"/>
      <c r="F1600" s="44"/>
      <c r="G1600" s="44"/>
      <c r="H1600" s="44"/>
      <c r="I1600" s="10">
        <f>ROUNDDOWN(H1615,0)</f>
        <v>76928</v>
      </c>
      <c r="J1600" s="15"/>
      <c r="K1600" s="39"/>
    </row>
    <row r="1601" spans="3:11" ht="27.6" x14ac:dyDescent="0.3">
      <c r="C1601" s="11" t="s">
        <v>9</v>
      </c>
      <c r="D1601" s="11" t="s">
        <v>10</v>
      </c>
      <c r="E1601" s="11" t="s">
        <v>11</v>
      </c>
      <c r="F1601" s="11" t="s">
        <v>12</v>
      </c>
      <c r="G1601" s="11" t="s">
        <v>13</v>
      </c>
      <c r="H1601" s="11" t="s">
        <v>14</v>
      </c>
      <c r="J1601" s="15"/>
      <c r="K1601" s="39"/>
    </row>
    <row r="1602" spans="3:11" x14ac:dyDescent="0.25">
      <c r="C1602" s="12" t="s">
        <v>15</v>
      </c>
      <c r="D1602" s="13" t="s">
        <v>16</v>
      </c>
      <c r="E1602" s="14"/>
      <c r="F1602" s="14"/>
      <c r="G1602" s="14"/>
      <c r="H1602" s="14"/>
      <c r="J1602" s="15"/>
      <c r="K1602" s="39"/>
    </row>
    <row r="1603" spans="3:11" x14ac:dyDescent="0.3">
      <c r="C1603" s="16">
        <v>1</v>
      </c>
      <c r="D1603" s="13" t="s">
        <v>18</v>
      </c>
      <c r="E1603" s="17" t="s">
        <v>19</v>
      </c>
      <c r="F1603" s="49">
        <v>2.9000000000000001E-2</v>
      </c>
      <c r="G1603" s="19">
        <f>VLOOKUP(D1603,upahbahan,3,FALSE)</f>
        <v>100000</v>
      </c>
      <c r="H1603" s="19">
        <f>F1603*G1603</f>
        <v>2900</v>
      </c>
      <c r="J1603" s="15"/>
      <c r="K1603" s="39"/>
    </row>
    <row r="1604" spans="3:11" x14ac:dyDescent="0.3">
      <c r="C1604" s="16">
        <v>2</v>
      </c>
      <c r="D1604" s="13" t="str">
        <f>D1587</f>
        <v>Tukang listrik</v>
      </c>
      <c r="E1604" s="17" t="s">
        <v>19</v>
      </c>
      <c r="F1604" s="49">
        <v>4.8000000000000001E-2</v>
      </c>
      <c r="G1604" s="19">
        <f>VLOOKUP(D1604,upahbahan,3,FALSE)</f>
        <v>145000</v>
      </c>
      <c r="H1604" s="19">
        <f t="shared" ref="H1604:H1606" si="158">F1604*G1604</f>
        <v>6960</v>
      </c>
      <c r="J1604" s="15"/>
      <c r="K1604" s="39"/>
    </row>
    <row r="1605" spans="3:11" x14ac:dyDescent="0.3">
      <c r="C1605" s="16">
        <v>3</v>
      </c>
      <c r="D1605" s="13" t="s">
        <v>22</v>
      </c>
      <c r="E1605" s="17" t="s">
        <v>19</v>
      </c>
      <c r="F1605" s="49">
        <v>5.0000000000000001E-3</v>
      </c>
      <c r="G1605" s="19">
        <f>VLOOKUP(D1605,upahbahan,3,FALSE)</f>
        <v>175000</v>
      </c>
      <c r="H1605" s="19">
        <f t="shared" si="158"/>
        <v>875</v>
      </c>
      <c r="J1605" s="15"/>
      <c r="K1605" s="39"/>
    </row>
    <row r="1606" spans="3:11" x14ac:dyDescent="0.3">
      <c r="C1606" s="16">
        <v>4</v>
      </c>
      <c r="D1606" s="13" t="s">
        <v>23</v>
      </c>
      <c r="E1606" s="17" t="s">
        <v>19</v>
      </c>
      <c r="F1606" s="49">
        <v>2E-3</v>
      </c>
      <c r="G1606" s="19">
        <f>VLOOKUP(D1606,upahbahan,3,FALSE)</f>
        <v>200000</v>
      </c>
      <c r="H1606" s="19">
        <f t="shared" si="158"/>
        <v>400</v>
      </c>
      <c r="J1606" s="15"/>
      <c r="K1606" s="39"/>
    </row>
    <row r="1607" spans="3:11" x14ac:dyDescent="0.3">
      <c r="C1607" s="21" t="s">
        <v>24</v>
      </c>
      <c r="D1607" s="22"/>
      <c r="E1607" s="22"/>
      <c r="F1607" s="54"/>
      <c r="G1607" s="24"/>
      <c r="H1607" s="19">
        <f>SUM(H1603:H1606)</f>
        <v>11135</v>
      </c>
      <c r="I1607" s="25"/>
      <c r="J1607" s="15"/>
      <c r="K1607" s="39"/>
    </row>
    <row r="1608" spans="3:11" x14ac:dyDescent="0.25">
      <c r="C1608" s="12" t="s">
        <v>25</v>
      </c>
      <c r="D1608" s="13" t="s">
        <v>26</v>
      </c>
      <c r="E1608" s="14"/>
      <c r="F1608" s="55"/>
      <c r="G1608" s="14"/>
      <c r="H1608" s="14"/>
      <c r="J1608" s="15"/>
      <c r="K1608" s="39"/>
    </row>
    <row r="1609" spans="3:11" x14ac:dyDescent="0.3">
      <c r="C1609" s="63" t="s">
        <v>202</v>
      </c>
      <c r="D1609" s="26" t="s">
        <v>330</v>
      </c>
      <c r="E1609" s="27" t="s">
        <v>28</v>
      </c>
      <c r="F1609" s="18">
        <v>1.2</v>
      </c>
      <c r="G1609" s="19">
        <f>VLOOKUP(D1609,upahbahan,3,FALSE)</f>
        <v>49000</v>
      </c>
      <c r="H1609" s="19">
        <f>F1609*G1609</f>
        <v>58800</v>
      </c>
      <c r="J1609" s="15"/>
      <c r="K1609" s="39"/>
    </row>
    <row r="1610" spans="3:11" x14ac:dyDescent="0.3">
      <c r="C1610" s="21" t="s">
        <v>29</v>
      </c>
      <c r="D1610" s="22"/>
      <c r="E1610" s="22"/>
      <c r="F1610" s="22"/>
      <c r="G1610" s="28"/>
      <c r="H1610" s="19">
        <f>SUM(H1609:H1609)</f>
        <v>58800</v>
      </c>
      <c r="J1610" s="15"/>
      <c r="K1610" s="39"/>
    </row>
    <row r="1611" spans="3:11" x14ac:dyDescent="0.25">
      <c r="C1611" s="12" t="s">
        <v>30</v>
      </c>
      <c r="D1611" s="13" t="s">
        <v>31</v>
      </c>
      <c r="E1611" s="14"/>
      <c r="F1611" s="14"/>
      <c r="G1611" s="14"/>
      <c r="H1611" s="14"/>
      <c r="J1611" s="15"/>
      <c r="K1611" s="39"/>
    </row>
    <row r="1612" spans="3:11" x14ac:dyDescent="0.3">
      <c r="C1612" s="21" t="s">
        <v>32</v>
      </c>
      <c r="D1612" s="22"/>
      <c r="E1612" s="22"/>
      <c r="F1612" s="22"/>
      <c r="G1612" s="28"/>
      <c r="H1612" s="29">
        <v>0</v>
      </c>
      <c r="J1612" s="15"/>
      <c r="K1612" s="39"/>
    </row>
    <row r="1613" spans="3:11" x14ac:dyDescent="0.3">
      <c r="C1613" s="30" t="s">
        <v>33</v>
      </c>
      <c r="D1613" s="31" t="s">
        <v>34</v>
      </c>
      <c r="E1613" s="32"/>
      <c r="F1613" s="32"/>
      <c r="G1613" s="33"/>
      <c r="H1613" s="46">
        <f>H1612+H1610+H1607</f>
        <v>69935</v>
      </c>
      <c r="I1613" s="47"/>
      <c r="J1613" s="15"/>
      <c r="K1613" s="39"/>
    </row>
    <row r="1614" spans="3:11" x14ac:dyDescent="0.3">
      <c r="C1614" s="30" t="s">
        <v>35</v>
      </c>
      <c r="D1614" s="31" t="s">
        <v>36</v>
      </c>
      <c r="E1614" s="32"/>
      <c r="F1614" s="33"/>
      <c r="G1614" s="34">
        <f>$M$9</f>
        <v>0.1</v>
      </c>
      <c r="H1614" s="19">
        <f>H1613*G1614</f>
        <v>6993.5</v>
      </c>
      <c r="I1614" s="47"/>
      <c r="J1614" s="15"/>
      <c r="K1614" s="39"/>
    </row>
    <row r="1615" spans="3:11" x14ac:dyDescent="0.3">
      <c r="C1615" s="30" t="s">
        <v>37</v>
      </c>
      <c r="D1615" s="31" t="s">
        <v>38</v>
      </c>
      <c r="E1615" s="32"/>
      <c r="F1615" s="32"/>
      <c r="G1615" s="33"/>
      <c r="H1615" s="48">
        <f>SUM(H1613:H1614)</f>
        <v>76928.5</v>
      </c>
      <c r="I1615" s="47"/>
      <c r="J1615" s="15"/>
      <c r="K1615" s="39"/>
    </row>
    <row r="1616" spans="3:11" x14ac:dyDescent="0.3">
      <c r="J1616" s="15"/>
      <c r="K1616" s="39"/>
    </row>
    <row r="1617" spans="3:11" x14ac:dyDescent="0.3">
      <c r="C1617" s="40" t="s">
        <v>331</v>
      </c>
      <c r="D1617" s="8" t="s">
        <v>332</v>
      </c>
      <c r="E1617" s="44"/>
      <c r="F1617" s="44"/>
      <c r="G1617" s="44"/>
      <c r="H1617" s="44"/>
      <c r="I1617" s="10">
        <f>ROUNDDOWN(H1632,0)</f>
        <v>98945</v>
      </c>
      <c r="J1617" s="15"/>
      <c r="K1617" s="39"/>
    </row>
    <row r="1618" spans="3:11" ht="27.6" x14ac:dyDescent="0.3">
      <c r="C1618" s="11" t="s">
        <v>9</v>
      </c>
      <c r="D1618" s="11" t="s">
        <v>10</v>
      </c>
      <c r="E1618" s="11" t="s">
        <v>11</v>
      </c>
      <c r="F1618" s="11" t="s">
        <v>12</v>
      </c>
      <c r="G1618" s="11" t="s">
        <v>13</v>
      </c>
      <c r="H1618" s="11" t="s">
        <v>14</v>
      </c>
      <c r="J1618" s="15"/>
      <c r="K1618" s="39"/>
    </row>
    <row r="1619" spans="3:11" x14ac:dyDescent="0.25">
      <c r="C1619" s="12" t="s">
        <v>15</v>
      </c>
      <c r="D1619" s="13" t="s">
        <v>16</v>
      </c>
      <c r="E1619" s="14"/>
      <c r="F1619" s="14"/>
      <c r="G1619" s="14"/>
      <c r="H1619" s="14"/>
      <c r="J1619" s="15"/>
      <c r="K1619" s="39"/>
    </row>
    <row r="1620" spans="3:11" x14ac:dyDescent="0.3">
      <c r="C1620" s="16">
        <v>1</v>
      </c>
      <c r="D1620" s="13" t="s">
        <v>18</v>
      </c>
      <c r="E1620" s="17" t="s">
        <v>19</v>
      </c>
      <c r="F1620" s="18">
        <v>3.5999999999999997E-2</v>
      </c>
      <c r="G1620" s="19">
        <f>VLOOKUP(D1620,upahbahan,3,FALSE)</f>
        <v>100000</v>
      </c>
      <c r="H1620" s="19">
        <f t="shared" ref="H1620:H1623" si="159">F1620*G1620</f>
        <v>3599.9999999999995</v>
      </c>
      <c r="J1620" s="15"/>
      <c r="K1620" s="39"/>
    </row>
    <row r="1621" spans="3:11" x14ac:dyDescent="0.3">
      <c r="C1621" s="16">
        <v>2</v>
      </c>
      <c r="D1621" s="13" t="str">
        <f>D1604</f>
        <v>Tukang listrik</v>
      </c>
      <c r="E1621" s="17" t="s">
        <v>19</v>
      </c>
      <c r="F1621" s="18">
        <v>0.06</v>
      </c>
      <c r="G1621" s="19">
        <f>VLOOKUP(D1621,upahbahan,3,FALSE)</f>
        <v>145000</v>
      </c>
      <c r="H1621" s="19">
        <f t="shared" si="159"/>
        <v>8700</v>
      </c>
      <c r="J1621" s="15"/>
      <c r="K1621" s="39"/>
    </row>
    <row r="1622" spans="3:11" x14ac:dyDescent="0.3">
      <c r="C1622" s="16">
        <v>3</v>
      </c>
      <c r="D1622" s="13" t="s">
        <v>22</v>
      </c>
      <c r="E1622" s="17" t="s">
        <v>19</v>
      </c>
      <c r="F1622" s="18">
        <v>6.0000000000000001E-3</v>
      </c>
      <c r="G1622" s="19">
        <f>VLOOKUP(D1622,upahbahan,3,FALSE)</f>
        <v>175000</v>
      </c>
      <c r="H1622" s="19">
        <f t="shared" si="159"/>
        <v>1050</v>
      </c>
      <c r="J1622" s="15"/>
      <c r="K1622" s="39"/>
    </row>
    <row r="1623" spans="3:11" x14ac:dyDescent="0.3">
      <c r="C1623" s="16">
        <v>4</v>
      </c>
      <c r="D1623" s="13" t="s">
        <v>23</v>
      </c>
      <c r="E1623" s="17" t="s">
        <v>19</v>
      </c>
      <c r="F1623" s="18">
        <v>2E-3</v>
      </c>
      <c r="G1623" s="19">
        <f>VLOOKUP(D1623,upahbahan,3,FALSE)</f>
        <v>200000</v>
      </c>
      <c r="H1623" s="19">
        <f t="shared" si="159"/>
        <v>400</v>
      </c>
      <c r="J1623" s="15"/>
      <c r="K1623" s="39"/>
    </row>
    <row r="1624" spans="3:11" x14ac:dyDescent="0.3">
      <c r="C1624" s="21" t="s">
        <v>24</v>
      </c>
      <c r="D1624" s="22"/>
      <c r="E1624" s="22"/>
      <c r="F1624" s="54"/>
      <c r="G1624" s="24"/>
      <c r="H1624" s="19">
        <f>SUM(H1620:H1623)</f>
        <v>13750</v>
      </c>
      <c r="I1624" s="25"/>
      <c r="J1624" s="15"/>
      <c r="K1624" s="39"/>
    </row>
    <row r="1625" spans="3:11" x14ac:dyDescent="0.25">
      <c r="C1625" s="12" t="s">
        <v>25</v>
      </c>
      <c r="D1625" s="13" t="s">
        <v>26</v>
      </c>
      <c r="E1625" s="14"/>
      <c r="F1625" s="55"/>
      <c r="G1625" s="14"/>
      <c r="H1625" s="14"/>
      <c r="J1625" s="15"/>
      <c r="K1625" s="39"/>
    </row>
    <row r="1626" spans="3:11" x14ac:dyDescent="0.3">
      <c r="C1626" s="63" t="s">
        <v>202</v>
      </c>
      <c r="D1626" s="26" t="s">
        <v>333</v>
      </c>
      <c r="E1626" s="27" t="s">
        <v>28</v>
      </c>
      <c r="F1626" s="18">
        <v>1.2</v>
      </c>
      <c r="G1626" s="19">
        <f>VLOOKUP(D1626,upahbahan,3,FALSE)</f>
        <v>63500</v>
      </c>
      <c r="H1626" s="19">
        <f>F1626*G1626</f>
        <v>76200</v>
      </c>
      <c r="J1626" s="15"/>
      <c r="K1626" s="39"/>
    </row>
    <row r="1627" spans="3:11" x14ac:dyDescent="0.3">
      <c r="C1627" s="21" t="s">
        <v>29</v>
      </c>
      <c r="D1627" s="22"/>
      <c r="E1627" s="22"/>
      <c r="F1627" s="22"/>
      <c r="G1627" s="28"/>
      <c r="H1627" s="19">
        <f>SUM(H1626:H1626)</f>
        <v>76200</v>
      </c>
      <c r="J1627" s="15"/>
      <c r="K1627" s="39"/>
    </row>
    <row r="1628" spans="3:11" x14ac:dyDescent="0.25">
      <c r="C1628" s="12" t="s">
        <v>30</v>
      </c>
      <c r="D1628" s="13" t="s">
        <v>31</v>
      </c>
      <c r="E1628" s="14"/>
      <c r="F1628" s="14"/>
      <c r="G1628" s="14"/>
      <c r="H1628" s="14"/>
      <c r="J1628" s="15"/>
      <c r="K1628" s="39"/>
    </row>
    <row r="1629" spans="3:11" x14ac:dyDescent="0.3">
      <c r="C1629" s="21" t="s">
        <v>32</v>
      </c>
      <c r="D1629" s="22"/>
      <c r="E1629" s="22"/>
      <c r="F1629" s="22"/>
      <c r="G1629" s="28"/>
      <c r="H1629" s="29">
        <v>0</v>
      </c>
      <c r="J1629" s="15"/>
      <c r="K1629" s="39"/>
    </row>
    <row r="1630" spans="3:11" x14ac:dyDescent="0.3">
      <c r="C1630" s="30" t="s">
        <v>33</v>
      </c>
      <c r="D1630" s="31" t="s">
        <v>34</v>
      </c>
      <c r="E1630" s="32"/>
      <c r="F1630" s="32"/>
      <c r="G1630" s="33"/>
      <c r="H1630" s="46">
        <f>H1629+H1627+H1624</f>
        <v>89950</v>
      </c>
      <c r="I1630" s="47"/>
      <c r="J1630" s="15"/>
      <c r="K1630" s="39"/>
    </row>
    <row r="1631" spans="3:11" x14ac:dyDescent="0.3">
      <c r="C1631" s="30" t="s">
        <v>35</v>
      </c>
      <c r="D1631" s="31" t="s">
        <v>36</v>
      </c>
      <c r="E1631" s="32"/>
      <c r="F1631" s="33"/>
      <c r="G1631" s="34">
        <f>$M$9</f>
        <v>0.1</v>
      </c>
      <c r="H1631" s="19">
        <f>H1630*G1631</f>
        <v>8995</v>
      </c>
      <c r="I1631" s="47"/>
      <c r="J1631" s="15"/>
      <c r="K1631" s="39"/>
    </row>
    <row r="1632" spans="3:11" x14ac:dyDescent="0.3">
      <c r="C1632" s="30" t="s">
        <v>37</v>
      </c>
      <c r="D1632" s="31" t="s">
        <v>38</v>
      </c>
      <c r="E1632" s="32"/>
      <c r="F1632" s="32"/>
      <c r="G1632" s="33"/>
      <c r="H1632" s="48">
        <f>SUM(H1630:H1631)</f>
        <v>98945</v>
      </c>
      <c r="I1632" s="47"/>
      <c r="J1632" s="15"/>
      <c r="K1632" s="39"/>
    </row>
    <row r="1633" spans="3:11" x14ac:dyDescent="0.3">
      <c r="J1633" s="15"/>
      <c r="K1633" s="39"/>
    </row>
    <row r="1634" spans="3:11" x14ac:dyDescent="0.3">
      <c r="C1634" s="40" t="s">
        <v>334</v>
      </c>
      <c r="D1634" s="8" t="s">
        <v>335</v>
      </c>
      <c r="E1634" s="44"/>
      <c r="F1634" s="44"/>
      <c r="G1634" s="44"/>
      <c r="H1634" s="44"/>
      <c r="I1634" s="10">
        <f>ROUNDDOWN(H1649,0)</f>
        <v>120197</v>
      </c>
      <c r="J1634" s="15"/>
      <c r="K1634" s="39"/>
    </row>
    <row r="1635" spans="3:11" ht="27.6" x14ac:dyDescent="0.3">
      <c r="C1635" s="11" t="s">
        <v>9</v>
      </c>
      <c r="D1635" s="11" t="s">
        <v>10</v>
      </c>
      <c r="E1635" s="11" t="s">
        <v>11</v>
      </c>
      <c r="F1635" s="11" t="s">
        <v>12</v>
      </c>
      <c r="G1635" s="11" t="s">
        <v>13</v>
      </c>
      <c r="H1635" s="11" t="s">
        <v>14</v>
      </c>
      <c r="J1635" s="15"/>
      <c r="K1635" s="39"/>
    </row>
    <row r="1636" spans="3:11" x14ac:dyDescent="0.25">
      <c r="C1636" s="12" t="s">
        <v>15</v>
      </c>
      <c r="D1636" s="13" t="s">
        <v>16</v>
      </c>
      <c r="E1636" s="14"/>
      <c r="F1636" s="14"/>
      <c r="G1636" s="14"/>
      <c r="H1636" s="14"/>
      <c r="J1636" s="15"/>
      <c r="K1636" s="39"/>
    </row>
    <row r="1637" spans="3:11" x14ac:dyDescent="0.3">
      <c r="C1637" s="16">
        <v>1</v>
      </c>
      <c r="D1637" s="13" t="s">
        <v>18</v>
      </c>
      <c r="E1637" s="17" t="s">
        <v>19</v>
      </c>
      <c r="F1637" s="18">
        <v>3.5999999999999997E-2</v>
      </c>
      <c r="G1637" s="19">
        <f>VLOOKUP(D1637,upahbahan,3,FALSE)</f>
        <v>100000</v>
      </c>
      <c r="H1637" s="19">
        <f t="shared" ref="H1637:H1640" si="160">F1637*G1637</f>
        <v>3599.9999999999995</v>
      </c>
      <c r="J1637" s="15"/>
      <c r="K1637" s="39"/>
    </row>
    <row r="1638" spans="3:11" x14ac:dyDescent="0.3">
      <c r="C1638" s="16">
        <v>2</v>
      </c>
      <c r="D1638" s="13" t="str">
        <f>D1621</f>
        <v>Tukang listrik</v>
      </c>
      <c r="E1638" s="17" t="s">
        <v>19</v>
      </c>
      <c r="F1638" s="18">
        <v>0.06</v>
      </c>
      <c r="G1638" s="19">
        <f>VLOOKUP(D1638,upahbahan,3,FALSE)</f>
        <v>145000</v>
      </c>
      <c r="H1638" s="19">
        <f t="shared" si="160"/>
        <v>8700</v>
      </c>
      <c r="J1638" s="15"/>
      <c r="K1638" s="39"/>
    </row>
    <row r="1639" spans="3:11" x14ac:dyDescent="0.3">
      <c r="C1639" s="16">
        <v>3</v>
      </c>
      <c r="D1639" s="13" t="s">
        <v>22</v>
      </c>
      <c r="E1639" s="17" t="s">
        <v>19</v>
      </c>
      <c r="F1639" s="18">
        <v>6.0000000000000001E-3</v>
      </c>
      <c r="G1639" s="19">
        <f>VLOOKUP(D1639,upahbahan,3,FALSE)</f>
        <v>175000</v>
      </c>
      <c r="H1639" s="19">
        <f t="shared" si="160"/>
        <v>1050</v>
      </c>
      <c r="J1639" s="15"/>
      <c r="K1639" s="39"/>
    </row>
    <row r="1640" spans="3:11" x14ac:dyDescent="0.3">
      <c r="C1640" s="16">
        <v>4</v>
      </c>
      <c r="D1640" s="13" t="s">
        <v>23</v>
      </c>
      <c r="E1640" s="17" t="s">
        <v>19</v>
      </c>
      <c r="F1640" s="18">
        <v>2E-3</v>
      </c>
      <c r="G1640" s="19">
        <f>VLOOKUP(D1640,upahbahan,3,FALSE)</f>
        <v>200000</v>
      </c>
      <c r="H1640" s="19">
        <f t="shared" si="160"/>
        <v>400</v>
      </c>
      <c r="J1640" s="15"/>
      <c r="K1640" s="39"/>
    </row>
    <row r="1641" spans="3:11" x14ac:dyDescent="0.3">
      <c r="C1641" s="21" t="s">
        <v>24</v>
      </c>
      <c r="D1641" s="22"/>
      <c r="E1641" s="22"/>
      <c r="F1641" s="54"/>
      <c r="G1641" s="24"/>
      <c r="H1641" s="19">
        <f>SUM(H1637:H1640)</f>
        <v>13750</v>
      </c>
      <c r="I1641" s="25"/>
      <c r="J1641" s="15"/>
      <c r="K1641" s="39"/>
    </row>
    <row r="1642" spans="3:11" x14ac:dyDescent="0.25">
      <c r="C1642" s="12" t="s">
        <v>25</v>
      </c>
      <c r="D1642" s="13" t="s">
        <v>26</v>
      </c>
      <c r="E1642" s="14"/>
      <c r="F1642" s="55"/>
      <c r="G1642" s="14"/>
      <c r="H1642" s="14"/>
      <c r="J1642" s="15"/>
      <c r="K1642" s="39"/>
    </row>
    <row r="1643" spans="3:11" x14ac:dyDescent="0.3">
      <c r="C1643" s="63" t="s">
        <v>202</v>
      </c>
      <c r="D1643" s="26" t="s">
        <v>336</v>
      </c>
      <c r="E1643" s="27" t="s">
        <v>28</v>
      </c>
      <c r="F1643" s="18">
        <v>1.2</v>
      </c>
      <c r="G1643" s="19">
        <f>VLOOKUP(D1643,upahbahan,3,FALSE)</f>
        <v>79600</v>
      </c>
      <c r="H1643" s="19">
        <f>F1643*G1643</f>
        <v>95520</v>
      </c>
      <c r="J1643" s="15"/>
      <c r="K1643" s="39"/>
    </row>
    <row r="1644" spans="3:11" x14ac:dyDescent="0.3">
      <c r="C1644" s="21" t="s">
        <v>29</v>
      </c>
      <c r="D1644" s="22"/>
      <c r="E1644" s="22"/>
      <c r="F1644" s="22"/>
      <c r="G1644" s="28"/>
      <c r="H1644" s="19">
        <f>SUM(H1643:H1643)</f>
        <v>95520</v>
      </c>
      <c r="J1644" s="15"/>
      <c r="K1644" s="39"/>
    </row>
    <row r="1645" spans="3:11" x14ac:dyDescent="0.25">
      <c r="C1645" s="12" t="s">
        <v>30</v>
      </c>
      <c r="D1645" s="13" t="s">
        <v>31</v>
      </c>
      <c r="E1645" s="14"/>
      <c r="F1645" s="14"/>
      <c r="G1645" s="14"/>
      <c r="H1645" s="14"/>
      <c r="J1645" s="15"/>
      <c r="K1645" s="39"/>
    </row>
    <row r="1646" spans="3:11" x14ac:dyDescent="0.3">
      <c r="C1646" s="21" t="s">
        <v>32</v>
      </c>
      <c r="D1646" s="22"/>
      <c r="E1646" s="22"/>
      <c r="F1646" s="22"/>
      <c r="G1646" s="28"/>
      <c r="H1646" s="29">
        <v>0</v>
      </c>
      <c r="J1646" s="15"/>
      <c r="K1646" s="39"/>
    </row>
    <row r="1647" spans="3:11" x14ac:dyDescent="0.3">
      <c r="C1647" s="30" t="s">
        <v>33</v>
      </c>
      <c r="D1647" s="31" t="s">
        <v>34</v>
      </c>
      <c r="E1647" s="32"/>
      <c r="F1647" s="32"/>
      <c r="G1647" s="33"/>
      <c r="H1647" s="46">
        <f>H1646+H1644+H1641</f>
        <v>109270</v>
      </c>
      <c r="I1647" s="47"/>
      <c r="J1647" s="15"/>
      <c r="K1647" s="39"/>
    </row>
    <row r="1648" spans="3:11" x14ac:dyDescent="0.3">
      <c r="C1648" s="30" t="s">
        <v>35</v>
      </c>
      <c r="D1648" s="31" t="s">
        <v>36</v>
      </c>
      <c r="E1648" s="32"/>
      <c r="F1648" s="33"/>
      <c r="G1648" s="34">
        <f>$M$9</f>
        <v>0.1</v>
      </c>
      <c r="H1648" s="19">
        <f>H1647*G1648</f>
        <v>10927</v>
      </c>
      <c r="I1648" s="47"/>
      <c r="J1648" s="15"/>
      <c r="K1648" s="39"/>
    </row>
    <row r="1649" spans="3:11" x14ac:dyDescent="0.3">
      <c r="C1649" s="30" t="s">
        <v>37</v>
      </c>
      <c r="D1649" s="31" t="s">
        <v>38</v>
      </c>
      <c r="E1649" s="32"/>
      <c r="F1649" s="32"/>
      <c r="G1649" s="33"/>
      <c r="H1649" s="48">
        <f>SUM(H1647:H1648)</f>
        <v>120197</v>
      </c>
      <c r="I1649" s="47"/>
      <c r="J1649" s="15"/>
      <c r="K1649" s="39"/>
    </row>
    <row r="1650" spans="3:11" x14ac:dyDescent="0.3">
      <c r="J1650" s="15"/>
      <c r="K1650" s="39"/>
    </row>
    <row r="1651" spans="3:11" x14ac:dyDescent="0.3">
      <c r="C1651" s="40" t="s">
        <v>337</v>
      </c>
      <c r="D1651" s="8" t="s">
        <v>338</v>
      </c>
      <c r="E1651" s="44"/>
      <c r="F1651" s="44"/>
      <c r="G1651" s="44"/>
      <c r="H1651" s="44"/>
      <c r="I1651" s="10">
        <f>ROUNDDOWN(H1666,0)</f>
        <v>185273</v>
      </c>
      <c r="J1651" s="15"/>
      <c r="K1651" s="39"/>
    </row>
    <row r="1652" spans="3:11" ht="27.6" x14ac:dyDescent="0.3">
      <c r="C1652" s="11" t="s">
        <v>9</v>
      </c>
      <c r="D1652" s="11" t="s">
        <v>10</v>
      </c>
      <c r="E1652" s="11" t="s">
        <v>11</v>
      </c>
      <c r="F1652" s="11" t="s">
        <v>12</v>
      </c>
      <c r="G1652" s="11" t="s">
        <v>13</v>
      </c>
      <c r="H1652" s="11" t="s">
        <v>14</v>
      </c>
      <c r="J1652" s="15"/>
      <c r="K1652" s="39"/>
    </row>
    <row r="1653" spans="3:11" x14ac:dyDescent="0.25">
      <c r="C1653" s="12" t="s">
        <v>15</v>
      </c>
      <c r="D1653" s="13" t="s">
        <v>16</v>
      </c>
      <c r="E1653" s="14"/>
      <c r="F1653" s="14"/>
      <c r="G1653" s="14"/>
      <c r="H1653" s="14"/>
      <c r="J1653" s="15"/>
      <c r="K1653" s="39"/>
    </row>
    <row r="1654" spans="3:11" x14ac:dyDescent="0.3">
      <c r="C1654" s="16">
        <v>1</v>
      </c>
      <c r="D1654" s="13" t="s">
        <v>18</v>
      </c>
      <c r="E1654" s="17" t="s">
        <v>19</v>
      </c>
      <c r="F1654" s="18">
        <v>3.5999999999999997E-2</v>
      </c>
      <c r="G1654" s="19">
        <f>VLOOKUP(D1654,upahbahan,3,FALSE)</f>
        <v>100000</v>
      </c>
      <c r="H1654" s="19">
        <f t="shared" ref="H1654:H1657" si="161">F1654*G1654</f>
        <v>3599.9999999999995</v>
      </c>
      <c r="J1654" s="15"/>
      <c r="K1654" s="39"/>
    </row>
    <row r="1655" spans="3:11" x14ac:dyDescent="0.3">
      <c r="C1655" s="16">
        <v>2</v>
      </c>
      <c r="D1655" s="13" t="str">
        <f>D1638</f>
        <v>Tukang listrik</v>
      </c>
      <c r="E1655" s="17" t="s">
        <v>19</v>
      </c>
      <c r="F1655" s="18">
        <v>0.06</v>
      </c>
      <c r="G1655" s="19">
        <f>VLOOKUP(D1655,upahbahan,3,FALSE)</f>
        <v>145000</v>
      </c>
      <c r="H1655" s="19">
        <f t="shared" si="161"/>
        <v>8700</v>
      </c>
      <c r="J1655" s="15"/>
      <c r="K1655" s="39"/>
    </row>
    <row r="1656" spans="3:11" x14ac:dyDescent="0.3">
      <c r="C1656" s="16">
        <v>3</v>
      </c>
      <c r="D1656" s="13" t="s">
        <v>22</v>
      </c>
      <c r="E1656" s="17" t="s">
        <v>19</v>
      </c>
      <c r="F1656" s="18">
        <v>6.0000000000000001E-3</v>
      </c>
      <c r="G1656" s="19">
        <f>VLOOKUP(D1656,upahbahan,3,FALSE)</f>
        <v>175000</v>
      </c>
      <c r="H1656" s="19">
        <f t="shared" si="161"/>
        <v>1050</v>
      </c>
      <c r="J1656" s="15"/>
      <c r="K1656" s="39"/>
    </row>
    <row r="1657" spans="3:11" x14ac:dyDescent="0.3">
      <c r="C1657" s="16">
        <v>4</v>
      </c>
      <c r="D1657" s="13" t="s">
        <v>23</v>
      </c>
      <c r="E1657" s="17" t="s">
        <v>19</v>
      </c>
      <c r="F1657" s="18">
        <v>2E-3</v>
      </c>
      <c r="G1657" s="19">
        <f>VLOOKUP(D1657,upahbahan,3,FALSE)</f>
        <v>200000</v>
      </c>
      <c r="H1657" s="19">
        <f t="shared" si="161"/>
        <v>400</v>
      </c>
      <c r="J1657" s="15"/>
      <c r="K1657" s="39"/>
    </row>
    <row r="1658" spans="3:11" x14ac:dyDescent="0.3">
      <c r="C1658" s="21" t="s">
        <v>24</v>
      </c>
      <c r="D1658" s="22"/>
      <c r="E1658" s="22"/>
      <c r="F1658" s="54"/>
      <c r="G1658" s="24"/>
      <c r="H1658" s="19">
        <f>SUM(H1654:H1657)</f>
        <v>13750</v>
      </c>
      <c r="I1658" s="25"/>
      <c r="J1658" s="15"/>
      <c r="K1658" s="39"/>
    </row>
    <row r="1659" spans="3:11" x14ac:dyDescent="0.25">
      <c r="C1659" s="12" t="s">
        <v>25</v>
      </c>
      <c r="D1659" s="13" t="s">
        <v>26</v>
      </c>
      <c r="E1659" s="14"/>
      <c r="F1659" s="55"/>
      <c r="G1659" s="14"/>
      <c r="H1659" s="14"/>
      <c r="J1659" s="15"/>
      <c r="K1659" s="39"/>
    </row>
    <row r="1660" spans="3:11" x14ac:dyDescent="0.3">
      <c r="C1660" s="63" t="s">
        <v>202</v>
      </c>
      <c r="D1660" s="26" t="s">
        <v>339</v>
      </c>
      <c r="E1660" s="27" t="s">
        <v>28</v>
      </c>
      <c r="F1660" s="18">
        <v>1.2</v>
      </c>
      <c r="G1660" s="19">
        <f>VLOOKUP(D1660,upahbahan,3,FALSE)</f>
        <v>128900</v>
      </c>
      <c r="H1660" s="19">
        <f t="shared" ref="H1660" si="162">F1660*G1660</f>
        <v>154680</v>
      </c>
      <c r="J1660" s="15"/>
      <c r="K1660" s="39"/>
    </row>
    <row r="1661" spans="3:11" x14ac:dyDescent="0.3">
      <c r="C1661" s="21" t="s">
        <v>29</v>
      </c>
      <c r="D1661" s="22"/>
      <c r="E1661" s="22"/>
      <c r="F1661" s="22"/>
      <c r="G1661" s="28"/>
      <c r="H1661" s="19">
        <f>SUM(H1660:H1660)</f>
        <v>154680</v>
      </c>
      <c r="J1661" s="15"/>
      <c r="K1661" s="39"/>
    </row>
    <row r="1662" spans="3:11" x14ac:dyDescent="0.25">
      <c r="C1662" s="12" t="s">
        <v>30</v>
      </c>
      <c r="D1662" s="13" t="s">
        <v>31</v>
      </c>
      <c r="E1662" s="14"/>
      <c r="F1662" s="14"/>
      <c r="G1662" s="14"/>
      <c r="H1662" s="14"/>
      <c r="J1662" s="15"/>
      <c r="K1662" s="39"/>
    </row>
    <row r="1663" spans="3:11" x14ac:dyDescent="0.3">
      <c r="C1663" s="21" t="s">
        <v>32</v>
      </c>
      <c r="D1663" s="22"/>
      <c r="E1663" s="22"/>
      <c r="F1663" s="22"/>
      <c r="G1663" s="28"/>
      <c r="H1663" s="29">
        <v>0</v>
      </c>
      <c r="J1663" s="15"/>
      <c r="K1663" s="39"/>
    </row>
    <row r="1664" spans="3:11" x14ac:dyDescent="0.3">
      <c r="C1664" s="30" t="s">
        <v>33</v>
      </c>
      <c r="D1664" s="31" t="s">
        <v>34</v>
      </c>
      <c r="E1664" s="32"/>
      <c r="F1664" s="32"/>
      <c r="G1664" s="33"/>
      <c r="H1664" s="46">
        <f>H1663+H1661+H1658</f>
        <v>168430</v>
      </c>
      <c r="I1664" s="47"/>
      <c r="J1664" s="15"/>
      <c r="K1664" s="39"/>
    </row>
    <row r="1665" spans="3:11" x14ac:dyDescent="0.3">
      <c r="C1665" s="30" t="s">
        <v>35</v>
      </c>
      <c r="D1665" s="31" t="s">
        <v>36</v>
      </c>
      <c r="E1665" s="32"/>
      <c r="F1665" s="33"/>
      <c r="G1665" s="34">
        <f>$M$9</f>
        <v>0.1</v>
      </c>
      <c r="H1665" s="19">
        <f>H1664*G1665</f>
        <v>16843</v>
      </c>
      <c r="I1665" s="47"/>
      <c r="J1665" s="15"/>
      <c r="K1665" s="39"/>
    </row>
    <row r="1666" spans="3:11" x14ac:dyDescent="0.3">
      <c r="C1666" s="30" t="s">
        <v>37</v>
      </c>
      <c r="D1666" s="31" t="s">
        <v>38</v>
      </c>
      <c r="E1666" s="32"/>
      <c r="F1666" s="32"/>
      <c r="G1666" s="33"/>
      <c r="H1666" s="48">
        <f>SUM(H1664:H1665)</f>
        <v>185273</v>
      </c>
      <c r="I1666" s="47"/>
      <c r="J1666" s="15"/>
      <c r="K1666" s="39"/>
    </row>
    <row r="1667" spans="3:11" x14ac:dyDescent="0.3">
      <c r="J1667" s="15"/>
      <c r="K1667" s="39"/>
    </row>
    <row r="1668" spans="3:11" x14ac:dyDescent="0.3">
      <c r="C1668" s="40" t="s">
        <v>340</v>
      </c>
      <c r="D1668" s="8" t="s">
        <v>341</v>
      </c>
      <c r="E1668" s="44"/>
      <c r="F1668" s="44"/>
      <c r="G1668" s="44"/>
      <c r="H1668" s="44"/>
      <c r="I1668" s="10">
        <f>ROUNDDOWN(H1683,0)</f>
        <v>48818</v>
      </c>
      <c r="J1668" s="15"/>
      <c r="K1668" s="39"/>
    </row>
    <row r="1669" spans="3:11" ht="27.6" x14ac:dyDescent="0.3">
      <c r="C1669" s="11" t="s">
        <v>9</v>
      </c>
      <c r="D1669" s="11" t="s">
        <v>10</v>
      </c>
      <c r="E1669" s="11" t="s">
        <v>11</v>
      </c>
      <c r="F1669" s="11" t="s">
        <v>12</v>
      </c>
      <c r="G1669" s="11" t="s">
        <v>13</v>
      </c>
      <c r="H1669" s="11" t="s">
        <v>14</v>
      </c>
      <c r="J1669" s="15"/>
      <c r="K1669" s="39"/>
    </row>
    <row r="1670" spans="3:11" x14ac:dyDescent="0.25">
      <c r="C1670" s="12" t="s">
        <v>15</v>
      </c>
      <c r="D1670" s="13" t="s">
        <v>16</v>
      </c>
      <c r="E1670" s="14"/>
      <c r="F1670" s="14"/>
      <c r="G1670" s="14"/>
      <c r="H1670" s="14"/>
      <c r="J1670" s="15"/>
      <c r="K1670" s="39"/>
    </row>
    <row r="1671" spans="3:11" x14ac:dyDescent="0.3">
      <c r="C1671" s="16">
        <v>1</v>
      </c>
      <c r="D1671" s="13" t="s">
        <v>18</v>
      </c>
      <c r="E1671" s="17" t="s">
        <v>19</v>
      </c>
      <c r="F1671" s="18">
        <v>2.4E-2</v>
      </c>
      <c r="G1671" s="19">
        <f>VLOOKUP(D1671,upahbahan,3,FALSE)</f>
        <v>100000</v>
      </c>
      <c r="H1671" s="19">
        <f t="shared" ref="H1671:H1674" si="163">F1671*G1671</f>
        <v>2400</v>
      </c>
      <c r="J1671" s="15"/>
      <c r="K1671" s="39"/>
    </row>
    <row r="1672" spans="3:11" x14ac:dyDescent="0.3">
      <c r="C1672" s="16">
        <v>2</v>
      </c>
      <c r="D1672" s="13" t="str">
        <f>D1655</f>
        <v>Tukang listrik</v>
      </c>
      <c r="E1672" s="17" t="s">
        <v>19</v>
      </c>
      <c r="F1672" s="18">
        <v>0.04</v>
      </c>
      <c r="G1672" s="19">
        <f>VLOOKUP(D1672,upahbahan,3,FALSE)</f>
        <v>145000</v>
      </c>
      <c r="H1672" s="19">
        <f t="shared" si="163"/>
        <v>5800</v>
      </c>
      <c r="J1672" s="15"/>
      <c r="K1672" s="39"/>
    </row>
    <row r="1673" spans="3:11" x14ac:dyDescent="0.3">
      <c r="C1673" s="16">
        <v>3</v>
      </c>
      <c r="D1673" s="13" t="s">
        <v>22</v>
      </c>
      <c r="E1673" s="17" t="s">
        <v>19</v>
      </c>
      <c r="F1673" s="18">
        <v>4.0000000000000001E-3</v>
      </c>
      <c r="G1673" s="19">
        <f>VLOOKUP(D1673,upahbahan,3,FALSE)</f>
        <v>175000</v>
      </c>
      <c r="H1673" s="19">
        <f t="shared" si="163"/>
        <v>700</v>
      </c>
      <c r="J1673" s="15"/>
      <c r="K1673" s="39"/>
    </row>
    <row r="1674" spans="3:11" x14ac:dyDescent="0.3">
      <c r="C1674" s="16">
        <v>4</v>
      </c>
      <c r="D1674" s="13" t="s">
        <v>23</v>
      </c>
      <c r="E1674" s="17" t="s">
        <v>19</v>
      </c>
      <c r="F1674" s="18">
        <v>1E-3</v>
      </c>
      <c r="G1674" s="19">
        <f>VLOOKUP(D1674,upahbahan,3,FALSE)</f>
        <v>200000</v>
      </c>
      <c r="H1674" s="19">
        <f t="shared" si="163"/>
        <v>200</v>
      </c>
      <c r="J1674" s="15"/>
      <c r="K1674" s="39"/>
    </row>
    <row r="1675" spans="3:11" x14ac:dyDescent="0.3">
      <c r="C1675" s="21" t="s">
        <v>24</v>
      </c>
      <c r="D1675" s="22"/>
      <c r="E1675" s="22"/>
      <c r="F1675" s="54"/>
      <c r="G1675" s="24"/>
      <c r="H1675" s="19">
        <f>SUM(H1671:H1674)</f>
        <v>9100</v>
      </c>
      <c r="I1675" s="25"/>
      <c r="J1675" s="15"/>
      <c r="K1675" s="39"/>
    </row>
    <row r="1676" spans="3:11" x14ac:dyDescent="0.25">
      <c r="C1676" s="12" t="s">
        <v>25</v>
      </c>
      <c r="D1676" s="13" t="s">
        <v>26</v>
      </c>
      <c r="E1676" s="14"/>
      <c r="F1676" s="55"/>
      <c r="G1676" s="14"/>
      <c r="H1676" s="14"/>
      <c r="J1676" s="15"/>
      <c r="K1676" s="39"/>
    </row>
    <row r="1677" spans="3:11" x14ac:dyDescent="0.3">
      <c r="C1677" s="63" t="s">
        <v>202</v>
      </c>
      <c r="D1677" s="26" t="s">
        <v>342</v>
      </c>
      <c r="E1677" s="27" t="s">
        <v>28</v>
      </c>
      <c r="F1677" s="18">
        <v>1.2</v>
      </c>
      <c r="G1677" s="19">
        <f>VLOOKUP(D1677,upahbahan,3,FALSE)</f>
        <v>29400</v>
      </c>
      <c r="H1677" s="19">
        <f t="shared" ref="H1677" si="164">F1677*G1677</f>
        <v>35280</v>
      </c>
      <c r="J1677" s="15"/>
      <c r="K1677" s="39"/>
    </row>
    <row r="1678" spans="3:11" x14ac:dyDescent="0.3">
      <c r="C1678" s="21" t="s">
        <v>29</v>
      </c>
      <c r="D1678" s="22"/>
      <c r="E1678" s="22"/>
      <c r="F1678" s="22"/>
      <c r="G1678" s="28"/>
      <c r="H1678" s="19">
        <f>SUM(H1677:H1677)</f>
        <v>35280</v>
      </c>
      <c r="J1678" s="15"/>
      <c r="K1678" s="39"/>
    </row>
    <row r="1679" spans="3:11" x14ac:dyDescent="0.25">
      <c r="C1679" s="12" t="s">
        <v>30</v>
      </c>
      <c r="D1679" s="13" t="s">
        <v>31</v>
      </c>
      <c r="E1679" s="14"/>
      <c r="F1679" s="14"/>
      <c r="G1679" s="14"/>
      <c r="H1679" s="14"/>
      <c r="J1679" s="15"/>
      <c r="K1679" s="39"/>
    </row>
    <row r="1680" spans="3:11" x14ac:dyDescent="0.3">
      <c r="C1680" s="21" t="s">
        <v>32</v>
      </c>
      <c r="D1680" s="22"/>
      <c r="E1680" s="22"/>
      <c r="F1680" s="22"/>
      <c r="G1680" s="28"/>
      <c r="H1680" s="29">
        <v>0</v>
      </c>
      <c r="J1680" s="15"/>
      <c r="K1680" s="39"/>
    </row>
    <row r="1681" spans="3:11" x14ac:dyDescent="0.3">
      <c r="C1681" s="30" t="s">
        <v>33</v>
      </c>
      <c r="D1681" s="31" t="s">
        <v>34</v>
      </c>
      <c r="E1681" s="32"/>
      <c r="F1681" s="32"/>
      <c r="G1681" s="33"/>
      <c r="H1681" s="46">
        <f>H1680+H1678+H1675</f>
        <v>44380</v>
      </c>
      <c r="I1681" s="47"/>
      <c r="J1681" s="15"/>
      <c r="K1681" s="39"/>
    </row>
    <row r="1682" spans="3:11" x14ac:dyDescent="0.3">
      <c r="C1682" s="30" t="s">
        <v>35</v>
      </c>
      <c r="D1682" s="31" t="s">
        <v>36</v>
      </c>
      <c r="E1682" s="32"/>
      <c r="F1682" s="33"/>
      <c r="G1682" s="34">
        <f>$M$9</f>
        <v>0.1</v>
      </c>
      <c r="H1682" s="19">
        <f>H1681*G1682</f>
        <v>4438</v>
      </c>
      <c r="I1682" s="47"/>
      <c r="J1682" s="15"/>
      <c r="K1682" s="39"/>
    </row>
    <row r="1683" spans="3:11" x14ac:dyDescent="0.3">
      <c r="C1683" s="30" t="s">
        <v>37</v>
      </c>
      <c r="D1683" s="31" t="s">
        <v>38</v>
      </c>
      <c r="E1683" s="32"/>
      <c r="F1683" s="32"/>
      <c r="G1683" s="33"/>
      <c r="H1683" s="48">
        <f>SUM(H1681:H1682)</f>
        <v>48818</v>
      </c>
      <c r="I1683" s="47"/>
      <c r="J1683" s="15"/>
      <c r="K1683" s="39"/>
    </row>
    <row r="1684" spans="3:11" x14ac:dyDescent="0.3">
      <c r="J1684" s="15"/>
      <c r="K1684" s="39"/>
    </row>
    <row r="1685" spans="3:11" x14ac:dyDescent="0.3">
      <c r="C1685" s="40" t="s">
        <v>343</v>
      </c>
      <c r="D1685" s="8" t="s">
        <v>344</v>
      </c>
      <c r="E1685" s="44"/>
      <c r="F1685" s="44"/>
      <c r="G1685" s="44"/>
      <c r="H1685" s="44"/>
      <c r="I1685" s="10">
        <f>ROUNDDOWN(H1700,0)</f>
        <v>63200</v>
      </c>
      <c r="J1685" s="15"/>
      <c r="K1685" s="39"/>
    </row>
    <row r="1686" spans="3:11" ht="27.6" x14ac:dyDescent="0.3">
      <c r="C1686" s="11" t="s">
        <v>9</v>
      </c>
      <c r="D1686" s="11" t="s">
        <v>10</v>
      </c>
      <c r="E1686" s="11" t="s">
        <v>11</v>
      </c>
      <c r="F1686" s="11" t="s">
        <v>12</v>
      </c>
      <c r="G1686" s="11" t="s">
        <v>13</v>
      </c>
      <c r="H1686" s="11" t="s">
        <v>14</v>
      </c>
      <c r="J1686" s="15"/>
      <c r="K1686" s="39"/>
    </row>
    <row r="1687" spans="3:11" x14ac:dyDescent="0.25">
      <c r="C1687" s="12" t="s">
        <v>15</v>
      </c>
      <c r="D1687" s="13" t="s">
        <v>16</v>
      </c>
      <c r="E1687" s="14"/>
      <c r="F1687" s="14"/>
      <c r="G1687" s="14"/>
      <c r="H1687" s="14"/>
      <c r="J1687" s="15"/>
      <c r="K1687" s="39"/>
    </row>
    <row r="1688" spans="3:11" x14ac:dyDescent="0.3">
      <c r="C1688" s="16">
        <v>1</v>
      </c>
      <c r="D1688" s="13" t="s">
        <v>18</v>
      </c>
      <c r="E1688" s="17" t="s">
        <v>19</v>
      </c>
      <c r="F1688" s="49">
        <v>2.9000000000000001E-2</v>
      </c>
      <c r="G1688" s="19">
        <f>VLOOKUP(D1688,upahbahan,3,FALSE)</f>
        <v>100000</v>
      </c>
      <c r="H1688" s="19">
        <f t="shared" ref="H1688:H1691" si="165">F1688*G1688</f>
        <v>2900</v>
      </c>
      <c r="J1688" s="15"/>
      <c r="K1688" s="39"/>
    </row>
    <row r="1689" spans="3:11" x14ac:dyDescent="0.3">
      <c r="C1689" s="16">
        <v>2</v>
      </c>
      <c r="D1689" s="13" t="str">
        <f>D1672</f>
        <v>Tukang listrik</v>
      </c>
      <c r="E1689" s="17" t="s">
        <v>19</v>
      </c>
      <c r="F1689" s="49">
        <v>4.8000000000000001E-2</v>
      </c>
      <c r="G1689" s="19">
        <f>VLOOKUP(D1689,upahbahan,3,FALSE)</f>
        <v>145000</v>
      </c>
      <c r="H1689" s="19">
        <f t="shared" si="165"/>
        <v>6960</v>
      </c>
      <c r="J1689" s="15"/>
      <c r="K1689" s="39"/>
    </row>
    <row r="1690" spans="3:11" x14ac:dyDescent="0.3">
      <c r="C1690" s="16">
        <v>3</v>
      </c>
      <c r="D1690" s="13" t="s">
        <v>22</v>
      </c>
      <c r="E1690" s="17" t="s">
        <v>19</v>
      </c>
      <c r="F1690" s="49">
        <v>5.0000000000000001E-3</v>
      </c>
      <c r="G1690" s="19">
        <f>VLOOKUP(D1690,upahbahan,3,FALSE)</f>
        <v>175000</v>
      </c>
      <c r="H1690" s="19">
        <f t="shared" si="165"/>
        <v>875</v>
      </c>
      <c r="J1690" s="15"/>
      <c r="K1690" s="39"/>
    </row>
    <row r="1691" spans="3:11" x14ac:dyDescent="0.3">
      <c r="C1691" s="16">
        <v>4</v>
      </c>
      <c r="D1691" s="13" t="s">
        <v>23</v>
      </c>
      <c r="E1691" s="17" t="s">
        <v>19</v>
      </c>
      <c r="F1691" s="49">
        <v>2E-3</v>
      </c>
      <c r="G1691" s="19">
        <f>VLOOKUP(D1691,upahbahan,3,FALSE)</f>
        <v>200000</v>
      </c>
      <c r="H1691" s="19">
        <f t="shared" si="165"/>
        <v>400</v>
      </c>
      <c r="J1691" s="15"/>
      <c r="K1691" s="39"/>
    </row>
    <row r="1692" spans="3:11" x14ac:dyDescent="0.3">
      <c r="C1692" s="21" t="s">
        <v>24</v>
      </c>
      <c r="D1692" s="22"/>
      <c r="E1692" s="22"/>
      <c r="F1692" s="54"/>
      <c r="G1692" s="24"/>
      <c r="H1692" s="19">
        <f>SUM(H1688:H1691)</f>
        <v>11135</v>
      </c>
      <c r="I1692" s="25"/>
      <c r="J1692" s="15"/>
      <c r="K1692" s="39"/>
    </row>
    <row r="1693" spans="3:11" x14ac:dyDescent="0.25">
      <c r="C1693" s="12" t="s">
        <v>25</v>
      </c>
      <c r="D1693" s="13" t="s">
        <v>26</v>
      </c>
      <c r="E1693" s="14"/>
      <c r="F1693" s="55"/>
      <c r="G1693" s="14"/>
      <c r="H1693" s="14"/>
      <c r="J1693" s="15"/>
      <c r="K1693" s="39"/>
    </row>
    <row r="1694" spans="3:11" x14ac:dyDescent="0.3">
      <c r="C1694" s="63" t="s">
        <v>202</v>
      </c>
      <c r="D1694" s="26" t="s">
        <v>345</v>
      </c>
      <c r="E1694" s="27" t="s">
        <v>28</v>
      </c>
      <c r="F1694" s="18">
        <v>1.2</v>
      </c>
      <c r="G1694" s="19">
        <f>VLOOKUP(D1694,upahbahan,3,FALSE)</f>
        <v>38600</v>
      </c>
      <c r="H1694" s="19">
        <f t="shared" ref="H1694" si="166">F1694*G1694</f>
        <v>46320</v>
      </c>
      <c r="J1694" s="15"/>
      <c r="K1694" s="39"/>
    </row>
    <row r="1695" spans="3:11" x14ac:dyDescent="0.3">
      <c r="C1695" s="21" t="s">
        <v>29</v>
      </c>
      <c r="D1695" s="22"/>
      <c r="E1695" s="22"/>
      <c r="F1695" s="22"/>
      <c r="G1695" s="28"/>
      <c r="H1695" s="19">
        <f>SUM(H1694:H1694)</f>
        <v>46320</v>
      </c>
      <c r="J1695" s="15"/>
      <c r="K1695" s="39"/>
    </row>
    <row r="1696" spans="3:11" x14ac:dyDescent="0.25">
      <c r="C1696" s="12" t="s">
        <v>30</v>
      </c>
      <c r="D1696" s="13" t="s">
        <v>31</v>
      </c>
      <c r="E1696" s="14"/>
      <c r="F1696" s="14"/>
      <c r="G1696" s="14"/>
      <c r="H1696" s="14"/>
      <c r="J1696" s="15"/>
      <c r="K1696" s="39"/>
    </row>
    <row r="1697" spans="3:11" x14ac:dyDescent="0.3">
      <c r="C1697" s="21" t="s">
        <v>32</v>
      </c>
      <c r="D1697" s="22"/>
      <c r="E1697" s="22"/>
      <c r="F1697" s="22"/>
      <c r="G1697" s="28"/>
      <c r="H1697" s="29">
        <v>0</v>
      </c>
      <c r="J1697" s="15"/>
      <c r="K1697" s="39"/>
    </row>
    <row r="1698" spans="3:11" x14ac:dyDescent="0.3">
      <c r="C1698" s="30" t="s">
        <v>33</v>
      </c>
      <c r="D1698" s="31" t="s">
        <v>34</v>
      </c>
      <c r="E1698" s="32"/>
      <c r="F1698" s="32"/>
      <c r="G1698" s="33"/>
      <c r="H1698" s="46">
        <f>H1697+H1695+H1692</f>
        <v>57455</v>
      </c>
      <c r="I1698" s="47"/>
      <c r="J1698" s="15"/>
      <c r="K1698" s="39"/>
    </row>
    <row r="1699" spans="3:11" x14ac:dyDescent="0.3">
      <c r="C1699" s="30" t="s">
        <v>35</v>
      </c>
      <c r="D1699" s="31" t="s">
        <v>36</v>
      </c>
      <c r="E1699" s="32"/>
      <c r="F1699" s="33"/>
      <c r="G1699" s="34">
        <f>$M$9</f>
        <v>0.1</v>
      </c>
      <c r="H1699" s="19">
        <f>H1698*G1699</f>
        <v>5745.5</v>
      </c>
      <c r="I1699" s="47"/>
      <c r="J1699" s="15"/>
      <c r="K1699" s="39"/>
    </row>
    <row r="1700" spans="3:11" x14ac:dyDescent="0.3">
      <c r="C1700" s="30" t="s">
        <v>37</v>
      </c>
      <c r="D1700" s="31" t="s">
        <v>38</v>
      </c>
      <c r="E1700" s="32"/>
      <c r="F1700" s="32"/>
      <c r="G1700" s="33"/>
      <c r="H1700" s="48">
        <f>SUM(H1698:H1699)</f>
        <v>63200.5</v>
      </c>
      <c r="I1700" s="47"/>
      <c r="J1700" s="15"/>
      <c r="K1700" s="39"/>
    </row>
    <row r="1701" spans="3:11" x14ac:dyDescent="0.3">
      <c r="J1701" s="15"/>
      <c r="K1701" s="39"/>
    </row>
    <row r="1702" spans="3:11" x14ac:dyDescent="0.3">
      <c r="C1702" s="40" t="s">
        <v>346</v>
      </c>
      <c r="D1702" s="8" t="s">
        <v>347</v>
      </c>
      <c r="E1702" s="44"/>
      <c r="F1702" s="44"/>
      <c r="G1702" s="44"/>
      <c r="H1702" s="44"/>
      <c r="I1702" s="10">
        <f>ROUNDDOWN(H1717,0)</f>
        <v>99368</v>
      </c>
      <c r="J1702" s="15"/>
      <c r="K1702" s="39"/>
    </row>
    <row r="1703" spans="3:11" ht="27.6" x14ac:dyDescent="0.3">
      <c r="C1703" s="11" t="s">
        <v>9</v>
      </c>
      <c r="D1703" s="11" t="s">
        <v>10</v>
      </c>
      <c r="E1703" s="11" t="s">
        <v>11</v>
      </c>
      <c r="F1703" s="11" t="s">
        <v>12</v>
      </c>
      <c r="G1703" s="11" t="s">
        <v>13</v>
      </c>
      <c r="H1703" s="11" t="s">
        <v>14</v>
      </c>
      <c r="J1703" s="15"/>
      <c r="K1703" s="39"/>
    </row>
    <row r="1704" spans="3:11" x14ac:dyDescent="0.25">
      <c r="C1704" s="12" t="s">
        <v>15</v>
      </c>
      <c r="D1704" s="13" t="s">
        <v>16</v>
      </c>
      <c r="E1704" s="14"/>
      <c r="F1704" s="14"/>
      <c r="G1704" s="14"/>
      <c r="H1704" s="14"/>
      <c r="J1704" s="15"/>
      <c r="K1704" s="39"/>
    </row>
    <row r="1705" spans="3:11" x14ac:dyDescent="0.3">
      <c r="C1705" s="16">
        <v>1</v>
      </c>
      <c r="D1705" s="13" t="s">
        <v>18</v>
      </c>
      <c r="E1705" s="17" t="s">
        <v>19</v>
      </c>
      <c r="F1705" s="49">
        <v>2.9000000000000001E-2</v>
      </c>
      <c r="G1705" s="19">
        <f>VLOOKUP(D1705,upahbahan,3,FALSE)</f>
        <v>100000</v>
      </c>
      <c r="H1705" s="19">
        <f t="shared" ref="H1705:H1708" si="167">F1705*G1705</f>
        <v>2900</v>
      </c>
      <c r="J1705" s="15"/>
      <c r="K1705" s="39"/>
    </row>
    <row r="1706" spans="3:11" x14ac:dyDescent="0.3">
      <c r="C1706" s="16">
        <v>2</v>
      </c>
      <c r="D1706" s="13" t="str">
        <f>D1689</f>
        <v>Tukang listrik</v>
      </c>
      <c r="E1706" s="17" t="s">
        <v>19</v>
      </c>
      <c r="F1706" s="49">
        <v>4.8000000000000001E-2</v>
      </c>
      <c r="G1706" s="19">
        <f>VLOOKUP(D1706,upahbahan,3,FALSE)</f>
        <v>145000</v>
      </c>
      <c r="H1706" s="19">
        <f t="shared" si="167"/>
        <v>6960</v>
      </c>
      <c r="J1706" s="15"/>
      <c r="K1706" s="39"/>
    </row>
    <row r="1707" spans="3:11" x14ac:dyDescent="0.3">
      <c r="C1707" s="16">
        <v>3</v>
      </c>
      <c r="D1707" s="13" t="s">
        <v>22</v>
      </c>
      <c r="E1707" s="17" t="s">
        <v>19</v>
      </c>
      <c r="F1707" s="49">
        <v>5.0000000000000001E-3</v>
      </c>
      <c r="G1707" s="19">
        <f>VLOOKUP(D1707,upahbahan,3,FALSE)</f>
        <v>175000</v>
      </c>
      <c r="H1707" s="19">
        <f t="shared" si="167"/>
        <v>875</v>
      </c>
      <c r="J1707" s="15"/>
      <c r="K1707" s="39"/>
    </row>
    <row r="1708" spans="3:11" x14ac:dyDescent="0.3">
      <c r="C1708" s="16">
        <v>4</v>
      </c>
      <c r="D1708" s="13" t="s">
        <v>23</v>
      </c>
      <c r="E1708" s="17" t="s">
        <v>19</v>
      </c>
      <c r="F1708" s="49">
        <v>2E-3</v>
      </c>
      <c r="G1708" s="19">
        <f>VLOOKUP(D1708,upahbahan,3,FALSE)</f>
        <v>200000</v>
      </c>
      <c r="H1708" s="19">
        <f t="shared" si="167"/>
        <v>400</v>
      </c>
      <c r="J1708" s="15"/>
      <c r="K1708" s="39"/>
    </row>
    <row r="1709" spans="3:11" x14ac:dyDescent="0.3">
      <c r="C1709" s="21" t="s">
        <v>24</v>
      </c>
      <c r="D1709" s="22"/>
      <c r="E1709" s="22"/>
      <c r="F1709" s="54"/>
      <c r="G1709" s="24"/>
      <c r="H1709" s="19">
        <f>SUM(H1705:H1708)</f>
        <v>11135</v>
      </c>
      <c r="I1709" s="25"/>
      <c r="J1709" s="15"/>
      <c r="K1709" s="39"/>
    </row>
    <row r="1710" spans="3:11" x14ac:dyDescent="0.25">
      <c r="C1710" s="12" t="s">
        <v>25</v>
      </c>
      <c r="D1710" s="13" t="s">
        <v>26</v>
      </c>
      <c r="E1710" s="14"/>
      <c r="F1710" s="55"/>
      <c r="G1710" s="14"/>
      <c r="H1710" s="14"/>
      <c r="J1710" s="15"/>
      <c r="K1710" s="39"/>
    </row>
    <row r="1711" spans="3:11" x14ac:dyDescent="0.3">
      <c r="C1711" s="63" t="s">
        <v>202</v>
      </c>
      <c r="D1711" s="26" t="s">
        <v>348</v>
      </c>
      <c r="E1711" s="27" t="s">
        <v>28</v>
      </c>
      <c r="F1711" s="18">
        <v>1.2</v>
      </c>
      <c r="G1711" s="19">
        <f>VLOOKUP(D1711,upahbahan,3,FALSE)</f>
        <v>66000</v>
      </c>
      <c r="H1711" s="19">
        <f t="shared" ref="H1711" si="168">F1711*G1711</f>
        <v>79200</v>
      </c>
      <c r="J1711" s="15"/>
      <c r="K1711" s="39"/>
    </row>
    <row r="1712" spans="3:11" x14ac:dyDescent="0.3">
      <c r="C1712" s="21" t="s">
        <v>29</v>
      </c>
      <c r="D1712" s="22"/>
      <c r="E1712" s="22"/>
      <c r="F1712" s="22"/>
      <c r="G1712" s="28"/>
      <c r="H1712" s="19">
        <f>SUM(H1711:H1711)</f>
        <v>79200</v>
      </c>
      <c r="J1712" s="15"/>
      <c r="K1712" s="39"/>
    </row>
    <row r="1713" spans="3:11" x14ac:dyDescent="0.25">
      <c r="C1713" s="12" t="s">
        <v>30</v>
      </c>
      <c r="D1713" s="13" t="s">
        <v>31</v>
      </c>
      <c r="E1713" s="14"/>
      <c r="F1713" s="14"/>
      <c r="G1713" s="14"/>
      <c r="H1713" s="14"/>
      <c r="J1713" s="15"/>
      <c r="K1713" s="39"/>
    </row>
    <row r="1714" spans="3:11" x14ac:dyDescent="0.3">
      <c r="C1714" s="21" t="s">
        <v>32</v>
      </c>
      <c r="D1714" s="22"/>
      <c r="E1714" s="22"/>
      <c r="F1714" s="22"/>
      <c r="G1714" s="28"/>
      <c r="H1714" s="29">
        <v>0</v>
      </c>
      <c r="J1714" s="15"/>
      <c r="K1714" s="39"/>
    </row>
    <row r="1715" spans="3:11" x14ac:dyDescent="0.3">
      <c r="C1715" s="30" t="s">
        <v>33</v>
      </c>
      <c r="D1715" s="31" t="s">
        <v>34</v>
      </c>
      <c r="E1715" s="32"/>
      <c r="F1715" s="32"/>
      <c r="G1715" s="33"/>
      <c r="H1715" s="46">
        <f>H1714+H1712+H1709</f>
        <v>90335</v>
      </c>
      <c r="I1715" s="47"/>
      <c r="J1715" s="15"/>
      <c r="K1715" s="39"/>
    </row>
    <row r="1716" spans="3:11" x14ac:dyDescent="0.3">
      <c r="C1716" s="30" t="s">
        <v>35</v>
      </c>
      <c r="D1716" s="31" t="s">
        <v>36</v>
      </c>
      <c r="E1716" s="32"/>
      <c r="F1716" s="33"/>
      <c r="G1716" s="34">
        <f>$M$9</f>
        <v>0.1</v>
      </c>
      <c r="H1716" s="19">
        <f>H1715*G1716</f>
        <v>9033.5</v>
      </c>
      <c r="I1716" s="47"/>
      <c r="J1716" s="15"/>
      <c r="K1716" s="39"/>
    </row>
    <row r="1717" spans="3:11" x14ac:dyDescent="0.3">
      <c r="C1717" s="30" t="s">
        <v>37</v>
      </c>
      <c r="D1717" s="31" t="s">
        <v>38</v>
      </c>
      <c r="E1717" s="32"/>
      <c r="F1717" s="32"/>
      <c r="G1717" s="33"/>
      <c r="H1717" s="48">
        <f>SUM(H1715:H1716)</f>
        <v>99368.5</v>
      </c>
      <c r="I1717" s="47"/>
      <c r="J1717" s="15"/>
      <c r="K1717" s="39"/>
    </row>
    <row r="1718" spans="3:11" x14ac:dyDescent="0.3">
      <c r="J1718" s="15"/>
      <c r="K1718" s="39"/>
    </row>
    <row r="1719" spans="3:11" x14ac:dyDescent="0.3">
      <c r="C1719" s="40" t="s">
        <v>349</v>
      </c>
      <c r="D1719" s="8" t="s">
        <v>350</v>
      </c>
      <c r="E1719" s="44"/>
      <c r="F1719" s="44"/>
      <c r="G1719" s="44"/>
      <c r="H1719" s="44"/>
      <c r="I1719" s="10">
        <f>ROUNDDOWN(H1734,0)</f>
        <v>107789</v>
      </c>
      <c r="J1719" s="15"/>
      <c r="K1719" s="39"/>
    </row>
    <row r="1720" spans="3:11" ht="27.6" x14ac:dyDescent="0.3">
      <c r="C1720" s="11" t="s">
        <v>9</v>
      </c>
      <c r="D1720" s="11" t="s">
        <v>10</v>
      </c>
      <c r="E1720" s="11" t="s">
        <v>11</v>
      </c>
      <c r="F1720" s="11" t="s">
        <v>12</v>
      </c>
      <c r="G1720" s="11" t="s">
        <v>13</v>
      </c>
      <c r="H1720" s="11" t="s">
        <v>14</v>
      </c>
      <c r="J1720" s="15"/>
      <c r="K1720" s="39"/>
    </row>
    <row r="1721" spans="3:11" x14ac:dyDescent="0.25">
      <c r="C1721" s="12" t="s">
        <v>15</v>
      </c>
      <c r="D1721" s="13" t="s">
        <v>16</v>
      </c>
      <c r="E1721" s="14"/>
      <c r="F1721" s="14"/>
      <c r="G1721" s="14"/>
      <c r="H1721" s="14"/>
      <c r="J1721" s="15"/>
      <c r="K1721" s="39"/>
    </row>
    <row r="1722" spans="3:11" x14ac:dyDescent="0.3">
      <c r="C1722" s="16">
        <v>1</v>
      </c>
      <c r="D1722" s="13" t="s">
        <v>18</v>
      </c>
      <c r="E1722" s="17" t="s">
        <v>19</v>
      </c>
      <c r="F1722" s="18">
        <v>3.5999999999999997E-2</v>
      </c>
      <c r="G1722" s="19">
        <f>VLOOKUP(D1722,upahbahan,3,FALSE)</f>
        <v>100000</v>
      </c>
      <c r="H1722" s="19">
        <f t="shared" ref="H1722:H1725" si="169">F1722*G1722</f>
        <v>3599.9999999999995</v>
      </c>
      <c r="J1722" s="15"/>
      <c r="K1722" s="39"/>
    </row>
    <row r="1723" spans="3:11" x14ac:dyDescent="0.3">
      <c r="C1723" s="16">
        <v>2</v>
      </c>
      <c r="D1723" s="13" t="str">
        <f>D1706</f>
        <v>Tukang listrik</v>
      </c>
      <c r="E1723" s="17" t="s">
        <v>19</v>
      </c>
      <c r="F1723" s="18">
        <v>0.06</v>
      </c>
      <c r="G1723" s="19">
        <f>VLOOKUP(D1723,upahbahan,3,FALSE)</f>
        <v>145000</v>
      </c>
      <c r="H1723" s="19">
        <f t="shared" si="169"/>
        <v>8700</v>
      </c>
      <c r="J1723" s="15"/>
      <c r="K1723" s="39"/>
    </row>
    <row r="1724" spans="3:11" x14ac:dyDescent="0.3">
      <c r="C1724" s="16">
        <v>3</v>
      </c>
      <c r="D1724" s="13" t="s">
        <v>22</v>
      </c>
      <c r="E1724" s="17" t="s">
        <v>19</v>
      </c>
      <c r="F1724" s="18">
        <v>6.0000000000000001E-3</v>
      </c>
      <c r="G1724" s="19">
        <f>VLOOKUP(D1724,upahbahan,3,FALSE)</f>
        <v>175000</v>
      </c>
      <c r="H1724" s="19">
        <f t="shared" si="169"/>
        <v>1050</v>
      </c>
      <c r="J1724" s="15"/>
      <c r="K1724" s="39"/>
    </row>
    <row r="1725" spans="3:11" x14ac:dyDescent="0.3">
      <c r="C1725" s="16">
        <v>4</v>
      </c>
      <c r="D1725" s="13" t="s">
        <v>23</v>
      </c>
      <c r="E1725" s="17" t="s">
        <v>19</v>
      </c>
      <c r="F1725" s="18">
        <v>2E-3</v>
      </c>
      <c r="G1725" s="19">
        <f>VLOOKUP(D1725,upahbahan,3,FALSE)</f>
        <v>200000</v>
      </c>
      <c r="H1725" s="19">
        <f t="shared" si="169"/>
        <v>400</v>
      </c>
      <c r="J1725" s="15"/>
      <c r="K1725" s="39"/>
    </row>
    <row r="1726" spans="3:11" x14ac:dyDescent="0.3">
      <c r="C1726" s="21" t="s">
        <v>24</v>
      </c>
      <c r="D1726" s="22"/>
      <c r="E1726" s="22"/>
      <c r="F1726" s="54"/>
      <c r="G1726" s="24"/>
      <c r="H1726" s="19">
        <f>SUM(H1722:H1725)</f>
        <v>13750</v>
      </c>
      <c r="I1726" s="25"/>
      <c r="J1726" s="15"/>
      <c r="K1726" s="39"/>
    </row>
    <row r="1727" spans="3:11" x14ac:dyDescent="0.25">
      <c r="C1727" s="12" t="s">
        <v>25</v>
      </c>
      <c r="D1727" s="13" t="s">
        <v>26</v>
      </c>
      <c r="E1727" s="14"/>
      <c r="F1727" s="55"/>
      <c r="G1727" s="14"/>
      <c r="H1727" s="14"/>
      <c r="J1727" s="15"/>
      <c r="K1727" s="39"/>
    </row>
    <row r="1728" spans="3:11" x14ac:dyDescent="0.3">
      <c r="C1728" s="63" t="s">
        <v>202</v>
      </c>
      <c r="D1728" s="26" t="s">
        <v>351</v>
      </c>
      <c r="E1728" s="27" t="s">
        <v>28</v>
      </c>
      <c r="F1728" s="18">
        <v>1.2</v>
      </c>
      <c r="G1728" s="19">
        <f>VLOOKUP(D1728,upahbahan,3,FALSE)</f>
        <v>70200</v>
      </c>
      <c r="H1728" s="19">
        <f t="shared" ref="H1728" si="170">F1728*G1728</f>
        <v>84240</v>
      </c>
      <c r="J1728" s="15"/>
      <c r="K1728" s="39"/>
    </row>
    <row r="1729" spans="3:11" x14ac:dyDescent="0.3">
      <c r="C1729" s="21" t="s">
        <v>29</v>
      </c>
      <c r="D1729" s="22"/>
      <c r="E1729" s="22"/>
      <c r="F1729" s="22"/>
      <c r="G1729" s="28"/>
      <c r="H1729" s="19">
        <f>SUM(H1728:H1728)</f>
        <v>84240</v>
      </c>
      <c r="J1729" s="15"/>
      <c r="K1729" s="39"/>
    </row>
    <row r="1730" spans="3:11" x14ac:dyDescent="0.25">
      <c r="C1730" s="12" t="s">
        <v>30</v>
      </c>
      <c r="D1730" s="13" t="s">
        <v>31</v>
      </c>
      <c r="E1730" s="14"/>
      <c r="F1730" s="14"/>
      <c r="G1730" s="14"/>
      <c r="H1730" s="14"/>
      <c r="J1730" s="15"/>
      <c r="K1730" s="39"/>
    </row>
    <row r="1731" spans="3:11" x14ac:dyDescent="0.3">
      <c r="C1731" s="21" t="s">
        <v>32</v>
      </c>
      <c r="D1731" s="22"/>
      <c r="E1731" s="22"/>
      <c r="F1731" s="22"/>
      <c r="G1731" s="28"/>
      <c r="H1731" s="29">
        <v>0</v>
      </c>
      <c r="J1731" s="15"/>
      <c r="K1731" s="39"/>
    </row>
    <row r="1732" spans="3:11" x14ac:dyDescent="0.3">
      <c r="C1732" s="30" t="s">
        <v>33</v>
      </c>
      <c r="D1732" s="31" t="s">
        <v>34</v>
      </c>
      <c r="E1732" s="32"/>
      <c r="F1732" s="32"/>
      <c r="G1732" s="33"/>
      <c r="H1732" s="46">
        <f>H1731+H1729+H1726</f>
        <v>97990</v>
      </c>
      <c r="I1732" s="47"/>
      <c r="J1732" s="15"/>
      <c r="K1732" s="39"/>
    </row>
    <row r="1733" spans="3:11" x14ac:dyDescent="0.3">
      <c r="C1733" s="30" t="s">
        <v>35</v>
      </c>
      <c r="D1733" s="31" t="s">
        <v>36</v>
      </c>
      <c r="E1733" s="32"/>
      <c r="F1733" s="33"/>
      <c r="G1733" s="34">
        <f>$M$9</f>
        <v>0.1</v>
      </c>
      <c r="H1733" s="19">
        <f>H1732*G1733</f>
        <v>9799</v>
      </c>
      <c r="I1733" s="47"/>
      <c r="J1733" s="15"/>
      <c r="K1733" s="39"/>
    </row>
    <row r="1734" spans="3:11" x14ac:dyDescent="0.3">
      <c r="C1734" s="30" t="s">
        <v>37</v>
      </c>
      <c r="D1734" s="31" t="s">
        <v>38</v>
      </c>
      <c r="E1734" s="32"/>
      <c r="F1734" s="32"/>
      <c r="G1734" s="33"/>
      <c r="H1734" s="48">
        <f>SUM(H1732:H1733)</f>
        <v>107789</v>
      </c>
      <c r="I1734" s="47"/>
      <c r="J1734" s="15"/>
      <c r="K1734" s="39"/>
    </row>
    <row r="1735" spans="3:11" x14ac:dyDescent="0.3">
      <c r="J1735" s="15"/>
      <c r="K1735" s="39"/>
    </row>
    <row r="1736" spans="3:11" x14ac:dyDescent="0.3">
      <c r="C1736" s="40" t="s">
        <v>352</v>
      </c>
      <c r="D1736" s="68" t="s">
        <v>353</v>
      </c>
      <c r="E1736" s="44"/>
      <c r="F1736" s="44"/>
      <c r="G1736" s="44"/>
      <c r="H1736" s="44"/>
      <c r="I1736" s="10">
        <f>ROUNDDOWN(H1751,0)</f>
        <v>147917</v>
      </c>
      <c r="J1736" s="15"/>
      <c r="K1736" s="39"/>
    </row>
    <row r="1737" spans="3:11" ht="27.6" x14ac:dyDescent="0.3">
      <c r="C1737" s="11" t="s">
        <v>9</v>
      </c>
      <c r="D1737" s="11" t="s">
        <v>10</v>
      </c>
      <c r="E1737" s="11" t="s">
        <v>11</v>
      </c>
      <c r="F1737" s="11" t="s">
        <v>12</v>
      </c>
      <c r="G1737" s="11" t="s">
        <v>13</v>
      </c>
      <c r="H1737" s="11" t="s">
        <v>14</v>
      </c>
      <c r="J1737" s="15"/>
      <c r="K1737" s="39"/>
    </row>
    <row r="1738" spans="3:11" x14ac:dyDescent="0.25">
      <c r="C1738" s="12" t="s">
        <v>15</v>
      </c>
      <c r="D1738" s="13" t="s">
        <v>16</v>
      </c>
      <c r="E1738" s="14"/>
      <c r="F1738" s="14"/>
      <c r="G1738" s="14"/>
      <c r="H1738" s="14"/>
      <c r="J1738" s="15"/>
      <c r="K1738" s="39"/>
    </row>
    <row r="1739" spans="3:11" x14ac:dyDescent="0.3">
      <c r="C1739" s="16">
        <v>1</v>
      </c>
      <c r="D1739" s="13" t="s">
        <v>18</v>
      </c>
      <c r="E1739" s="17" t="s">
        <v>19</v>
      </c>
      <c r="F1739" s="18">
        <v>3.5999999999999997E-2</v>
      </c>
      <c r="G1739" s="19">
        <f>VLOOKUP(D1739,upahbahan,3,FALSE)</f>
        <v>100000</v>
      </c>
      <c r="H1739" s="19">
        <f t="shared" ref="H1739:H1742" si="171">F1739*G1739</f>
        <v>3599.9999999999995</v>
      </c>
      <c r="J1739" s="15"/>
      <c r="K1739" s="39"/>
    </row>
    <row r="1740" spans="3:11" x14ac:dyDescent="0.3">
      <c r="C1740" s="16">
        <v>2</v>
      </c>
      <c r="D1740" s="13" t="str">
        <f>D1723</f>
        <v>Tukang listrik</v>
      </c>
      <c r="E1740" s="17" t="s">
        <v>19</v>
      </c>
      <c r="F1740" s="18">
        <v>0.06</v>
      </c>
      <c r="G1740" s="19">
        <f>VLOOKUP(D1740,upahbahan,3,FALSE)</f>
        <v>145000</v>
      </c>
      <c r="H1740" s="19">
        <f t="shared" si="171"/>
        <v>8700</v>
      </c>
      <c r="J1740" s="15"/>
      <c r="K1740" s="39"/>
    </row>
    <row r="1741" spans="3:11" x14ac:dyDescent="0.3">
      <c r="C1741" s="16">
        <v>3</v>
      </c>
      <c r="D1741" s="13" t="s">
        <v>22</v>
      </c>
      <c r="E1741" s="17" t="s">
        <v>19</v>
      </c>
      <c r="F1741" s="18">
        <v>6.0000000000000001E-3</v>
      </c>
      <c r="G1741" s="19">
        <f>VLOOKUP(D1741,upahbahan,3,FALSE)</f>
        <v>175000</v>
      </c>
      <c r="H1741" s="19">
        <f t="shared" si="171"/>
        <v>1050</v>
      </c>
      <c r="J1741" s="15"/>
      <c r="K1741" s="39"/>
    </row>
    <row r="1742" spans="3:11" x14ac:dyDescent="0.3">
      <c r="C1742" s="16">
        <v>4</v>
      </c>
      <c r="D1742" s="13" t="s">
        <v>23</v>
      </c>
      <c r="E1742" s="17" t="s">
        <v>19</v>
      </c>
      <c r="F1742" s="18">
        <v>2E-3</v>
      </c>
      <c r="G1742" s="19">
        <f>VLOOKUP(D1742,upahbahan,3,FALSE)</f>
        <v>200000</v>
      </c>
      <c r="H1742" s="19">
        <f t="shared" si="171"/>
        <v>400</v>
      </c>
      <c r="J1742" s="15"/>
      <c r="K1742" s="39"/>
    </row>
    <row r="1743" spans="3:11" x14ac:dyDescent="0.3">
      <c r="C1743" s="21" t="s">
        <v>24</v>
      </c>
      <c r="D1743" s="22"/>
      <c r="E1743" s="22"/>
      <c r="F1743" s="54"/>
      <c r="G1743" s="24"/>
      <c r="H1743" s="19">
        <f>SUM(H1739:H1742)</f>
        <v>13750</v>
      </c>
      <c r="I1743" s="25"/>
      <c r="J1743" s="15"/>
      <c r="K1743" s="39"/>
    </row>
    <row r="1744" spans="3:11" x14ac:dyDescent="0.25">
      <c r="C1744" s="12" t="s">
        <v>25</v>
      </c>
      <c r="D1744" s="13" t="s">
        <v>26</v>
      </c>
      <c r="E1744" s="14"/>
      <c r="F1744" s="55"/>
      <c r="G1744" s="14"/>
      <c r="H1744" s="14"/>
      <c r="J1744" s="15"/>
      <c r="K1744" s="39"/>
    </row>
    <row r="1745" spans="3:11" x14ac:dyDescent="0.3">
      <c r="C1745" s="63" t="s">
        <v>202</v>
      </c>
      <c r="D1745" s="26" t="s">
        <v>354</v>
      </c>
      <c r="E1745" s="27" t="s">
        <v>28</v>
      </c>
      <c r="F1745" s="18">
        <v>1.2</v>
      </c>
      <c r="G1745" s="19">
        <f>VLOOKUP(D1745,upahbahan,3,FALSE)</f>
        <v>100600</v>
      </c>
      <c r="H1745" s="19">
        <f>F1745*G1745</f>
        <v>120720</v>
      </c>
      <c r="J1745" s="15"/>
      <c r="K1745" s="39"/>
    </row>
    <row r="1746" spans="3:11" x14ac:dyDescent="0.3">
      <c r="C1746" s="21" t="s">
        <v>29</v>
      </c>
      <c r="D1746" s="22"/>
      <c r="E1746" s="22"/>
      <c r="F1746" s="22"/>
      <c r="G1746" s="28"/>
      <c r="H1746" s="19">
        <f>SUM(H1745:H1745)</f>
        <v>120720</v>
      </c>
      <c r="J1746" s="15"/>
      <c r="K1746" s="39"/>
    </row>
    <row r="1747" spans="3:11" x14ac:dyDescent="0.25">
      <c r="C1747" s="12" t="s">
        <v>30</v>
      </c>
      <c r="D1747" s="13" t="s">
        <v>31</v>
      </c>
      <c r="E1747" s="14"/>
      <c r="F1747" s="14"/>
      <c r="G1747" s="14"/>
      <c r="H1747" s="14"/>
      <c r="J1747" s="15"/>
      <c r="K1747" s="39"/>
    </row>
    <row r="1748" spans="3:11" x14ac:dyDescent="0.3">
      <c r="C1748" s="21" t="s">
        <v>32</v>
      </c>
      <c r="D1748" s="22"/>
      <c r="E1748" s="22"/>
      <c r="F1748" s="22"/>
      <c r="G1748" s="28"/>
      <c r="H1748" s="29">
        <v>0</v>
      </c>
      <c r="J1748" s="15"/>
      <c r="K1748" s="39"/>
    </row>
    <row r="1749" spans="3:11" x14ac:dyDescent="0.3">
      <c r="C1749" s="30" t="s">
        <v>33</v>
      </c>
      <c r="D1749" s="31" t="s">
        <v>34</v>
      </c>
      <c r="E1749" s="32"/>
      <c r="F1749" s="32"/>
      <c r="G1749" s="33"/>
      <c r="H1749" s="46">
        <f>H1748+H1746+H1743</f>
        <v>134470</v>
      </c>
      <c r="I1749" s="47"/>
      <c r="J1749" s="15"/>
      <c r="K1749" s="39"/>
    </row>
    <row r="1750" spans="3:11" x14ac:dyDescent="0.3">
      <c r="C1750" s="30" t="s">
        <v>35</v>
      </c>
      <c r="D1750" s="31" t="s">
        <v>36</v>
      </c>
      <c r="E1750" s="32"/>
      <c r="F1750" s="33"/>
      <c r="G1750" s="34">
        <f>$M$9</f>
        <v>0.1</v>
      </c>
      <c r="H1750" s="19">
        <f>H1749*G1750</f>
        <v>13447</v>
      </c>
      <c r="I1750" s="47"/>
      <c r="J1750" s="15"/>
      <c r="K1750" s="39"/>
    </row>
    <row r="1751" spans="3:11" x14ac:dyDescent="0.3">
      <c r="C1751" s="30" t="s">
        <v>37</v>
      </c>
      <c r="D1751" s="31" t="s">
        <v>38</v>
      </c>
      <c r="E1751" s="32"/>
      <c r="F1751" s="32"/>
      <c r="G1751" s="33"/>
      <c r="H1751" s="48">
        <f>SUM(H1749:H1750)</f>
        <v>147917</v>
      </c>
      <c r="I1751" s="47"/>
      <c r="J1751" s="15"/>
      <c r="K1751" s="39"/>
    </row>
    <row r="1752" spans="3:11" x14ac:dyDescent="0.3">
      <c r="J1752" s="15"/>
      <c r="K1752" s="39"/>
    </row>
    <row r="1753" spans="3:11" x14ac:dyDescent="0.3">
      <c r="C1753" s="40" t="s">
        <v>355</v>
      </c>
      <c r="D1753" s="68" t="s">
        <v>356</v>
      </c>
      <c r="E1753" s="44"/>
      <c r="F1753" s="44"/>
      <c r="G1753" s="44"/>
      <c r="H1753" s="44"/>
      <c r="I1753" s="10">
        <f>ROUNDDOWN(H1768,0)</f>
        <v>230516</v>
      </c>
      <c r="J1753" s="15"/>
      <c r="K1753" s="39"/>
    </row>
    <row r="1754" spans="3:11" ht="27.6" x14ac:dyDescent="0.3">
      <c r="C1754" s="11" t="s">
        <v>9</v>
      </c>
      <c r="D1754" s="11" t="s">
        <v>10</v>
      </c>
      <c r="E1754" s="11" t="s">
        <v>11</v>
      </c>
      <c r="F1754" s="11" t="s">
        <v>12</v>
      </c>
      <c r="G1754" s="11" t="s">
        <v>13</v>
      </c>
      <c r="H1754" s="11" t="s">
        <v>14</v>
      </c>
      <c r="J1754" s="15"/>
      <c r="K1754" s="39"/>
    </row>
    <row r="1755" spans="3:11" x14ac:dyDescent="0.25">
      <c r="C1755" s="12" t="s">
        <v>15</v>
      </c>
      <c r="D1755" s="13" t="s">
        <v>16</v>
      </c>
      <c r="E1755" s="14"/>
      <c r="F1755" s="14"/>
      <c r="G1755" s="14"/>
      <c r="H1755" s="14"/>
      <c r="J1755" s="15"/>
      <c r="K1755" s="39"/>
    </row>
    <row r="1756" spans="3:11" x14ac:dyDescent="0.3">
      <c r="C1756" s="16">
        <v>1</v>
      </c>
      <c r="D1756" s="13" t="s">
        <v>18</v>
      </c>
      <c r="E1756" s="17" t="s">
        <v>19</v>
      </c>
      <c r="F1756" s="18">
        <v>4.8000000000000001E-2</v>
      </c>
      <c r="G1756" s="19">
        <f>VLOOKUP(D1756,upahbahan,3,FALSE)</f>
        <v>100000</v>
      </c>
      <c r="H1756" s="19">
        <f t="shared" ref="H1756:H1759" si="172">F1756*G1756</f>
        <v>4800</v>
      </c>
      <c r="J1756" s="15"/>
      <c r="K1756" s="39"/>
    </row>
    <row r="1757" spans="3:11" x14ac:dyDescent="0.3">
      <c r="C1757" s="16">
        <v>2</v>
      </c>
      <c r="D1757" s="13" t="str">
        <f>D1740</f>
        <v>Tukang listrik</v>
      </c>
      <c r="E1757" s="17" t="s">
        <v>19</v>
      </c>
      <c r="F1757" s="18">
        <v>0.08</v>
      </c>
      <c r="G1757" s="19">
        <f>VLOOKUP(D1757,upahbahan,3,FALSE)</f>
        <v>145000</v>
      </c>
      <c r="H1757" s="19">
        <f t="shared" si="172"/>
        <v>11600</v>
      </c>
      <c r="J1757" s="15"/>
      <c r="K1757" s="39"/>
    </row>
    <row r="1758" spans="3:11" x14ac:dyDescent="0.3">
      <c r="C1758" s="16">
        <v>3</v>
      </c>
      <c r="D1758" s="13" t="s">
        <v>22</v>
      </c>
      <c r="E1758" s="17" t="s">
        <v>19</v>
      </c>
      <c r="F1758" s="18">
        <v>8.0000000000000002E-3</v>
      </c>
      <c r="G1758" s="19">
        <f>VLOOKUP(D1758,upahbahan,3,FALSE)</f>
        <v>175000</v>
      </c>
      <c r="H1758" s="19">
        <f t="shared" si="172"/>
        <v>1400</v>
      </c>
      <c r="J1758" s="15"/>
      <c r="K1758" s="39"/>
    </row>
    <row r="1759" spans="3:11" x14ac:dyDescent="0.3">
      <c r="C1759" s="16">
        <v>4</v>
      </c>
      <c r="D1759" s="13" t="s">
        <v>23</v>
      </c>
      <c r="E1759" s="17" t="s">
        <v>19</v>
      </c>
      <c r="F1759" s="18">
        <v>3.0000000000000001E-3</v>
      </c>
      <c r="G1759" s="19">
        <f>VLOOKUP(D1759,upahbahan,3,FALSE)</f>
        <v>200000</v>
      </c>
      <c r="H1759" s="19">
        <f t="shared" si="172"/>
        <v>600</v>
      </c>
      <c r="J1759" s="15"/>
      <c r="K1759" s="39"/>
    </row>
    <row r="1760" spans="3:11" x14ac:dyDescent="0.3">
      <c r="C1760" s="21" t="s">
        <v>24</v>
      </c>
      <c r="D1760" s="22"/>
      <c r="E1760" s="22"/>
      <c r="F1760" s="54"/>
      <c r="G1760" s="24"/>
      <c r="H1760" s="19">
        <f>SUM(H1756:H1759)</f>
        <v>18400</v>
      </c>
      <c r="I1760" s="25"/>
      <c r="J1760" s="15"/>
      <c r="K1760" s="39"/>
    </row>
    <row r="1761" spans="3:11" x14ac:dyDescent="0.25">
      <c r="C1761" s="12" t="s">
        <v>25</v>
      </c>
      <c r="D1761" s="13" t="s">
        <v>26</v>
      </c>
      <c r="E1761" s="14"/>
      <c r="F1761" s="55"/>
      <c r="G1761" s="14"/>
      <c r="H1761" s="14"/>
      <c r="J1761" s="15"/>
      <c r="K1761" s="39"/>
    </row>
    <row r="1762" spans="3:11" x14ac:dyDescent="0.3">
      <c r="C1762" s="63" t="s">
        <v>202</v>
      </c>
      <c r="D1762" s="26" t="s">
        <v>357</v>
      </c>
      <c r="E1762" s="27" t="s">
        <v>28</v>
      </c>
      <c r="F1762" s="18">
        <v>1.2</v>
      </c>
      <c r="G1762" s="19">
        <f>VLOOKUP(D1762,upahbahan,3,FALSE)</f>
        <v>159300</v>
      </c>
      <c r="H1762" s="19">
        <f t="shared" ref="H1762" si="173">F1762*G1762</f>
        <v>191160</v>
      </c>
      <c r="J1762" s="15"/>
      <c r="K1762" s="39"/>
    </row>
    <row r="1763" spans="3:11" x14ac:dyDescent="0.3">
      <c r="C1763" s="21" t="s">
        <v>29</v>
      </c>
      <c r="D1763" s="22"/>
      <c r="E1763" s="22"/>
      <c r="F1763" s="22"/>
      <c r="G1763" s="28"/>
      <c r="H1763" s="19">
        <f>SUM(H1762:H1762)</f>
        <v>191160</v>
      </c>
      <c r="J1763" s="15"/>
      <c r="K1763" s="39"/>
    </row>
    <row r="1764" spans="3:11" x14ac:dyDescent="0.25">
      <c r="C1764" s="12" t="s">
        <v>30</v>
      </c>
      <c r="D1764" s="13" t="s">
        <v>31</v>
      </c>
      <c r="E1764" s="14"/>
      <c r="F1764" s="14"/>
      <c r="G1764" s="14"/>
      <c r="H1764" s="14"/>
      <c r="J1764" s="15"/>
      <c r="K1764" s="39"/>
    </row>
    <row r="1765" spans="3:11" x14ac:dyDescent="0.3">
      <c r="C1765" s="21" t="s">
        <v>32</v>
      </c>
      <c r="D1765" s="22"/>
      <c r="E1765" s="22"/>
      <c r="F1765" s="22"/>
      <c r="G1765" s="28"/>
      <c r="H1765" s="29">
        <v>0</v>
      </c>
      <c r="J1765" s="15"/>
      <c r="K1765" s="39"/>
    </row>
    <row r="1766" spans="3:11" x14ac:dyDescent="0.3">
      <c r="C1766" s="30" t="s">
        <v>33</v>
      </c>
      <c r="D1766" s="31" t="s">
        <v>34</v>
      </c>
      <c r="E1766" s="32"/>
      <c r="F1766" s="32"/>
      <c r="G1766" s="33"/>
      <c r="H1766" s="46">
        <f>H1765+H1763+H1760</f>
        <v>209560</v>
      </c>
      <c r="I1766" s="47"/>
      <c r="J1766" s="15"/>
      <c r="K1766" s="39"/>
    </row>
    <row r="1767" spans="3:11" x14ac:dyDescent="0.3">
      <c r="C1767" s="30" t="s">
        <v>35</v>
      </c>
      <c r="D1767" s="31" t="s">
        <v>36</v>
      </c>
      <c r="E1767" s="32"/>
      <c r="F1767" s="33"/>
      <c r="G1767" s="34">
        <f>$M$9</f>
        <v>0.1</v>
      </c>
      <c r="H1767" s="19">
        <f>H1766*G1767</f>
        <v>20956</v>
      </c>
      <c r="I1767" s="47"/>
      <c r="J1767" s="15"/>
      <c r="K1767" s="39"/>
    </row>
    <row r="1768" spans="3:11" x14ac:dyDescent="0.3">
      <c r="C1768" s="30" t="s">
        <v>37</v>
      </c>
      <c r="D1768" s="31" t="s">
        <v>38</v>
      </c>
      <c r="E1768" s="32"/>
      <c r="F1768" s="32"/>
      <c r="G1768" s="33"/>
      <c r="H1768" s="48">
        <f>SUM(H1766:H1767)</f>
        <v>230516</v>
      </c>
      <c r="I1768" s="47"/>
      <c r="J1768" s="15"/>
      <c r="K1768" s="39"/>
    </row>
    <row r="1769" spans="3:11" x14ac:dyDescent="0.3">
      <c r="J1769" s="15"/>
      <c r="K1769" s="39"/>
    </row>
    <row r="1770" spans="3:11" x14ac:dyDescent="0.3">
      <c r="C1770" s="40" t="s">
        <v>358</v>
      </c>
      <c r="D1770" s="68" t="s">
        <v>359</v>
      </c>
      <c r="E1770" s="44"/>
      <c r="F1770" s="44"/>
      <c r="G1770" s="44"/>
      <c r="H1770" s="44"/>
      <c r="I1770" s="10">
        <f>ROUNDDOWN(H1785,0)</f>
        <v>351279</v>
      </c>
      <c r="J1770" s="15"/>
      <c r="K1770" s="39"/>
    </row>
    <row r="1771" spans="3:11" ht="27.6" x14ac:dyDescent="0.3">
      <c r="C1771" s="11" t="s">
        <v>9</v>
      </c>
      <c r="D1771" s="11" t="s">
        <v>10</v>
      </c>
      <c r="E1771" s="11" t="s">
        <v>11</v>
      </c>
      <c r="F1771" s="11" t="s">
        <v>12</v>
      </c>
      <c r="G1771" s="11" t="s">
        <v>13</v>
      </c>
      <c r="H1771" s="11" t="s">
        <v>14</v>
      </c>
      <c r="J1771" s="15"/>
      <c r="K1771" s="39"/>
    </row>
    <row r="1772" spans="3:11" x14ac:dyDescent="0.25">
      <c r="C1772" s="12" t="s">
        <v>15</v>
      </c>
      <c r="D1772" s="13" t="s">
        <v>16</v>
      </c>
      <c r="E1772" s="14"/>
      <c r="F1772" s="14"/>
      <c r="G1772" s="14"/>
      <c r="H1772" s="14"/>
      <c r="J1772" s="15"/>
      <c r="K1772" s="39"/>
    </row>
    <row r="1773" spans="3:11" x14ac:dyDescent="0.3">
      <c r="C1773" s="16">
        <v>1</v>
      </c>
      <c r="D1773" s="13" t="s">
        <v>18</v>
      </c>
      <c r="E1773" s="17" t="s">
        <v>19</v>
      </c>
      <c r="F1773" s="18">
        <v>0.06</v>
      </c>
      <c r="G1773" s="19">
        <f>VLOOKUP(D1773,upahbahan,3,FALSE)</f>
        <v>100000</v>
      </c>
      <c r="H1773" s="19">
        <f t="shared" ref="H1773:H1776" si="174">F1773*G1773</f>
        <v>6000</v>
      </c>
      <c r="J1773" s="15"/>
      <c r="K1773" s="39"/>
    </row>
    <row r="1774" spans="3:11" x14ac:dyDescent="0.3">
      <c r="C1774" s="16">
        <v>2</v>
      </c>
      <c r="D1774" s="13" t="str">
        <f>D1757</f>
        <v>Tukang listrik</v>
      </c>
      <c r="E1774" s="17" t="s">
        <v>19</v>
      </c>
      <c r="F1774" s="18">
        <v>9.9000000000000005E-2</v>
      </c>
      <c r="G1774" s="19">
        <f>VLOOKUP(D1774,upahbahan,3,FALSE)</f>
        <v>145000</v>
      </c>
      <c r="H1774" s="19">
        <f t="shared" si="174"/>
        <v>14355</v>
      </c>
      <c r="J1774" s="15"/>
      <c r="K1774" s="39"/>
    </row>
    <row r="1775" spans="3:11" x14ac:dyDescent="0.3">
      <c r="C1775" s="16">
        <v>3</v>
      </c>
      <c r="D1775" s="13" t="s">
        <v>22</v>
      </c>
      <c r="E1775" s="17" t="s">
        <v>19</v>
      </c>
      <c r="F1775" s="18">
        <v>0.01</v>
      </c>
      <c r="G1775" s="19">
        <f>VLOOKUP(D1775,upahbahan,3,FALSE)</f>
        <v>175000</v>
      </c>
      <c r="H1775" s="19">
        <f t="shared" si="174"/>
        <v>1750</v>
      </c>
      <c r="J1775" s="15"/>
      <c r="K1775" s="39"/>
    </row>
    <row r="1776" spans="3:11" x14ac:dyDescent="0.3">
      <c r="C1776" s="16">
        <v>4</v>
      </c>
      <c r="D1776" s="13" t="s">
        <v>23</v>
      </c>
      <c r="E1776" s="17" t="s">
        <v>19</v>
      </c>
      <c r="F1776" s="18">
        <v>3.0000000000000001E-3</v>
      </c>
      <c r="G1776" s="19">
        <f>VLOOKUP(D1776,upahbahan,3,FALSE)</f>
        <v>200000</v>
      </c>
      <c r="H1776" s="19">
        <f t="shared" si="174"/>
        <v>600</v>
      </c>
      <c r="J1776" s="15"/>
      <c r="K1776" s="39"/>
    </row>
    <row r="1777" spans="3:11" x14ac:dyDescent="0.3">
      <c r="C1777" s="21" t="s">
        <v>24</v>
      </c>
      <c r="D1777" s="22"/>
      <c r="E1777" s="22"/>
      <c r="F1777" s="54"/>
      <c r="G1777" s="24"/>
      <c r="H1777" s="19">
        <f>SUM(H1773:H1776)</f>
        <v>22705</v>
      </c>
      <c r="I1777" s="25"/>
      <c r="J1777" s="15"/>
      <c r="K1777" s="39"/>
    </row>
    <row r="1778" spans="3:11" x14ac:dyDescent="0.25">
      <c r="C1778" s="12" t="s">
        <v>25</v>
      </c>
      <c r="D1778" s="13" t="s">
        <v>26</v>
      </c>
      <c r="E1778" s="14"/>
      <c r="F1778" s="55"/>
      <c r="G1778" s="14"/>
      <c r="H1778" s="14"/>
      <c r="J1778" s="15"/>
      <c r="K1778" s="39"/>
    </row>
    <row r="1779" spans="3:11" x14ac:dyDescent="0.3">
      <c r="C1779" s="63" t="s">
        <v>202</v>
      </c>
      <c r="D1779" s="26" t="s">
        <v>360</v>
      </c>
      <c r="E1779" s="27" t="s">
        <v>28</v>
      </c>
      <c r="F1779" s="18">
        <v>1.2</v>
      </c>
      <c r="G1779" s="19">
        <f>VLOOKUP(D1779,upahbahan,3,FALSE)</f>
        <v>247200</v>
      </c>
      <c r="H1779" s="19">
        <f t="shared" ref="H1779" si="175">F1779*G1779</f>
        <v>296640</v>
      </c>
      <c r="J1779" s="15"/>
      <c r="K1779" s="39"/>
    </row>
    <row r="1780" spans="3:11" x14ac:dyDescent="0.3">
      <c r="C1780" s="21" t="s">
        <v>29</v>
      </c>
      <c r="D1780" s="22"/>
      <c r="E1780" s="22"/>
      <c r="F1780" s="22"/>
      <c r="G1780" s="28"/>
      <c r="H1780" s="19">
        <f>SUM(H1779:H1779)</f>
        <v>296640</v>
      </c>
      <c r="J1780" s="15"/>
      <c r="K1780" s="39"/>
    </row>
    <row r="1781" spans="3:11" x14ac:dyDescent="0.25">
      <c r="C1781" s="12" t="s">
        <v>30</v>
      </c>
      <c r="D1781" s="13" t="s">
        <v>31</v>
      </c>
      <c r="E1781" s="14"/>
      <c r="F1781" s="14"/>
      <c r="G1781" s="14"/>
      <c r="H1781" s="14"/>
      <c r="J1781" s="15"/>
      <c r="K1781" s="39"/>
    </row>
    <row r="1782" spans="3:11" x14ac:dyDescent="0.3">
      <c r="C1782" s="21" t="s">
        <v>32</v>
      </c>
      <c r="D1782" s="22"/>
      <c r="E1782" s="22"/>
      <c r="F1782" s="22"/>
      <c r="G1782" s="28"/>
      <c r="H1782" s="29">
        <v>0</v>
      </c>
      <c r="J1782" s="15"/>
      <c r="K1782" s="39"/>
    </row>
    <row r="1783" spans="3:11" x14ac:dyDescent="0.3">
      <c r="C1783" s="30" t="s">
        <v>33</v>
      </c>
      <c r="D1783" s="31" t="s">
        <v>34</v>
      </c>
      <c r="E1783" s="32"/>
      <c r="F1783" s="32"/>
      <c r="G1783" s="33"/>
      <c r="H1783" s="46">
        <f>H1782+H1780+H1777</f>
        <v>319345</v>
      </c>
      <c r="I1783" s="47"/>
      <c r="J1783" s="15"/>
      <c r="K1783" s="39"/>
    </row>
    <row r="1784" spans="3:11" x14ac:dyDescent="0.3">
      <c r="C1784" s="30" t="s">
        <v>35</v>
      </c>
      <c r="D1784" s="31" t="s">
        <v>36</v>
      </c>
      <c r="E1784" s="32"/>
      <c r="F1784" s="33"/>
      <c r="G1784" s="34">
        <f>$M$9</f>
        <v>0.1</v>
      </c>
      <c r="H1784" s="19">
        <f>H1783*G1784</f>
        <v>31934.5</v>
      </c>
      <c r="I1784" s="47"/>
      <c r="J1784" s="15"/>
      <c r="K1784" s="39"/>
    </row>
    <row r="1785" spans="3:11" x14ac:dyDescent="0.3">
      <c r="C1785" s="30" t="s">
        <v>37</v>
      </c>
      <c r="D1785" s="31" t="s">
        <v>38</v>
      </c>
      <c r="E1785" s="32"/>
      <c r="F1785" s="32"/>
      <c r="G1785" s="33"/>
      <c r="H1785" s="48">
        <f>SUM(H1783:H1784)</f>
        <v>351279.5</v>
      </c>
      <c r="I1785" s="47"/>
      <c r="J1785" s="15"/>
      <c r="K1785" s="39"/>
    </row>
    <row r="1786" spans="3:11" x14ac:dyDescent="0.3">
      <c r="J1786" s="15"/>
      <c r="K1786" s="39"/>
    </row>
    <row r="1787" spans="3:11" x14ac:dyDescent="0.3">
      <c r="C1787" s="40" t="s">
        <v>361</v>
      </c>
      <c r="D1787" s="68" t="s">
        <v>362</v>
      </c>
      <c r="E1787" s="44"/>
      <c r="F1787" s="44"/>
      <c r="G1787" s="44"/>
      <c r="H1787" s="44"/>
      <c r="I1787" s="10">
        <f>ROUNDDOWN(H1802,0)</f>
        <v>445450</v>
      </c>
      <c r="J1787" s="15"/>
      <c r="K1787" s="39"/>
    </row>
    <row r="1788" spans="3:11" ht="27.6" x14ac:dyDescent="0.3">
      <c r="C1788" s="11" t="s">
        <v>9</v>
      </c>
      <c r="D1788" s="11" t="s">
        <v>10</v>
      </c>
      <c r="E1788" s="11" t="s">
        <v>11</v>
      </c>
      <c r="F1788" s="11" t="s">
        <v>12</v>
      </c>
      <c r="G1788" s="11" t="s">
        <v>13</v>
      </c>
      <c r="H1788" s="11" t="s">
        <v>14</v>
      </c>
      <c r="J1788" s="15"/>
      <c r="K1788" s="39"/>
    </row>
    <row r="1789" spans="3:11" x14ac:dyDescent="0.25">
      <c r="C1789" s="12" t="s">
        <v>15</v>
      </c>
      <c r="D1789" s="13" t="s">
        <v>16</v>
      </c>
      <c r="E1789" s="14"/>
      <c r="F1789" s="14"/>
      <c r="G1789" s="14"/>
      <c r="H1789" s="14"/>
      <c r="J1789" s="15"/>
      <c r="K1789" s="39"/>
    </row>
    <row r="1790" spans="3:11" x14ac:dyDescent="0.3">
      <c r="C1790" s="16">
        <v>1</v>
      </c>
      <c r="D1790" s="13" t="s">
        <v>18</v>
      </c>
      <c r="E1790" s="17" t="s">
        <v>19</v>
      </c>
      <c r="F1790" s="49">
        <v>7.0999999999999994E-2</v>
      </c>
      <c r="G1790" s="19">
        <f>VLOOKUP(D1790,upahbahan,3,FALSE)</f>
        <v>100000</v>
      </c>
      <c r="H1790" s="19">
        <f t="shared" ref="H1790:H1793" si="176">F1790*G1790</f>
        <v>7099.9999999999991</v>
      </c>
      <c r="J1790" s="15"/>
      <c r="K1790" s="39"/>
    </row>
    <row r="1791" spans="3:11" x14ac:dyDescent="0.3">
      <c r="C1791" s="16">
        <v>2</v>
      </c>
      <c r="D1791" s="13" t="str">
        <f>D1774</f>
        <v>Tukang listrik</v>
      </c>
      <c r="E1791" s="17" t="s">
        <v>19</v>
      </c>
      <c r="F1791" s="49">
        <v>0.11899999999999999</v>
      </c>
      <c r="G1791" s="19">
        <f>VLOOKUP(D1791,upahbahan,3,FALSE)</f>
        <v>145000</v>
      </c>
      <c r="H1791" s="19">
        <f t="shared" si="176"/>
        <v>17255</v>
      </c>
      <c r="J1791" s="15"/>
      <c r="K1791" s="39"/>
    </row>
    <row r="1792" spans="3:11" x14ac:dyDescent="0.3">
      <c r="C1792" s="16">
        <v>3</v>
      </c>
      <c r="D1792" s="13" t="s">
        <v>22</v>
      </c>
      <c r="E1792" s="17" t="s">
        <v>19</v>
      </c>
      <c r="F1792" s="49">
        <v>1.2E-2</v>
      </c>
      <c r="G1792" s="19">
        <f>VLOOKUP(D1792,upahbahan,3,FALSE)</f>
        <v>175000</v>
      </c>
      <c r="H1792" s="19">
        <f t="shared" si="176"/>
        <v>2100</v>
      </c>
      <c r="J1792" s="15"/>
      <c r="K1792" s="39"/>
    </row>
    <row r="1793" spans="3:11" x14ac:dyDescent="0.3">
      <c r="C1793" s="16">
        <v>4</v>
      </c>
      <c r="D1793" s="13" t="s">
        <v>23</v>
      </c>
      <c r="E1793" s="17" t="s">
        <v>19</v>
      </c>
      <c r="F1793" s="49">
        <v>4.0000000000000001E-3</v>
      </c>
      <c r="G1793" s="19">
        <f>VLOOKUP(D1793,upahbahan,3,FALSE)</f>
        <v>200000</v>
      </c>
      <c r="H1793" s="19">
        <f t="shared" si="176"/>
        <v>800</v>
      </c>
      <c r="J1793" s="15"/>
      <c r="K1793" s="39"/>
    </row>
    <row r="1794" spans="3:11" x14ac:dyDescent="0.3">
      <c r="C1794" s="21" t="s">
        <v>24</v>
      </c>
      <c r="D1794" s="22"/>
      <c r="E1794" s="22"/>
      <c r="F1794" s="54"/>
      <c r="G1794" s="24"/>
      <c r="H1794" s="19">
        <f>SUM(H1790:H1793)</f>
        <v>27255</v>
      </c>
      <c r="I1794" s="25"/>
      <c r="J1794" s="15"/>
      <c r="K1794" s="39"/>
    </row>
    <row r="1795" spans="3:11" x14ac:dyDescent="0.25">
      <c r="C1795" s="12" t="s">
        <v>25</v>
      </c>
      <c r="D1795" s="13" t="s">
        <v>26</v>
      </c>
      <c r="E1795" s="14"/>
      <c r="F1795" s="55"/>
      <c r="G1795" s="14"/>
      <c r="H1795" s="14"/>
      <c r="J1795" s="15"/>
      <c r="K1795" s="39"/>
    </row>
    <row r="1796" spans="3:11" x14ac:dyDescent="0.3">
      <c r="C1796" s="63" t="s">
        <v>202</v>
      </c>
      <c r="D1796" s="26" t="s">
        <v>363</v>
      </c>
      <c r="E1796" s="27" t="s">
        <v>28</v>
      </c>
      <c r="F1796" s="18">
        <v>1.2</v>
      </c>
      <c r="G1796" s="19">
        <f>VLOOKUP(D1796,upahbahan,3,FALSE)</f>
        <v>314750</v>
      </c>
      <c r="H1796" s="19">
        <f t="shared" ref="H1796" si="177">F1796*G1796</f>
        <v>377700</v>
      </c>
      <c r="J1796" s="15"/>
      <c r="K1796" s="39"/>
    </row>
    <row r="1797" spans="3:11" x14ac:dyDescent="0.3">
      <c r="C1797" s="21" t="s">
        <v>29</v>
      </c>
      <c r="D1797" s="22"/>
      <c r="E1797" s="22"/>
      <c r="F1797" s="22"/>
      <c r="G1797" s="28"/>
      <c r="H1797" s="19">
        <f>SUM(H1796:H1796)</f>
        <v>377700</v>
      </c>
      <c r="J1797" s="15"/>
      <c r="K1797" s="39"/>
    </row>
    <row r="1798" spans="3:11" x14ac:dyDescent="0.25">
      <c r="C1798" s="12" t="s">
        <v>30</v>
      </c>
      <c r="D1798" s="13" t="s">
        <v>31</v>
      </c>
      <c r="E1798" s="14"/>
      <c r="F1798" s="14"/>
      <c r="G1798" s="14"/>
      <c r="H1798" s="14"/>
      <c r="J1798" s="15"/>
      <c r="K1798" s="39"/>
    </row>
    <row r="1799" spans="3:11" x14ac:dyDescent="0.3">
      <c r="C1799" s="21" t="s">
        <v>32</v>
      </c>
      <c r="D1799" s="22"/>
      <c r="E1799" s="22"/>
      <c r="F1799" s="22"/>
      <c r="G1799" s="28"/>
      <c r="H1799" s="29">
        <v>0</v>
      </c>
      <c r="J1799" s="15"/>
      <c r="K1799" s="39"/>
    </row>
    <row r="1800" spans="3:11" x14ac:dyDescent="0.3">
      <c r="C1800" s="30" t="s">
        <v>33</v>
      </c>
      <c r="D1800" s="31" t="s">
        <v>34</v>
      </c>
      <c r="E1800" s="32"/>
      <c r="F1800" s="32"/>
      <c r="G1800" s="33"/>
      <c r="H1800" s="46">
        <f>H1799+H1797+H1794</f>
        <v>404955</v>
      </c>
      <c r="I1800" s="47"/>
      <c r="J1800" s="15"/>
      <c r="K1800" s="39"/>
    </row>
    <row r="1801" spans="3:11" x14ac:dyDescent="0.3">
      <c r="C1801" s="30" t="s">
        <v>35</v>
      </c>
      <c r="D1801" s="31" t="s">
        <v>36</v>
      </c>
      <c r="E1801" s="32"/>
      <c r="F1801" s="33"/>
      <c r="G1801" s="34">
        <f>$M$9</f>
        <v>0.1</v>
      </c>
      <c r="H1801" s="19">
        <f>H1800*G1801</f>
        <v>40495.5</v>
      </c>
      <c r="I1801" s="47"/>
      <c r="J1801" s="15"/>
      <c r="K1801" s="39"/>
    </row>
    <row r="1802" spans="3:11" x14ac:dyDescent="0.3">
      <c r="C1802" s="30" t="s">
        <v>37</v>
      </c>
      <c r="D1802" s="31" t="s">
        <v>38</v>
      </c>
      <c r="E1802" s="32"/>
      <c r="F1802" s="32"/>
      <c r="G1802" s="33"/>
      <c r="H1802" s="48">
        <f>SUM(H1800:H1801)</f>
        <v>445450.5</v>
      </c>
      <c r="I1802" s="47"/>
      <c r="J1802" s="15"/>
      <c r="K1802" s="39"/>
    </row>
    <row r="1803" spans="3:11" x14ac:dyDescent="0.3">
      <c r="J1803" s="15"/>
      <c r="K1803" s="39"/>
    </row>
    <row r="1804" spans="3:11" x14ac:dyDescent="0.3">
      <c r="C1804" s="40" t="s">
        <v>364</v>
      </c>
      <c r="D1804" s="68" t="s">
        <v>365</v>
      </c>
      <c r="E1804" s="44"/>
      <c r="F1804" s="44"/>
      <c r="G1804" s="44"/>
      <c r="H1804" s="44"/>
      <c r="I1804" s="10">
        <f>ROUNDDOWN(H1819,0)</f>
        <v>588417</v>
      </c>
      <c r="J1804" s="15"/>
      <c r="K1804" s="39"/>
    </row>
    <row r="1805" spans="3:11" ht="27.6" x14ac:dyDescent="0.3">
      <c r="C1805" s="11" t="s">
        <v>9</v>
      </c>
      <c r="D1805" s="11" t="s">
        <v>10</v>
      </c>
      <c r="E1805" s="11" t="s">
        <v>11</v>
      </c>
      <c r="F1805" s="11" t="s">
        <v>12</v>
      </c>
      <c r="G1805" s="11" t="s">
        <v>13</v>
      </c>
      <c r="H1805" s="11" t="s">
        <v>14</v>
      </c>
      <c r="J1805" s="15"/>
      <c r="K1805" s="39"/>
    </row>
    <row r="1806" spans="3:11" x14ac:dyDescent="0.25">
      <c r="C1806" s="12" t="s">
        <v>15</v>
      </c>
      <c r="D1806" s="13" t="s">
        <v>16</v>
      </c>
      <c r="E1806" s="14"/>
      <c r="F1806" s="14"/>
      <c r="G1806" s="14"/>
      <c r="H1806" s="14"/>
      <c r="J1806" s="15"/>
      <c r="K1806" s="39"/>
    </row>
    <row r="1807" spans="3:11" x14ac:dyDescent="0.3">
      <c r="C1807" s="16">
        <v>1</v>
      </c>
      <c r="D1807" s="13" t="s">
        <v>18</v>
      </c>
      <c r="E1807" s="17" t="s">
        <v>19</v>
      </c>
      <c r="F1807" s="49">
        <v>0.107</v>
      </c>
      <c r="G1807" s="19">
        <f>VLOOKUP(D1807,upahbahan,3,FALSE)</f>
        <v>100000</v>
      </c>
      <c r="H1807" s="19">
        <f t="shared" ref="H1807:H1810" si="178">F1807*G1807</f>
        <v>10700</v>
      </c>
      <c r="J1807" s="15"/>
      <c r="K1807" s="39"/>
    </row>
    <row r="1808" spans="3:11" x14ac:dyDescent="0.3">
      <c r="C1808" s="16">
        <v>2</v>
      </c>
      <c r="D1808" s="13" t="str">
        <f>D1791</f>
        <v>Tukang listrik</v>
      </c>
      <c r="E1808" s="17" t="s">
        <v>19</v>
      </c>
      <c r="F1808" s="49">
        <v>0.17899999999999999</v>
      </c>
      <c r="G1808" s="19">
        <f>VLOOKUP(D1808,upahbahan,3,FALSE)</f>
        <v>145000</v>
      </c>
      <c r="H1808" s="19">
        <f t="shared" si="178"/>
        <v>25955</v>
      </c>
      <c r="J1808" s="15"/>
      <c r="K1808" s="39"/>
    </row>
    <row r="1809" spans="3:11" x14ac:dyDescent="0.3">
      <c r="C1809" s="16">
        <v>3</v>
      </c>
      <c r="D1809" s="13" t="s">
        <v>22</v>
      </c>
      <c r="E1809" s="17" t="s">
        <v>19</v>
      </c>
      <c r="F1809" s="49">
        <v>1.7999999999999999E-2</v>
      </c>
      <c r="G1809" s="19">
        <f>VLOOKUP(D1809,upahbahan,3,FALSE)</f>
        <v>175000</v>
      </c>
      <c r="H1809" s="19">
        <f t="shared" si="178"/>
        <v>3149.9999999999995</v>
      </c>
      <c r="J1809" s="15"/>
      <c r="K1809" s="39"/>
    </row>
    <row r="1810" spans="3:11" x14ac:dyDescent="0.3">
      <c r="C1810" s="16">
        <v>4</v>
      </c>
      <c r="D1810" s="13" t="s">
        <v>23</v>
      </c>
      <c r="E1810" s="17" t="s">
        <v>19</v>
      </c>
      <c r="F1810" s="49">
        <v>6.0000000000000001E-3</v>
      </c>
      <c r="G1810" s="19">
        <f>VLOOKUP(D1810,upahbahan,3,FALSE)</f>
        <v>200000</v>
      </c>
      <c r="H1810" s="19">
        <f t="shared" si="178"/>
        <v>1200</v>
      </c>
      <c r="J1810" s="15"/>
      <c r="K1810" s="39"/>
    </row>
    <row r="1811" spans="3:11" x14ac:dyDescent="0.3">
      <c r="C1811" s="21" t="s">
        <v>24</v>
      </c>
      <c r="D1811" s="22"/>
      <c r="E1811" s="22"/>
      <c r="F1811" s="54"/>
      <c r="G1811" s="24"/>
      <c r="H1811" s="19">
        <f>SUM(H1807:H1810)</f>
        <v>41005</v>
      </c>
      <c r="I1811" s="25"/>
      <c r="J1811" s="15"/>
      <c r="K1811" s="39"/>
    </row>
    <row r="1812" spans="3:11" x14ac:dyDescent="0.25">
      <c r="C1812" s="12" t="s">
        <v>25</v>
      </c>
      <c r="D1812" s="13" t="s">
        <v>26</v>
      </c>
      <c r="E1812" s="14"/>
      <c r="F1812" s="55"/>
      <c r="G1812" s="14"/>
      <c r="H1812" s="14"/>
      <c r="J1812" s="15"/>
      <c r="K1812" s="39"/>
    </row>
    <row r="1813" spans="3:11" x14ac:dyDescent="0.3">
      <c r="C1813" s="63" t="s">
        <v>202</v>
      </c>
      <c r="D1813" s="26" t="s">
        <v>366</v>
      </c>
      <c r="E1813" s="27" t="s">
        <v>28</v>
      </c>
      <c r="F1813" s="18">
        <v>1.2</v>
      </c>
      <c r="G1813" s="19">
        <f>VLOOKUP(D1813,upahbahan,3,FALSE)</f>
        <v>411600</v>
      </c>
      <c r="H1813" s="19">
        <f t="shared" ref="H1813" si="179">F1813*G1813</f>
        <v>493920</v>
      </c>
      <c r="J1813" s="15"/>
      <c r="K1813" s="39"/>
    </row>
    <row r="1814" spans="3:11" x14ac:dyDescent="0.3">
      <c r="C1814" s="21" t="s">
        <v>29</v>
      </c>
      <c r="D1814" s="22"/>
      <c r="E1814" s="22"/>
      <c r="F1814" s="22"/>
      <c r="G1814" s="28"/>
      <c r="H1814" s="19">
        <f>SUM(H1813:H1813)</f>
        <v>493920</v>
      </c>
      <c r="J1814" s="15"/>
      <c r="K1814" s="39"/>
    </row>
    <row r="1815" spans="3:11" x14ac:dyDescent="0.25">
      <c r="C1815" s="12" t="s">
        <v>30</v>
      </c>
      <c r="D1815" s="13" t="s">
        <v>31</v>
      </c>
      <c r="E1815" s="14"/>
      <c r="F1815" s="14"/>
      <c r="G1815" s="14"/>
      <c r="H1815" s="14"/>
      <c r="J1815" s="15"/>
      <c r="K1815" s="39"/>
    </row>
    <row r="1816" spans="3:11" x14ac:dyDescent="0.3">
      <c r="C1816" s="21" t="s">
        <v>32</v>
      </c>
      <c r="D1816" s="22"/>
      <c r="E1816" s="22"/>
      <c r="F1816" s="22"/>
      <c r="G1816" s="28"/>
      <c r="H1816" s="29">
        <v>0</v>
      </c>
      <c r="J1816" s="15"/>
      <c r="K1816" s="39"/>
    </row>
    <row r="1817" spans="3:11" x14ac:dyDescent="0.3">
      <c r="C1817" s="30" t="s">
        <v>33</v>
      </c>
      <c r="D1817" s="31" t="s">
        <v>34</v>
      </c>
      <c r="E1817" s="32"/>
      <c r="F1817" s="32"/>
      <c r="G1817" s="33"/>
      <c r="H1817" s="46">
        <f>H1816+H1814+H1811</f>
        <v>534925</v>
      </c>
      <c r="I1817" s="47"/>
      <c r="J1817" s="15"/>
      <c r="K1817" s="39"/>
    </row>
    <row r="1818" spans="3:11" x14ac:dyDescent="0.3">
      <c r="C1818" s="30" t="s">
        <v>35</v>
      </c>
      <c r="D1818" s="31" t="s">
        <v>36</v>
      </c>
      <c r="E1818" s="32"/>
      <c r="F1818" s="33"/>
      <c r="G1818" s="34">
        <f>$M$9</f>
        <v>0.1</v>
      </c>
      <c r="H1818" s="19">
        <f>H1817*G1818</f>
        <v>53492.5</v>
      </c>
      <c r="I1818" s="47"/>
      <c r="J1818" s="15"/>
      <c r="K1818" s="39"/>
    </row>
    <row r="1819" spans="3:11" x14ac:dyDescent="0.3">
      <c r="C1819" s="30" t="s">
        <v>37</v>
      </c>
      <c r="D1819" s="31" t="s">
        <v>38</v>
      </c>
      <c r="E1819" s="32"/>
      <c r="F1819" s="32"/>
      <c r="G1819" s="33"/>
      <c r="H1819" s="48">
        <f>SUM(H1817:H1818)</f>
        <v>588417.5</v>
      </c>
      <c r="I1819" s="47"/>
      <c r="J1819" s="15"/>
      <c r="K1819" s="39"/>
    </row>
    <row r="1820" spans="3:11" x14ac:dyDescent="0.3">
      <c r="J1820" s="15"/>
      <c r="K1820" s="39"/>
    </row>
    <row r="1821" spans="3:11" x14ac:dyDescent="0.3">
      <c r="C1821" s="40" t="s">
        <v>367</v>
      </c>
      <c r="D1821" s="68" t="s">
        <v>368</v>
      </c>
      <c r="E1821" s="44"/>
      <c r="F1821" s="44"/>
      <c r="G1821" s="44"/>
      <c r="H1821" s="44"/>
      <c r="I1821" s="10">
        <f>ROUNDDOWN(H1836,0)</f>
        <v>819560</v>
      </c>
      <c r="J1821" s="15"/>
      <c r="K1821" s="39"/>
    </row>
    <row r="1822" spans="3:11" ht="27.6" x14ac:dyDescent="0.3">
      <c r="C1822" s="11" t="s">
        <v>9</v>
      </c>
      <c r="D1822" s="11" t="s">
        <v>10</v>
      </c>
      <c r="E1822" s="11" t="s">
        <v>11</v>
      </c>
      <c r="F1822" s="11" t="s">
        <v>12</v>
      </c>
      <c r="G1822" s="11" t="s">
        <v>13</v>
      </c>
      <c r="H1822" s="11" t="s">
        <v>14</v>
      </c>
      <c r="J1822" s="15"/>
      <c r="K1822" s="39"/>
    </row>
    <row r="1823" spans="3:11" x14ac:dyDescent="0.25">
      <c r="C1823" s="12" t="s">
        <v>15</v>
      </c>
      <c r="D1823" s="13" t="s">
        <v>16</v>
      </c>
      <c r="E1823" s="14"/>
      <c r="F1823" s="14"/>
      <c r="G1823" s="14"/>
      <c r="H1823" s="14"/>
      <c r="J1823" s="15"/>
      <c r="K1823" s="39"/>
    </row>
    <row r="1824" spans="3:11" x14ac:dyDescent="0.3">
      <c r="C1824" s="16">
        <v>1</v>
      </c>
      <c r="D1824" s="13" t="s">
        <v>18</v>
      </c>
      <c r="E1824" s="17" t="s">
        <v>19</v>
      </c>
      <c r="F1824" s="49">
        <v>0.14299999999999999</v>
      </c>
      <c r="G1824" s="19">
        <f>VLOOKUP(D1824,upahbahan,3,FALSE)</f>
        <v>100000</v>
      </c>
      <c r="H1824" s="19">
        <f t="shared" ref="H1824:H1827" si="180">F1824*G1824</f>
        <v>14299.999999999998</v>
      </c>
      <c r="J1824" s="15"/>
      <c r="K1824" s="39"/>
    </row>
    <row r="1825" spans="3:11" x14ac:dyDescent="0.3">
      <c r="C1825" s="16">
        <v>2</v>
      </c>
      <c r="D1825" s="13" t="str">
        <f>D1808</f>
        <v>Tukang listrik</v>
      </c>
      <c r="E1825" s="17" t="s">
        <v>19</v>
      </c>
      <c r="F1825" s="49">
        <v>0.23899999999999999</v>
      </c>
      <c r="G1825" s="19">
        <f>VLOOKUP(D1825,upahbahan,3,FALSE)</f>
        <v>145000</v>
      </c>
      <c r="H1825" s="19">
        <f t="shared" si="180"/>
        <v>34655</v>
      </c>
      <c r="J1825" s="15"/>
      <c r="K1825" s="39"/>
    </row>
    <row r="1826" spans="3:11" x14ac:dyDescent="0.3">
      <c r="C1826" s="16">
        <v>3</v>
      </c>
      <c r="D1826" s="13" t="s">
        <v>22</v>
      </c>
      <c r="E1826" s="17" t="s">
        <v>19</v>
      </c>
      <c r="F1826" s="49">
        <v>2.4E-2</v>
      </c>
      <c r="G1826" s="19">
        <f>VLOOKUP(D1826,upahbahan,3,FALSE)</f>
        <v>175000</v>
      </c>
      <c r="H1826" s="19">
        <f t="shared" si="180"/>
        <v>4200</v>
      </c>
      <c r="J1826" s="15"/>
      <c r="K1826" s="39"/>
    </row>
    <row r="1827" spans="3:11" x14ac:dyDescent="0.3">
      <c r="C1827" s="16">
        <v>4</v>
      </c>
      <c r="D1827" s="13" t="s">
        <v>23</v>
      </c>
      <c r="E1827" s="17" t="s">
        <v>19</v>
      </c>
      <c r="F1827" s="49">
        <v>8.0000000000000002E-3</v>
      </c>
      <c r="G1827" s="19">
        <f>VLOOKUP(D1827,upahbahan,3,FALSE)</f>
        <v>200000</v>
      </c>
      <c r="H1827" s="19">
        <f t="shared" si="180"/>
        <v>1600</v>
      </c>
      <c r="J1827" s="15"/>
      <c r="K1827" s="39"/>
    </row>
    <row r="1828" spans="3:11" x14ac:dyDescent="0.3">
      <c r="C1828" s="21" t="s">
        <v>24</v>
      </c>
      <c r="D1828" s="22"/>
      <c r="E1828" s="22"/>
      <c r="F1828" s="54"/>
      <c r="G1828" s="24"/>
      <c r="H1828" s="19">
        <f>SUM(H1824:H1827)</f>
        <v>54755</v>
      </c>
      <c r="I1828" s="25"/>
      <c r="J1828" s="15"/>
      <c r="K1828" s="39"/>
    </row>
    <row r="1829" spans="3:11" x14ac:dyDescent="0.25">
      <c r="C1829" s="12" t="s">
        <v>25</v>
      </c>
      <c r="D1829" s="13" t="s">
        <v>26</v>
      </c>
      <c r="E1829" s="14"/>
      <c r="F1829" s="55"/>
      <c r="G1829" s="14"/>
      <c r="H1829" s="14"/>
      <c r="J1829" s="15"/>
      <c r="K1829" s="39"/>
    </row>
    <row r="1830" spans="3:11" x14ac:dyDescent="0.3">
      <c r="C1830" s="63" t="s">
        <v>202</v>
      </c>
      <c r="D1830" s="26" t="s">
        <v>369</v>
      </c>
      <c r="E1830" s="27" t="s">
        <v>28</v>
      </c>
      <c r="F1830" s="18">
        <v>1.2</v>
      </c>
      <c r="G1830" s="19">
        <f>VLOOKUP(D1830,upahbahan,3,FALSE)</f>
        <v>575250</v>
      </c>
      <c r="H1830" s="19">
        <f t="shared" ref="H1830" si="181">F1830*G1830</f>
        <v>690300</v>
      </c>
      <c r="J1830" s="15"/>
      <c r="K1830" s="39"/>
    </row>
    <row r="1831" spans="3:11" x14ac:dyDescent="0.3">
      <c r="C1831" s="21" t="s">
        <v>29</v>
      </c>
      <c r="D1831" s="22"/>
      <c r="E1831" s="22"/>
      <c r="F1831" s="22"/>
      <c r="G1831" s="28"/>
      <c r="H1831" s="19">
        <f>SUM(H1830:H1830)</f>
        <v>690300</v>
      </c>
      <c r="J1831" s="15"/>
      <c r="K1831" s="39"/>
    </row>
    <row r="1832" spans="3:11" x14ac:dyDescent="0.25">
      <c r="C1832" s="12" t="s">
        <v>30</v>
      </c>
      <c r="D1832" s="13" t="s">
        <v>31</v>
      </c>
      <c r="E1832" s="14"/>
      <c r="F1832" s="14"/>
      <c r="G1832" s="14"/>
      <c r="H1832" s="14"/>
      <c r="J1832" s="15"/>
      <c r="K1832" s="39"/>
    </row>
    <row r="1833" spans="3:11" x14ac:dyDescent="0.3">
      <c r="C1833" s="21" t="s">
        <v>32</v>
      </c>
      <c r="D1833" s="22"/>
      <c r="E1833" s="22"/>
      <c r="F1833" s="22"/>
      <c r="G1833" s="28"/>
      <c r="H1833" s="29">
        <v>0</v>
      </c>
      <c r="J1833" s="15"/>
      <c r="K1833" s="39"/>
    </row>
    <row r="1834" spans="3:11" x14ac:dyDescent="0.3">
      <c r="C1834" s="30" t="s">
        <v>33</v>
      </c>
      <c r="D1834" s="31" t="s">
        <v>34</v>
      </c>
      <c r="E1834" s="32"/>
      <c r="F1834" s="32"/>
      <c r="G1834" s="33"/>
      <c r="H1834" s="46">
        <f>H1833+H1831+H1828</f>
        <v>745055</v>
      </c>
      <c r="I1834" s="47"/>
      <c r="J1834" s="15"/>
      <c r="K1834" s="39"/>
    </row>
    <row r="1835" spans="3:11" x14ac:dyDescent="0.3">
      <c r="C1835" s="30" t="s">
        <v>35</v>
      </c>
      <c r="D1835" s="31" t="s">
        <v>36</v>
      </c>
      <c r="E1835" s="32"/>
      <c r="F1835" s="33"/>
      <c r="G1835" s="34">
        <f>$M$9</f>
        <v>0.1</v>
      </c>
      <c r="H1835" s="19">
        <f>H1834*G1835</f>
        <v>74505.5</v>
      </c>
      <c r="I1835" s="47"/>
      <c r="J1835" s="15"/>
      <c r="K1835" s="39"/>
    </row>
    <row r="1836" spans="3:11" x14ac:dyDescent="0.3">
      <c r="C1836" s="30" t="s">
        <v>37</v>
      </c>
      <c r="D1836" s="31" t="s">
        <v>38</v>
      </c>
      <c r="E1836" s="32"/>
      <c r="F1836" s="32"/>
      <c r="G1836" s="33"/>
      <c r="H1836" s="48">
        <f>SUM(H1834:H1835)</f>
        <v>819560.5</v>
      </c>
      <c r="I1836" s="47"/>
      <c r="J1836" s="15"/>
      <c r="K1836" s="39"/>
    </row>
    <row r="1837" spans="3:11" x14ac:dyDescent="0.3">
      <c r="J1837" s="15"/>
      <c r="K1837" s="39"/>
    </row>
    <row r="1838" spans="3:11" x14ac:dyDescent="0.3">
      <c r="C1838" s="40" t="s">
        <v>370</v>
      </c>
      <c r="D1838" s="68" t="s">
        <v>371</v>
      </c>
      <c r="E1838" s="44"/>
      <c r="F1838" s="44"/>
      <c r="G1838" s="44"/>
      <c r="H1838" s="44"/>
      <c r="I1838" s="10">
        <f>ROUNDDOWN(H1853,0)</f>
        <v>1041980</v>
      </c>
      <c r="J1838" s="15"/>
      <c r="K1838" s="39"/>
    </row>
    <row r="1839" spans="3:11" ht="27.6" x14ac:dyDescent="0.3">
      <c r="C1839" s="11" t="s">
        <v>9</v>
      </c>
      <c r="D1839" s="11" t="s">
        <v>10</v>
      </c>
      <c r="E1839" s="11" t="s">
        <v>11</v>
      </c>
      <c r="F1839" s="11" t="s">
        <v>12</v>
      </c>
      <c r="G1839" s="11" t="s">
        <v>13</v>
      </c>
      <c r="H1839" s="11" t="s">
        <v>14</v>
      </c>
      <c r="J1839" s="15"/>
      <c r="K1839" s="39"/>
    </row>
    <row r="1840" spans="3:11" x14ac:dyDescent="0.25">
      <c r="C1840" s="12" t="s">
        <v>15</v>
      </c>
      <c r="D1840" s="13" t="s">
        <v>16</v>
      </c>
      <c r="E1840" s="14"/>
      <c r="F1840" s="14"/>
      <c r="G1840" s="14"/>
      <c r="H1840" s="14"/>
      <c r="J1840" s="15"/>
      <c r="K1840" s="39"/>
    </row>
    <row r="1841" spans="3:11" x14ac:dyDescent="0.3">
      <c r="C1841" s="16">
        <v>1</v>
      </c>
      <c r="D1841" s="13" t="s">
        <v>18</v>
      </c>
      <c r="E1841" s="17" t="s">
        <v>19</v>
      </c>
      <c r="F1841" s="49">
        <v>0.14299999999999999</v>
      </c>
      <c r="G1841" s="19">
        <f>VLOOKUP(D1841,upahbahan,3,FALSE)</f>
        <v>100000</v>
      </c>
      <c r="H1841" s="19">
        <f t="shared" ref="H1841:H1844" si="182">F1841*G1841</f>
        <v>14299.999999999998</v>
      </c>
      <c r="J1841" s="15"/>
      <c r="K1841" s="39"/>
    </row>
    <row r="1842" spans="3:11" x14ac:dyDescent="0.3">
      <c r="C1842" s="16">
        <v>2</v>
      </c>
      <c r="D1842" s="13" t="str">
        <f>D1825</f>
        <v>Tukang listrik</v>
      </c>
      <c r="E1842" s="17" t="s">
        <v>19</v>
      </c>
      <c r="F1842" s="49">
        <v>0.23899999999999999</v>
      </c>
      <c r="G1842" s="19">
        <f>VLOOKUP(D1842,upahbahan,3,FALSE)</f>
        <v>145000</v>
      </c>
      <c r="H1842" s="19">
        <f t="shared" si="182"/>
        <v>34655</v>
      </c>
      <c r="J1842" s="15"/>
      <c r="K1842" s="39"/>
    </row>
    <row r="1843" spans="3:11" x14ac:dyDescent="0.3">
      <c r="C1843" s="16">
        <v>3</v>
      </c>
      <c r="D1843" s="13" t="s">
        <v>22</v>
      </c>
      <c r="E1843" s="17" t="s">
        <v>19</v>
      </c>
      <c r="F1843" s="49">
        <v>2.4E-2</v>
      </c>
      <c r="G1843" s="19">
        <f>VLOOKUP(D1843,upahbahan,3,FALSE)</f>
        <v>175000</v>
      </c>
      <c r="H1843" s="19">
        <f t="shared" si="182"/>
        <v>4200</v>
      </c>
      <c r="J1843" s="15"/>
      <c r="K1843" s="39"/>
    </row>
    <row r="1844" spans="3:11" x14ac:dyDescent="0.3">
      <c r="C1844" s="16">
        <v>4</v>
      </c>
      <c r="D1844" s="13" t="s">
        <v>23</v>
      </c>
      <c r="E1844" s="17" t="s">
        <v>19</v>
      </c>
      <c r="F1844" s="49">
        <v>8.0000000000000002E-3</v>
      </c>
      <c r="G1844" s="19">
        <f>VLOOKUP(D1844,upahbahan,3,FALSE)</f>
        <v>200000</v>
      </c>
      <c r="H1844" s="19">
        <f t="shared" si="182"/>
        <v>1600</v>
      </c>
      <c r="J1844" s="15"/>
      <c r="K1844" s="39"/>
    </row>
    <row r="1845" spans="3:11" x14ac:dyDescent="0.3">
      <c r="C1845" s="21" t="s">
        <v>24</v>
      </c>
      <c r="D1845" s="22"/>
      <c r="E1845" s="22"/>
      <c r="F1845" s="54"/>
      <c r="G1845" s="24"/>
      <c r="H1845" s="19">
        <f>SUM(H1841:H1844)</f>
        <v>54755</v>
      </c>
      <c r="I1845" s="25"/>
      <c r="J1845" s="15"/>
      <c r="K1845" s="39"/>
    </row>
    <row r="1846" spans="3:11" x14ac:dyDescent="0.25">
      <c r="C1846" s="12" t="s">
        <v>25</v>
      </c>
      <c r="D1846" s="13" t="s">
        <v>26</v>
      </c>
      <c r="E1846" s="14"/>
      <c r="F1846" s="55"/>
      <c r="G1846" s="14"/>
      <c r="H1846" s="14"/>
      <c r="J1846" s="15"/>
      <c r="K1846" s="39"/>
    </row>
    <row r="1847" spans="3:11" x14ac:dyDescent="0.3">
      <c r="C1847" s="63" t="s">
        <v>202</v>
      </c>
      <c r="D1847" s="26" t="s">
        <v>372</v>
      </c>
      <c r="E1847" s="27" t="s">
        <v>28</v>
      </c>
      <c r="F1847" s="18">
        <v>1.2</v>
      </c>
      <c r="G1847" s="19">
        <f>VLOOKUP(D1847,upahbahan,3,FALSE)</f>
        <v>743750</v>
      </c>
      <c r="H1847" s="19">
        <f t="shared" ref="H1847" si="183">F1847*G1847</f>
        <v>892500</v>
      </c>
      <c r="J1847" s="15"/>
      <c r="K1847" s="39"/>
    </row>
    <row r="1848" spans="3:11" x14ac:dyDescent="0.3">
      <c r="C1848" s="21" t="s">
        <v>29</v>
      </c>
      <c r="D1848" s="22"/>
      <c r="E1848" s="22"/>
      <c r="F1848" s="22"/>
      <c r="G1848" s="28"/>
      <c r="H1848" s="19">
        <f>SUM(H1847:H1847)</f>
        <v>892500</v>
      </c>
      <c r="J1848" s="15"/>
      <c r="K1848" s="39"/>
    </row>
    <row r="1849" spans="3:11" x14ac:dyDescent="0.25">
      <c r="C1849" s="12" t="s">
        <v>30</v>
      </c>
      <c r="D1849" s="13" t="s">
        <v>31</v>
      </c>
      <c r="E1849" s="14"/>
      <c r="F1849" s="14"/>
      <c r="G1849" s="14"/>
      <c r="H1849" s="14"/>
      <c r="J1849" s="15"/>
      <c r="K1849" s="39"/>
    </row>
    <row r="1850" spans="3:11" x14ac:dyDescent="0.3">
      <c r="C1850" s="21" t="s">
        <v>32</v>
      </c>
      <c r="D1850" s="22"/>
      <c r="E1850" s="22"/>
      <c r="F1850" s="22"/>
      <c r="G1850" s="28"/>
      <c r="H1850" s="29">
        <v>0</v>
      </c>
      <c r="J1850" s="15"/>
      <c r="K1850" s="39"/>
    </row>
    <row r="1851" spans="3:11" x14ac:dyDescent="0.3">
      <c r="C1851" s="30" t="s">
        <v>33</v>
      </c>
      <c r="D1851" s="31" t="s">
        <v>34</v>
      </c>
      <c r="E1851" s="32"/>
      <c r="F1851" s="32"/>
      <c r="G1851" s="33"/>
      <c r="H1851" s="46">
        <f>H1850+H1848+H1845</f>
        <v>947255</v>
      </c>
      <c r="I1851" s="47"/>
      <c r="J1851" s="15"/>
      <c r="K1851" s="39"/>
    </row>
    <row r="1852" spans="3:11" x14ac:dyDescent="0.3">
      <c r="C1852" s="30" t="s">
        <v>35</v>
      </c>
      <c r="D1852" s="31" t="s">
        <v>36</v>
      </c>
      <c r="E1852" s="32"/>
      <c r="F1852" s="33"/>
      <c r="G1852" s="34">
        <f>$M$9</f>
        <v>0.1</v>
      </c>
      <c r="H1852" s="19">
        <f>H1851*G1852</f>
        <v>94725.5</v>
      </c>
      <c r="I1852" s="47"/>
      <c r="J1852" s="15"/>
      <c r="K1852" s="39"/>
    </row>
    <row r="1853" spans="3:11" x14ac:dyDescent="0.3">
      <c r="C1853" s="30" t="s">
        <v>37</v>
      </c>
      <c r="D1853" s="31" t="s">
        <v>38</v>
      </c>
      <c r="E1853" s="32"/>
      <c r="F1853" s="32"/>
      <c r="G1853" s="33"/>
      <c r="H1853" s="48">
        <f>SUM(H1851:H1852)</f>
        <v>1041980.5</v>
      </c>
      <c r="I1853" s="47"/>
      <c r="J1853" s="15"/>
      <c r="K1853" s="39"/>
    </row>
    <row r="1854" spans="3:11" x14ac:dyDescent="0.3">
      <c r="J1854" s="15"/>
      <c r="K1854" s="39"/>
    </row>
    <row r="1855" spans="3:11" x14ac:dyDescent="0.3">
      <c r="C1855" s="40" t="s">
        <v>373</v>
      </c>
      <c r="D1855" s="68" t="s">
        <v>374</v>
      </c>
      <c r="E1855" s="44"/>
      <c r="F1855" s="44"/>
      <c r="G1855" s="44"/>
      <c r="H1855" s="44"/>
      <c r="I1855" s="10">
        <f>ROUNDDOWN(H1870,0)</f>
        <v>1354936</v>
      </c>
      <c r="J1855" s="15"/>
      <c r="K1855" s="39"/>
    </row>
    <row r="1856" spans="3:11" ht="27.6" x14ac:dyDescent="0.3">
      <c r="C1856" s="11" t="s">
        <v>9</v>
      </c>
      <c r="D1856" s="11" t="s">
        <v>10</v>
      </c>
      <c r="E1856" s="11" t="s">
        <v>11</v>
      </c>
      <c r="F1856" s="11" t="s">
        <v>12</v>
      </c>
      <c r="G1856" s="11" t="s">
        <v>13</v>
      </c>
      <c r="H1856" s="11" t="s">
        <v>14</v>
      </c>
      <c r="J1856" s="15"/>
      <c r="K1856" s="39"/>
    </row>
    <row r="1857" spans="3:11" x14ac:dyDescent="0.25">
      <c r="C1857" s="12" t="s">
        <v>15</v>
      </c>
      <c r="D1857" s="13" t="s">
        <v>16</v>
      </c>
      <c r="E1857" s="14"/>
      <c r="F1857" s="14"/>
      <c r="G1857" s="14"/>
      <c r="H1857" s="14"/>
      <c r="J1857" s="15"/>
      <c r="K1857" s="39"/>
    </row>
    <row r="1858" spans="3:11" x14ac:dyDescent="0.3">
      <c r="C1858" s="16">
        <v>1</v>
      </c>
      <c r="D1858" s="13" t="s">
        <v>18</v>
      </c>
      <c r="E1858" s="17" t="s">
        <v>19</v>
      </c>
      <c r="F1858" s="18">
        <v>0.17899999999999999</v>
      </c>
      <c r="G1858" s="19">
        <f>VLOOKUP(D1858,upahbahan,3,FALSE)</f>
        <v>100000</v>
      </c>
      <c r="H1858" s="19">
        <f t="shared" ref="H1858:H1861" si="184">F1858*G1858</f>
        <v>17900</v>
      </c>
      <c r="J1858" s="15"/>
      <c r="K1858" s="39"/>
    </row>
    <row r="1859" spans="3:11" x14ac:dyDescent="0.3">
      <c r="C1859" s="16">
        <v>2</v>
      </c>
      <c r="D1859" s="13" t="str">
        <f>D1842</f>
        <v>Tukang listrik</v>
      </c>
      <c r="E1859" s="17" t="s">
        <v>19</v>
      </c>
      <c r="F1859" s="18">
        <v>0.29799999999999999</v>
      </c>
      <c r="G1859" s="19">
        <f>VLOOKUP(D1859,upahbahan,3,FALSE)</f>
        <v>145000</v>
      </c>
      <c r="H1859" s="19">
        <f t="shared" si="184"/>
        <v>43210</v>
      </c>
      <c r="J1859" s="15"/>
      <c r="K1859" s="39"/>
    </row>
    <row r="1860" spans="3:11" x14ac:dyDescent="0.3">
      <c r="C1860" s="16">
        <v>3</v>
      </c>
      <c r="D1860" s="13" t="s">
        <v>22</v>
      </c>
      <c r="E1860" s="17" t="s">
        <v>19</v>
      </c>
      <c r="F1860" s="18">
        <v>0.03</v>
      </c>
      <c r="G1860" s="19">
        <f>VLOOKUP(D1860,upahbahan,3,FALSE)</f>
        <v>175000</v>
      </c>
      <c r="H1860" s="19">
        <f t="shared" si="184"/>
        <v>5250</v>
      </c>
      <c r="J1860" s="15"/>
      <c r="K1860" s="39"/>
    </row>
    <row r="1861" spans="3:11" x14ac:dyDescent="0.3">
      <c r="C1861" s="16">
        <v>4</v>
      </c>
      <c r="D1861" s="13" t="s">
        <v>23</v>
      </c>
      <c r="E1861" s="17" t="s">
        <v>19</v>
      </c>
      <c r="F1861" s="18">
        <v>0.01</v>
      </c>
      <c r="G1861" s="19">
        <f>VLOOKUP(D1861,upahbahan,3,FALSE)</f>
        <v>200000</v>
      </c>
      <c r="H1861" s="19">
        <f t="shared" si="184"/>
        <v>2000</v>
      </c>
      <c r="J1861" s="15"/>
      <c r="K1861" s="39"/>
    </row>
    <row r="1862" spans="3:11" x14ac:dyDescent="0.3">
      <c r="C1862" s="21" t="s">
        <v>24</v>
      </c>
      <c r="D1862" s="22"/>
      <c r="E1862" s="22"/>
      <c r="F1862" s="54"/>
      <c r="G1862" s="24"/>
      <c r="H1862" s="19">
        <f>SUM(H1858:H1861)</f>
        <v>68360</v>
      </c>
      <c r="I1862" s="25"/>
      <c r="J1862" s="15"/>
      <c r="K1862" s="39"/>
    </row>
    <row r="1863" spans="3:11" x14ac:dyDescent="0.25">
      <c r="C1863" s="12" t="s">
        <v>25</v>
      </c>
      <c r="D1863" s="13" t="s">
        <v>26</v>
      </c>
      <c r="E1863" s="14"/>
      <c r="F1863" s="55"/>
      <c r="G1863" s="14"/>
      <c r="H1863" s="14"/>
      <c r="J1863" s="15"/>
      <c r="K1863" s="39"/>
    </row>
    <row r="1864" spans="3:11" x14ac:dyDescent="0.3">
      <c r="C1864" s="63" t="s">
        <v>202</v>
      </c>
      <c r="D1864" s="26" t="s">
        <v>375</v>
      </c>
      <c r="E1864" s="27" t="s">
        <v>28</v>
      </c>
      <c r="F1864" s="18">
        <v>1.2</v>
      </c>
      <c r="G1864" s="19">
        <f>VLOOKUP(D1864,upahbahan,3,FALSE)</f>
        <v>969500</v>
      </c>
      <c r="H1864" s="19">
        <f>F1864*G1864</f>
        <v>1163400</v>
      </c>
      <c r="J1864" s="15"/>
      <c r="K1864" s="39"/>
    </row>
    <row r="1865" spans="3:11" x14ac:dyDescent="0.3">
      <c r="C1865" s="21" t="s">
        <v>29</v>
      </c>
      <c r="D1865" s="22"/>
      <c r="E1865" s="22"/>
      <c r="F1865" s="22"/>
      <c r="G1865" s="28"/>
      <c r="H1865" s="19">
        <f>SUM(H1864:H1864)</f>
        <v>1163400</v>
      </c>
      <c r="J1865" s="15"/>
      <c r="K1865" s="39"/>
    </row>
    <row r="1866" spans="3:11" x14ac:dyDescent="0.25">
      <c r="C1866" s="12" t="s">
        <v>30</v>
      </c>
      <c r="D1866" s="13" t="s">
        <v>31</v>
      </c>
      <c r="E1866" s="14"/>
      <c r="F1866" s="14"/>
      <c r="G1866" s="14"/>
      <c r="H1866" s="14"/>
      <c r="J1866" s="15"/>
      <c r="K1866" s="39"/>
    </row>
    <row r="1867" spans="3:11" x14ac:dyDescent="0.3">
      <c r="C1867" s="21" t="s">
        <v>32</v>
      </c>
      <c r="D1867" s="22"/>
      <c r="E1867" s="22"/>
      <c r="F1867" s="22"/>
      <c r="G1867" s="28"/>
      <c r="H1867" s="29">
        <v>0</v>
      </c>
      <c r="J1867" s="15"/>
      <c r="K1867" s="39"/>
    </row>
    <row r="1868" spans="3:11" x14ac:dyDescent="0.3">
      <c r="C1868" s="30" t="s">
        <v>33</v>
      </c>
      <c r="D1868" s="31" t="s">
        <v>34</v>
      </c>
      <c r="E1868" s="32"/>
      <c r="F1868" s="32"/>
      <c r="G1868" s="33"/>
      <c r="H1868" s="46">
        <f>H1867+H1865+H1862</f>
        <v>1231760</v>
      </c>
      <c r="I1868" s="47"/>
      <c r="J1868" s="15"/>
      <c r="K1868" s="39"/>
    </row>
    <row r="1869" spans="3:11" x14ac:dyDescent="0.3">
      <c r="C1869" s="30" t="s">
        <v>35</v>
      </c>
      <c r="D1869" s="31" t="s">
        <v>36</v>
      </c>
      <c r="E1869" s="32"/>
      <c r="F1869" s="33"/>
      <c r="G1869" s="34">
        <f>$M$9</f>
        <v>0.1</v>
      </c>
      <c r="H1869" s="19">
        <f>H1868*G1869</f>
        <v>123176</v>
      </c>
      <c r="I1869" s="47"/>
      <c r="J1869" s="15"/>
      <c r="K1869" s="39"/>
    </row>
    <row r="1870" spans="3:11" x14ac:dyDescent="0.3">
      <c r="C1870" s="30" t="s">
        <v>37</v>
      </c>
      <c r="D1870" s="31" t="s">
        <v>38</v>
      </c>
      <c r="E1870" s="32"/>
      <c r="F1870" s="32"/>
      <c r="G1870" s="33"/>
      <c r="H1870" s="48">
        <f>SUM(H1868:H1869)</f>
        <v>1354936</v>
      </c>
      <c r="I1870" s="47"/>
      <c r="J1870" s="15"/>
      <c r="K1870" s="39"/>
    </row>
    <row r="1871" spans="3:11" x14ac:dyDescent="0.3">
      <c r="J1871" s="15"/>
      <c r="K1871" s="39"/>
    </row>
    <row r="1872" spans="3:11" x14ac:dyDescent="0.3">
      <c r="C1872" s="40" t="s">
        <v>376</v>
      </c>
      <c r="D1872" s="68" t="s">
        <v>377</v>
      </c>
      <c r="E1872" s="44"/>
      <c r="F1872" s="44"/>
      <c r="G1872" s="44"/>
      <c r="H1872" s="44"/>
      <c r="I1872" s="10">
        <f>ROUNDDOWN(H1887,0)</f>
        <v>1642894</v>
      </c>
      <c r="J1872" s="15"/>
      <c r="K1872" s="39"/>
    </row>
    <row r="1873" spans="3:11" ht="27.6" x14ac:dyDescent="0.3">
      <c r="C1873" s="11" t="s">
        <v>9</v>
      </c>
      <c r="D1873" s="11" t="s">
        <v>10</v>
      </c>
      <c r="E1873" s="11" t="s">
        <v>11</v>
      </c>
      <c r="F1873" s="11" t="s">
        <v>12</v>
      </c>
      <c r="G1873" s="11" t="s">
        <v>13</v>
      </c>
      <c r="H1873" s="11" t="s">
        <v>14</v>
      </c>
      <c r="J1873" s="15"/>
      <c r="K1873" s="39"/>
    </row>
    <row r="1874" spans="3:11" x14ac:dyDescent="0.25">
      <c r="C1874" s="12" t="s">
        <v>15</v>
      </c>
      <c r="D1874" s="13" t="s">
        <v>16</v>
      </c>
      <c r="E1874" s="14"/>
      <c r="F1874" s="14"/>
      <c r="G1874" s="14"/>
      <c r="H1874" s="14"/>
      <c r="J1874" s="15"/>
      <c r="K1874" s="39"/>
    </row>
    <row r="1875" spans="3:11" x14ac:dyDescent="0.3">
      <c r="C1875" s="16">
        <v>1</v>
      </c>
      <c r="D1875" s="13" t="s">
        <v>18</v>
      </c>
      <c r="E1875" s="17" t="s">
        <v>19</v>
      </c>
      <c r="F1875" s="18">
        <v>0.17899999999999999</v>
      </c>
      <c r="G1875" s="19">
        <f>VLOOKUP(D1875,upahbahan,3,FALSE)</f>
        <v>100000</v>
      </c>
      <c r="H1875" s="19">
        <f t="shared" ref="H1875:H1878" si="185">F1875*G1875</f>
        <v>17900</v>
      </c>
      <c r="J1875" s="15"/>
      <c r="K1875" s="39"/>
    </row>
    <row r="1876" spans="3:11" x14ac:dyDescent="0.3">
      <c r="C1876" s="16">
        <v>2</v>
      </c>
      <c r="D1876" s="13" t="str">
        <f>D1859</f>
        <v>Tukang listrik</v>
      </c>
      <c r="E1876" s="17" t="s">
        <v>19</v>
      </c>
      <c r="F1876" s="18">
        <v>0.29799999999999999</v>
      </c>
      <c r="G1876" s="19">
        <f>VLOOKUP(D1876,upahbahan,3,FALSE)</f>
        <v>145000</v>
      </c>
      <c r="H1876" s="19">
        <f t="shared" si="185"/>
        <v>43210</v>
      </c>
      <c r="J1876" s="15"/>
      <c r="K1876" s="39"/>
    </row>
    <row r="1877" spans="3:11" x14ac:dyDescent="0.3">
      <c r="C1877" s="16">
        <v>3</v>
      </c>
      <c r="D1877" s="13" t="s">
        <v>22</v>
      </c>
      <c r="E1877" s="17" t="s">
        <v>19</v>
      </c>
      <c r="F1877" s="18">
        <v>0.03</v>
      </c>
      <c r="G1877" s="19">
        <f>VLOOKUP(D1877,upahbahan,3,FALSE)</f>
        <v>175000</v>
      </c>
      <c r="H1877" s="19">
        <f t="shared" si="185"/>
        <v>5250</v>
      </c>
      <c r="J1877" s="15"/>
      <c r="K1877" s="39"/>
    </row>
    <row r="1878" spans="3:11" x14ac:dyDescent="0.3">
      <c r="C1878" s="16">
        <v>4</v>
      </c>
      <c r="D1878" s="13" t="s">
        <v>23</v>
      </c>
      <c r="E1878" s="17" t="s">
        <v>19</v>
      </c>
      <c r="F1878" s="18">
        <v>0.01</v>
      </c>
      <c r="G1878" s="19">
        <f>VLOOKUP(D1878,upahbahan,3,FALSE)</f>
        <v>200000</v>
      </c>
      <c r="H1878" s="19">
        <f t="shared" si="185"/>
        <v>2000</v>
      </c>
      <c r="J1878" s="15"/>
      <c r="K1878" s="39"/>
    </row>
    <row r="1879" spans="3:11" x14ac:dyDescent="0.3">
      <c r="C1879" s="21" t="s">
        <v>24</v>
      </c>
      <c r="D1879" s="22"/>
      <c r="E1879" s="22"/>
      <c r="F1879" s="54"/>
      <c r="G1879" s="24"/>
      <c r="H1879" s="19">
        <f>SUM(H1875:H1878)</f>
        <v>68360</v>
      </c>
      <c r="I1879" s="25"/>
      <c r="J1879" s="15"/>
      <c r="K1879" s="39"/>
    </row>
    <row r="1880" spans="3:11" x14ac:dyDescent="0.25">
      <c r="C1880" s="12" t="s">
        <v>25</v>
      </c>
      <c r="D1880" s="13" t="s">
        <v>26</v>
      </c>
      <c r="E1880" s="14"/>
      <c r="F1880" s="55"/>
      <c r="G1880" s="14"/>
      <c r="H1880" s="14"/>
      <c r="J1880" s="15"/>
      <c r="K1880" s="39"/>
    </row>
    <row r="1881" spans="3:11" x14ac:dyDescent="0.3">
      <c r="C1881" s="63" t="s">
        <v>202</v>
      </c>
      <c r="D1881" s="26" t="s">
        <v>378</v>
      </c>
      <c r="E1881" s="27" t="s">
        <v>28</v>
      </c>
      <c r="F1881" s="18">
        <v>1.2</v>
      </c>
      <c r="G1881" s="19">
        <f>VLOOKUP(D1881,upahbahan,3,FALSE)</f>
        <v>1187650</v>
      </c>
      <c r="H1881" s="19">
        <f t="shared" ref="H1881" si="186">F1881*G1881</f>
        <v>1425180</v>
      </c>
      <c r="J1881" s="15"/>
      <c r="K1881" s="39"/>
    </row>
    <row r="1882" spans="3:11" x14ac:dyDescent="0.3">
      <c r="C1882" s="21" t="s">
        <v>29</v>
      </c>
      <c r="D1882" s="22"/>
      <c r="E1882" s="22"/>
      <c r="F1882" s="22"/>
      <c r="G1882" s="28"/>
      <c r="H1882" s="19">
        <f>SUM(H1881:H1881)</f>
        <v>1425180</v>
      </c>
      <c r="J1882" s="15"/>
      <c r="K1882" s="39"/>
    </row>
    <row r="1883" spans="3:11" x14ac:dyDescent="0.25">
      <c r="C1883" s="12" t="s">
        <v>30</v>
      </c>
      <c r="D1883" s="13" t="s">
        <v>31</v>
      </c>
      <c r="E1883" s="14"/>
      <c r="F1883" s="14"/>
      <c r="G1883" s="14"/>
      <c r="H1883" s="14"/>
      <c r="J1883" s="15"/>
      <c r="K1883" s="39"/>
    </row>
    <row r="1884" spans="3:11" x14ac:dyDescent="0.3">
      <c r="C1884" s="21" t="s">
        <v>32</v>
      </c>
      <c r="D1884" s="22"/>
      <c r="E1884" s="22"/>
      <c r="F1884" s="22"/>
      <c r="G1884" s="28"/>
      <c r="H1884" s="29">
        <v>0</v>
      </c>
      <c r="J1884" s="15"/>
      <c r="K1884" s="39"/>
    </row>
    <row r="1885" spans="3:11" x14ac:dyDescent="0.3">
      <c r="C1885" s="30" t="s">
        <v>33</v>
      </c>
      <c r="D1885" s="31" t="s">
        <v>34</v>
      </c>
      <c r="E1885" s="32"/>
      <c r="F1885" s="32"/>
      <c r="G1885" s="33"/>
      <c r="H1885" s="46">
        <f>H1884+H1882+H1879</f>
        <v>1493540</v>
      </c>
      <c r="I1885" s="47"/>
      <c r="J1885" s="15"/>
      <c r="K1885" s="39"/>
    </row>
    <row r="1886" spans="3:11" x14ac:dyDescent="0.3">
      <c r="C1886" s="30" t="s">
        <v>35</v>
      </c>
      <c r="D1886" s="31" t="s">
        <v>36</v>
      </c>
      <c r="E1886" s="32"/>
      <c r="F1886" s="33"/>
      <c r="G1886" s="34">
        <f>$M$9</f>
        <v>0.1</v>
      </c>
      <c r="H1886" s="19">
        <f>H1885*G1886</f>
        <v>149354</v>
      </c>
      <c r="I1886" s="47"/>
      <c r="J1886" s="15"/>
      <c r="K1886" s="39"/>
    </row>
    <row r="1887" spans="3:11" x14ac:dyDescent="0.3">
      <c r="C1887" s="30" t="s">
        <v>37</v>
      </c>
      <c r="D1887" s="31" t="s">
        <v>38</v>
      </c>
      <c r="E1887" s="32"/>
      <c r="F1887" s="32"/>
      <c r="G1887" s="33"/>
      <c r="H1887" s="48">
        <f>SUM(H1885:H1886)</f>
        <v>1642894</v>
      </c>
      <c r="I1887" s="47"/>
      <c r="J1887" s="15"/>
      <c r="K1887" s="39"/>
    </row>
    <row r="1888" spans="3:11" x14ac:dyDescent="0.3">
      <c r="J1888" s="15"/>
      <c r="K1888" s="39"/>
    </row>
    <row r="1889" spans="3:11" x14ac:dyDescent="0.3">
      <c r="C1889" s="56" t="s">
        <v>379</v>
      </c>
      <c r="D1889" s="69" t="s">
        <v>380</v>
      </c>
      <c r="E1889" s="58"/>
      <c r="F1889" s="58"/>
      <c r="G1889" s="58"/>
      <c r="H1889" s="58"/>
      <c r="I1889" s="10">
        <f>ROUNDDOWN(H1904,0)</f>
        <v>2041479</v>
      </c>
      <c r="J1889" s="15"/>
      <c r="K1889" s="39"/>
    </row>
    <row r="1890" spans="3:11" ht="27.6" x14ac:dyDescent="0.3">
      <c r="C1890" s="11" t="s">
        <v>9</v>
      </c>
      <c r="D1890" s="11" t="s">
        <v>10</v>
      </c>
      <c r="E1890" s="11" t="s">
        <v>11</v>
      </c>
      <c r="F1890" s="11" t="s">
        <v>12</v>
      </c>
      <c r="G1890" s="11" t="s">
        <v>13</v>
      </c>
      <c r="H1890" s="11" t="s">
        <v>14</v>
      </c>
      <c r="J1890" s="15"/>
      <c r="K1890" s="39"/>
    </row>
    <row r="1891" spans="3:11" x14ac:dyDescent="0.25">
      <c r="C1891" s="12" t="s">
        <v>15</v>
      </c>
      <c r="D1891" s="13" t="s">
        <v>16</v>
      </c>
      <c r="E1891" s="14"/>
      <c r="F1891" s="14"/>
      <c r="G1891" s="14"/>
      <c r="H1891" s="14"/>
      <c r="J1891" s="15"/>
      <c r="K1891" s="39"/>
    </row>
    <row r="1892" spans="3:11" x14ac:dyDescent="0.3">
      <c r="C1892" s="16">
        <v>1</v>
      </c>
      <c r="D1892" s="13" t="s">
        <v>18</v>
      </c>
      <c r="E1892" s="17" t="s">
        <v>19</v>
      </c>
      <c r="F1892" s="18">
        <v>0.23799999999999999</v>
      </c>
      <c r="G1892" s="19">
        <f>VLOOKUP(D1892,upahbahan,3,FALSE)</f>
        <v>100000</v>
      </c>
      <c r="H1892" s="19">
        <f t="shared" ref="H1892:H1895" si="187">F1892*G1892</f>
        <v>23800</v>
      </c>
      <c r="J1892" s="15"/>
      <c r="K1892" s="39"/>
    </row>
    <row r="1893" spans="3:11" x14ac:dyDescent="0.3">
      <c r="C1893" s="16">
        <v>2</v>
      </c>
      <c r="D1893" s="13" t="str">
        <f>D1876</f>
        <v>Tukang listrik</v>
      </c>
      <c r="E1893" s="17" t="s">
        <v>19</v>
      </c>
      <c r="F1893" s="18">
        <v>0.39800000000000002</v>
      </c>
      <c r="G1893" s="19">
        <f>VLOOKUP(D1893,upahbahan,3,FALSE)</f>
        <v>145000</v>
      </c>
      <c r="H1893" s="19">
        <f t="shared" si="187"/>
        <v>57710</v>
      </c>
      <c r="J1893" s="15"/>
      <c r="K1893" s="39"/>
    </row>
    <row r="1894" spans="3:11" x14ac:dyDescent="0.3">
      <c r="C1894" s="16">
        <v>3</v>
      </c>
      <c r="D1894" s="13" t="s">
        <v>22</v>
      </c>
      <c r="E1894" s="17" t="s">
        <v>19</v>
      </c>
      <c r="F1894" s="18">
        <v>0.04</v>
      </c>
      <c r="G1894" s="19">
        <f>VLOOKUP(D1894,upahbahan,3,FALSE)</f>
        <v>175000</v>
      </c>
      <c r="H1894" s="19">
        <f t="shared" si="187"/>
        <v>7000</v>
      </c>
      <c r="J1894" s="15"/>
      <c r="K1894" s="39"/>
    </row>
    <row r="1895" spans="3:11" x14ac:dyDescent="0.3">
      <c r="C1895" s="16">
        <v>4</v>
      </c>
      <c r="D1895" s="13" t="s">
        <v>23</v>
      </c>
      <c r="E1895" s="17" t="s">
        <v>19</v>
      </c>
      <c r="F1895" s="18">
        <v>1.2999999999999999E-2</v>
      </c>
      <c r="G1895" s="19">
        <f>VLOOKUP(D1895,upahbahan,3,FALSE)</f>
        <v>200000</v>
      </c>
      <c r="H1895" s="19">
        <f t="shared" si="187"/>
        <v>2600</v>
      </c>
      <c r="J1895" s="15"/>
      <c r="K1895" s="39"/>
    </row>
    <row r="1896" spans="3:11" x14ac:dyDescent="0.3">
      <c r="C1896" s="21" t="s">
        <v>24</v>
      </c>
      <c r="D1896" s="22"/>
      <c r="E1896" s="22"/>
      <c r="F1896" s="54"/>
      <c r="G1896" s="24"/>
      <c r="H1896" s="19">
        <f>SUM(H1892:H1895)</f>
        <v>91110</v>
      </c>
      <c r="I1896" s="25"/>
      <c r="J1896" s="15"/>
      <c r="K1896" s="39"/>
    </row>
    <row r="1897" spans="3:11" x14ac:dyDescent="0.25">
      <c r="C1897" s="12" t="s">
        <v>25</v>
      </c>
      <c r="D1897" s="13" t="s">
        <v>26</v>
      </c>
      <c r="E1897" s="14"/>
      <c r="F1897" s="55"/>
      <c r="G1897" s="14"/>
      <c r="H1897" s="14"/>
      <c r="J1897" s="15"/>
      <c r="K1897" s="39"/>
    </row>
    <row r="1898" spans="3:11" x14ac:dyDescent="0.3">
      <c r="C1898" s="63" t="s">
        <v>202</v>
      </c>
      <c r="D1898" s="26" t="s">
        <v>381</v>
      </c>
      <c r="E1898" s="27" t="s">
        <v>28</v>
      </c>
      <c r="F1898" s="18">
        <v>1.2</v>
      </c>
      <c r="G1898" s="19">
        <f>VLOOKUP(D1898,upahbahan,3,FALSE)</f>
        <v>1470650</v>
      </c>
      <c r="H1898" s="19">
        <f t="shared" ref="H1898" si="188">F1898*G1898</f>
        <v>1764780</v>
      </c>
      <c r="J1898" s="15"/>
      <c r="K1898" s="39"/>
    </row>
    <row r="1899" spans="3:11" x14ac:dyDescent="0.3">
      <c r="C1899" s="21" t="s">
        <v>29</v>
      </c>
      <c r="D1899" s="22"/>
      <c r="E1899" s="22"/>
      <c r="F1899" s="22"/>
      <c r="G1899" s="28"/>
      <c r="H1899" s="19">
        <f>SUM(H1898:H1898)</f>
        <v>1764780</v>
      </c>
      <c r="J1899" s="15"/>
      <c r="K1899" s="39"/>
    </row>
    <row r="1900" spans="3:11" x14ac:dyDescent="0.25">
      <c r="C1900" s="12" t="s">
        <v>30</v>
      </c>
      <c r="D1900" s="13" t="s">
        <v>31</v>
      </c>
      <c r="E1900" s="14"/>
      <c r="F1900" s="14"/>
      <c r="G1900" s="14"/>
      <c r="H1900" s="14"/>
      <c r="J1900" s="15"/>
      <c r="K1900" s="39"/>
    </row>
    <row r="1901" spans="3:11" x14ac:dyDescent="0.3">
      <c r="C1901" s="21" t="s">
        <v>32</v>
      </c>
      <c r="D1901" s="22"/>
      <c r="E1901" s="22"/>
      <c r="F1901" s="22"/>
      <c r="G1901" s="28"/>
      <c r="H1901" s="29">
        <v>0</v>
      </c>
      <c r="J1901" s="15"/>
      <c r="K1901" s="39"/>
    </row>
    <row r="1902" spans="3:11" x14ac:dyDescent="0.3">
      <c r="C1902" s="30" t="s">
        <v>33</v>
      </c>
      <c r="D1902" s="31" t="s">
        <v>34</v>
      </c>
      <c r="E1902" s="32"/>
      <c r="F1902" s="32"/>
      <c r="G1902" s="33"/>
      <c r="H1902" s="46">
        <f>H1901+H1899+H1896</f>
        <v>1855890</v>
      </c>
      <c r="I1902" s="47"/>
      <c r="J1902" s="15"/>
      <c r="K1902" s="39"/>
    </row>
    <row r="1903" spans="3:11" x14ac:dyDescent="0.3">
      <c r="C1903" s="30" t="s">
        <v>35</v>
      </c>
      <c r="D1903" s="31" t="s">
        <v>36</v>
      </c>
      <c r="E1903" s="32"/>
      <c r="F1903" s="33"/>
      <c r="G1903" s="34">
        <f>$M$9</f>
        <v>0.1</v>
      </c>
      <c r="H1903" s="19">
        <f>H1902*G1903</f>
        <v>185589</v>
      </c>
      <c r="I1903" s="47"/>
      <c r="J1903" s="15"/>
      <c r="K1903" s="39"/>
    </row>
    <row r="1904" spans="3:11" x14ac:dyDescent="0.3">
      <c r="C1904" s="30" t="s">
        <v>37</v>
      </c>
      <c r="D1904" s="31" t="s">
        <v>38</v>
      </c>
      <c r="E1904" s="32"/>
      <c r="F1904" s="32"/>
      <c r="G1904" s="33"/>
      <c r="H1904" s="48">
        <f>SUM(H1902:H1903)</f>
        <v>2041479</v>
      </c>
      <c r="I1904" s="47"/>
      <c r="J1904" s="15"/>
      <c r="K1904" s="39"/>
    </row>
    <row r="1905" spans="3:11" x14ac:dyDescent="0.3">
      <c r="J1905" s="15"/>
      <c r="K1905" s="39"/>
    </row>
    <row r="1906" spans="3:11" x14ac:dyDescent="0.3">
      <c r="C1906" s="40" t="s">
        <v>382</v>
      </c>
      <c r="D1906" s="68" t="s">
        <v>383</v>
      </c>
      <c r="E1906" s="44"/>
      <c r="F1906" s="44"/>
      <c r="G1906" s="44"/>
      <c r="H1906" s="44"/>
      <c r="I1906" s="10">
        <f>ROUNDDOWN(H1921,0)</f>
        <v>2636601</v>
      </c>
      <c r="J1906" s="15"/>
      <c r="K1906" s="39"/>
    </row>
    <row r="1907" spans="3:11" ht="27.6" x14ac:dyDescent="0.3">
      <c r="C1907" s="11" t="s">
        <v>9</v>
      </c>
      <c r="D1907" s="11" t="s">
        <v>10</v>
      </c>
      <c r="E1907" s="11" t="s">
        <v>11</v>
      </c>
      <c r="F1907" s="11" t="s">
        <v>12</v>
      </c>
      <c r="G1907" s="11" t="s">
        <v>13</v>
      </c>
      <c r="H1907" s="11" t="s">
        <v>14</v>
      </c>
      <c r="J1907" s="15"/>
      <c r="K1907" s="39"/>
    </row>
    <row r="1908" spans="3:11" x14ac:dyDescent="0.25">
      <c r="C1908" s="12" t="s">
        <v>15</v>
      </c>
      <c r="D1908" s="13" t="s">
        <v>16</v>
      </c>
      <c r="E1908" s="14"/>
      <c r="F1908" s="14"/>
      <c r="G1908" s="14"/>
      <c r="H1908" s="14"/>
      <c r="J1908" s="15"/>
      <c r="K1908" s="39"/>
    </row>
    <row r="1909" spans="3:11" x14ac:dyDescent="0.3">
      <c r="C1909" s="16">
        <v>1</v>
      </c>
      <c r="D1909" s="13" t="s">
        <v>18</v>
      </c>
      <c r="E1909" s="17" t="s">
        <v>19</v>
      </c>
      <c r="F1909" s="18">
        <v>0.23799999999999999</v>
      </c>
      <c r="G1909" s="19">
        <f>VLOOKUP(D1909,upahbahan,3,FALSE)</f>
        <v>100000</v>
      </c>
      <c r="H1909" s="19">
        <f t="shared" ref="H1909:H1912" si="189">F1909*G1909</f>
        <v>23800</v>
      </c>
      <c r="J1909" s="15"/>
      <c r="K1909" s="39"/>
    </row>
    <row r="1910" spans="3:11" x14ac:dyDescent="0.3">
      <c r="C1910" s="16">
        <v>2</v>
      </c>
      <c r="D1910" s="13" t="str">
        <f>D1893</f>
        <v>Tukang listrik</v>
      </c>
      <c r="E1910" s="17" t="s">
        <v>19</v>
      </c>
      <c r="F1910" s="18">
        <v>0.39800000000000002</v>
      </c>
      <c r="G1910" s="19">
        <f>VLOOKUP(D1910,upahbahan,3,FALSE)</f>
        <v>145000</v>
      </c>
      <c r="H1910" s="19">
        <f t="shared" si="189"/>
        <v>57710</v>
      </c>
      <c r="J1910" s="15"/>
      <c r="K1910" s="39"/>
    </row>
    <row r="1911" spans="3:11" x14ac:dyDescent="0.3">
      <c r="C1911" s="16">
        <v>3</v>
      </c>
      <c r="D1911" s="13" t="s">
        <v>22</v>
      </c>
      <c r="E1911" s="17" t="s">
        <v>19</v>
      </c>
      <c r="F1911" s="18">
        <v>0.04</v>
      </c>
      <c r="G1911" s="19">
        <f>VLOOKUP(D1911,upahbahan,3,FALSE)</f>
        <v>175000</v>
      </c>
      <c r="H1911" s="19">
        <f t="shared" si="189"/>
        <v>7000</v>
      </c>
      <c r="J1911" s="15"/>
      <c r="K1911" s="39"/>
    </row>
    <row r="1912" spans="3:11" x14ac:dyDescent="0.3">
      <c r="C1912" s="16">
        <v>4</v>
      </c>
      <c r="D1912" s="13" t="s">
        <v>23</v>
      </c>
      <c r="E1912" s="17" t="s">
        <v>19</v>
      </c>
      <c r="F1912" s="18">
        <v>1.2999999999999999E-2</v>
      </c>
      <c r="G1912" s="19">
        <f>VLOOKUP(D1912,upahbahan,3,FALSE)</f>
        <v>200000</v>
      </c>
      <c r="H1912" s="19">
        <f t="shared" si="189"/>
        <v>2600</v>
      </c>
      <c r="J1912" s="15"/>
      <c r="K1912" s="39"/>
    </row>
    <row r="1913" spans="3:11" x14ac:dyDescent="0.3">
      <c r="C1913" s="21" t="s">
        <v>24</v>
      </c>
      <c r="D1913" s="22"/>
      <c r="E1913" s="22"/>
      <c r="F1913" s="54"/>
      <c r="G1913" s="24"/>
      <c r="H1913" s="19">
        <f>SUM(H1909:H1912)</f>
        <v>91110</v>
      </c>
      <c r="I1913" s="25"/>
      <c r="J1913" s="15"/>
      <c r="K1913" s="39"/>
    </row>
    <row r="1914" spans="3:11" x14ac:dyDescent="0.25">
      <c r="C1914" s="12" t="s">
        <v>25</v>
      </c>
      <c r="D1914" s="13" t="s">
        <v>26</v>
      </c>
      <c r="E1914" s="14"/>
      <c r="F1914" s="55"/>
      <c r="G1914" s="14"/>
      <c r="H1914" s="14"/>
      <c r="J1914" s="15"/>
      <c r="K1914" s="39"/>
    </row>
    <row r="1915" spans="3:11" x14ac:dyDescent="0.3">
      <c r="C1915" s="63" t="s">
        <v>202</v>
      </c>
      <c r="D1915" s="26" t="s">
        <v>384</v>
      </c>
      <c r="E1915" s="27" t="s">
        <v>28</v>
      </c>
      <c r="F1915" s="18">
        <v>1.2</v>
      </c>
      <c r="G1915" s="19">
        <f>VLOOKUP(D1915,upahbahan,3,FALSE)</f>
        <v>1921500</v>
      </c>
      <c r="H1915" s="19">
        <f t="shared" ref="H1915" si="190">F1915*G1915</f>
        <v>2305800</v>
      </c>
      <c r="J1915" s="15"/>
      <c r="K1915" s="39"/>
    </row>
    <row r="1916" spans="3:11" x14ac:dyDescent="0.3">
      <c r="C1916" s="21" t="s">
        <v>29</v>
      </c>
      <c r="D1916" s="22"/>
      <c r="E1916" s="22"/>
      <c r="F1916" s="22"/>
      <c r="G1916" s="28"/>
      <c r="H1916" s="19">
        <f>SUM(H1915:H1915)</f>
        <v>2305800</v>
      </c>
      <c r="J1916" s="15"/>
      <c r="K1916" s="39"/>
    </row>
    <row r="1917" spans="3:11" x14ac:dyDescent="0.25">
      <c r="C1917" s="12" t="s">
        <v>30</v>
      </c>
      <c r="D1917" s="13" t="s">
        <v>31</v>
      </c>
      <c r="E1917" s="14"/>
      <c r="F1917" s="14"/>
      <c r="G1917" s="14"/>
      <c r="H1917" s="14"/>
      <c r="J1917" s="15"/>
      <c r="K1917" s="39"/>
    </row>
    <row r="1918" spans="3:11" x14ac:dyDescent="0.3">
      <c r="C1918" s="21" t="s">
        <v>32</v>
      </c>
      <c r="D1918" s="22"/>
      <c r="E1918" s="22"/>
      <c r="F1918" s="22"/>
      <c r="G1918" s="28"/>
      <c r="H1918" s="29">
        <v>0</v>
      </c>
      <c r="J1918" s="15"/>
      <c r="K1918" s="39"/>
    </row>
    <row r="1919" spans="3:11" x14ac:dyDescent="0.3">
      <c r="C1919" s="30" t="s">
        <v>33</v>
      </c>
      <c r="D1919" s="31" t="s">
        <v>34</v>
      </c>
      <c r="E1919" s="32"/>
      <c r="F1919" s="32"/>
      <c r="G1919" s="33"/>
      <c r="H1919" s="46">
        <f>H1918+H1916+H1913</f>
        <v>2396910</v>
      </c>
      <c r="I1919" s="47"/>
      <c r="J1919" s="15"/>
      <c r="K1919" s="39"/>
    </row>
    <row r="1920" spans="3:11" x14ac:dyDescent="0.3">
      <c r="C1920" s="30" t="s">
        <v>35</v>
      </c>
      <c r="D1920" s="31" t="s">
        <v>36</v>
      </c>
      <c r="E1920" s="32"/>
      <c r="F1920" s="33"/>
      <c r="G1920" s="34">
        <f>$M$9</f>
        <v>0.1</v>
      </c>
      <c r="H1920" s="19">
        <f>H1919*G1920</f>
        <v>239691</v>
      </c>
      <c r="I1920" s="47"/>
      <c r="J1920" s="15"/>
      <c r="K1920" s="39"/>
    </row>
    <row r="1921" spans="3:11" x14ac:dyDescent="0.3">
      <c r="C1921" s="30" t="s">
        <v>37</v>
      </c>
      <c r="D1921" s="31" t="s">
        <v>38</v>
      </c>
      <c r="E1921" s="32"/>
      <c r="F1921" s="32"/>
      <c r="G1921" s="33"/>
      <c r="H1921" s="48">
        <f>SUM(H1919:H1920)</f>
        <v>2636601</v>
      </c>
      <c r="I1921" s="47"/>
      <c r="J1921" s="15"/>
      <c r="K1921" s="39"/>
    </row>
    <row r="1922" spans="3:11" x14ac:dyDescent="0.3">
      <c r="J1922" s="15"/>
      <c r="K1922" s="39"/>
    </row>
    <row r="1923" spans="3:11" x14ac:dyDescent="0.3">
      <c r="C1923" s="40" t="s">
        <v>385</v>
      </c>
      <c r="D1923" s="68" t="s">
        <v>386</v>
      </c>
      <c r="E1923" s="44"/>
      <c r="F1923" s="44"/>
      <c r="G1923" s="44"/>
      <c r="H1923" s="44"/>
      <c r="I1923" s="10">
        <f>ROUNDDOWN(H1938,0)</f>
        <v>3257991</v>
      </c>
      <c r="J1923" s="15"/>
      <c r="K1923" s="39"/>
    </row>
    <row r="1924" spans="3:11" ht="27.6" x14ac:dyDescent="0.3">
      <c r="C1924" s="11" t="s">
        <v>9</v>
      </c>
      <c r="D1924" s="11" t="s">
        <v>10</v>
      </c>
      <c r="E1924" s="11" t="s">
        <v>11</v>
      </c>
      <c r="F1924" s="11" t="s">
        <v>12</v>
      </c>
      <c r="G1924" s="11" t="s">
        <v>13</v>
      </c>
      <c r="H1924" s="11" t="s">
        <v>14</v>
      </c>
      <c r="J1924" s="15"/>
      <c r="K1924" s="39"/>
    </row>
    <row r="1925" spans="3:11" x14ac:dyDescent="0.25">
      <c r="C1925" s="12" t="s">
        <v>15</v>
      </c>
      <c r="D1925" s="13" t="s">
        <v>16</v>
      </c>
      <c r="E1925" s="14"/>
      <c r="F1925" s="14"/>
      <c r="G1925" s="14"/>
      <c r="H1925" s="14"/>
      <c r="J1925" s="15"/>
      <c r="K1925" s="39"/>
    </row>
    <row r="1926" spans="3:11" x14ac:dyDescent="0.3">
      <c r="C1926" s="16">
        <v>1</v>
      </c>
      <c r="D1926" s="13" t="s">
        <v>18</v>
      </c>
      <c r="E1926" s="17" t="s">
        <v>19</v>
      </c>
      <c r="F1926" s="18">
        <v>0.23799999999999999</v>
      </c>
      <c r="G1926" s="19">
        <f>VLOOKUP(D1926,upahbahan,3,FALSE)</f>
        <v>100000</v>
      </c>
      <c r="H1926" s="19">
        <f t="shared" ref="H1926:H1929" si="191">F1926*G1926</f>
        <v>23800</v>
      </c>
      <c r="J1926" s="15"/>
      <c r="K1926" s="39"/>
    </row>
    <row r="1927" spans="3:11" x14ac:dyDescent="0.3">
      <c r="C1927" s="16">
        <v>2</v>
      </c>
      <c r="D1927" s="13" t="str">
        <f>D1910</f>
        <v>Tukang listrik</v>
      </c>
      <c r="E1927" s="17" t="s">
        <v>19</v>
      </c>
      <c r="F1927" s="18">
        <v>0.39800000000000002</v>
      </c>
      <c r="G1927" s="19">
        <f>VLOOKUP(D1927,upahbahan,3,FALSE)</f>
        <v>145000</v>
      </c>
      <c r="H1927" s="19">
        <f t="shared" si="191"/>
        <v>57710</v>
      </c>
      <c r="J1927" s="15"/>
      <c r="K1927" s="39"/>
    </row>
    <row r="1928" spans="3:11" x14ac:dyDescent="0.3">
      <c r="C1928" s="16">
        <v>3</v>
      </c>
      <c r="D1928" s="13" t="s">
        <v>22</v>
      </c>
      <c r="E1928" s="17" t="s">
        <v>19</v>
      </c>
      <c r="F1928" s="18">
        <v>0.04</v>
      </c>
      <c r="G1928" s="19">
        <f>VLOOKUP(D1928,upahbahan,3,FALSE)</f>
        <v>175000</v>
      </c>
      <c r="H1928" s="19">
        <f t="shared" si="191"/>
        <v>7000</v>
      </c>
      <c r="J1928" s="15"/>
      <c r="K1928" s="39"/>
    </row>
    <row r="1929" spans="3:11" x14ac:dyDescent="0.3">
      <c r="C1929" s="16">
        <v>4</v>
      </c>
      <c r="D1929" s="13" t="s">
        <v>23</v>
      </c>
      <c r="E1929" s="17" t="s">
        <v>19</v>
      </c>
      <c r="F1929" s="18">
        <v>1.2999999999999999E-2</v>
      </c>
      <c r="G1929" s="19">
        <f>VLOOKUP(D1929,upahbahan,3,FALSE)</f>
        <v>200000</v>
      </c>
      <c r="H1929" s="19">
        <f t="shared" si="191"/>
        <v>2600</v>
      </c>
      <c r="J1929" s="15"/>
      <c r="K1929" s="39"/>
    </row>
    <row r="1930" spans="3:11" x14ac:dyDescent="0.3">
      <c r="C1930" s="21" t="s">
        <v>24</v>
      </c>
      <c r="D1930" s="22"/>
      <c r="E1930" s="22"/>
      <c r="F1930" s="54"/>
      <c r="G1930" s="24"/>
      <c r="H1930" s="19">
        <f>SUM(H1926:H1929)</f>
        <v>91110</v>
      </c>
      <c r="I1930" s="25"/>
      <c r="J1930" s="15"/>
      <c r="K1930" s="39"/>
    </row>
    <row r="1931" spans="3:11" x14ac:dyDescent="0.25">
      <c r="C1931" s="12" t="s">
        <v>25</v>
      </c>
      <c r="D1931" s="13" t="s">
        <v>26</v>
      </c>
      <c r="E1931" s="14"/>
      <c r="F1931" s="55"/>
      <c r="G1931" s="14"/>
      <c r="H1931" s="14"/>
      <c r="J1931" s="15"/>
      <c r="K1931" s="39"/>
    </row>
    <row r="1932" spans="3:11" x14ac:dyDescent="0.3">
      <c r="C1932" s="63" t="s">
        <v>202</v>
      </c>
      <c r="D1932" s="26" t="s">
        <v>387</v>
      </c>
      <c r="E1932" s="27" t="s">
        <v>28</v>
      </c>
      <c r="F1932" s="18">
        <v>1.2</v>
      </c>
      <c r="G1932" s="19">
        <f>VLOOKUP(D1932,upahbahan,3,FALSE)</f>
        <v>2392250</v>
      </c>
      <c r="H1932" s="19">
        <f t="shared" ref="H1932" si="192">F1932*G1932</f>
        <v>2870700</v>
      </c>
      <c r="J1932" s="15"/>
      <c r="K1932" s="39"/>
    </row>
    <row r="1933" spans="3:11" x14ac:dyDescent="0.3">
      <c r="C1933" s="21" t="s">
        <v>29</v>
      </c>
      <c r="D1933" s="22"/>
      <c r="E1933" s="22"/>
      <c r="F1933" s="22"/>
      <c r="G1933" s="28"/>
      <c r="H1933" s="19">
        <f>SUM(H1932:H1932)</f>
        <v>2870700</v>
      </c>
      <c r="J1933" s="15"/>
      <c r="K1933" s="39"/>
    </row>
    <row r="1934" spans="3:11" x14ac:dyDescent="0.25">
      <c r="C1934" s="12" t="s">
        <v>30</v>
      </c>
      <c r="D1934" s="13" t="s">
        <v>31</v>
      </c>
      <c r="E1934" s="14"/>
      <c r="F1934" s="14"/>
      <c r="G1934" s="14"/>
      <c r="H1934" s="14"/>
      <c r="J1934" s="15"/>
      <c r="K1934" s="39"/>
    </row>
    <row r="1935" spans="3:11" x14ac:dyDescent="0.3">
      <c r="C1935" s="21" t="s">
        <v>32</v>
      </c>
      <c r="D1935" s="22"/>
      <c r="E1935" s="22"/>
      <c r="F1935" s="22"/>
      <c r="G1935" s="28"/>
      <c r="H1935" s="29">
        <v>0</v>
      </c>
      <c r="J1935" s="15"/>
      <c r="K1935" s="39"/>
    </row>
    <row r="1936" spans="3:11" x14ac:dyDescent="0.3">
      <c r="C1936" s="30" t="s">
        <v>33</v>
      </c>
      <c r="D1936" s="31" t="s">
        <v>34</v>
      </c>
      <c r="E1936" s="32"/>
      <c r="F1936" s="32"/>
      <c r="G1936" s="33"/>
      <c r="H1936" s="46">
        <f>H1935+H1933+H1930</f>
        <v>2961810</v>
      </c>
      <c r="I1936" s="47"/>
      <c r="J1936" s="15"/>
      <c r="K1936" s="39"/>
    </row>
    <row r="1937" spans="3:11" x14ac:dyDescent="0.3">
      <c r="C1937" s="30" t="s">
        <v>35</v>
      </c>
      <c r="D1937" s="31" t="s">
        <v>36</v>
      </c>
      <c r="E1937" s="32"/>
      <c r="F1937" s="33"/>
      <c r="G1937" s="34">
        <f>$M$9</f>
        <v>0.1</v>
      </c>
      <c r="H1937" s="19">
        <f>H1936*G1937</f>
        <v>296181</v>
      </c>
      <c r="I1937" s="47"/>
      <c r="J1937" s="15"/>
      <c r="K1937" s="39"/>
    </row>
    <row r="1938" spans="3:11" x14ac:dyDescent="0.3">
      <c r="C1938" s="30" t="s">
        <v>37</v>
      </c>
      <c r="D1938" s="31" t="s">
        <v>38</v>
      </c>
      <c r="E1938" s="32"/>
      <c r="F1938" s="32"/>
      <c r="G1938" s="33"/>
      <c r="H1938" s="48">
        <f>SUM(H1936:H1937)</f>
        <v>3257991</v>
      </c>
      <c r="I1938" s="47"/>
      <c r="J1938" s="15"/>
      <c r="K1938" s="39"/>
    </row>
    <row r="1939" spans="3:11" x14ac:dyDescent="0.3">
      <c r="J1939" s="15"/>
      <c r="K1939" s="39"/>
    </row>
    <row r="1940" spans="3:11" x14ac:dyDescent="0.3">
      <c r="C1940" s="2" t="s">
        <v>388</v>
      </c>
      <c r="D1940" s="2" t="s">
        <v>389</v>
      </c>
      <c r="J1940" s="15"/>
      <c r="K1940" s="39"/>
    </row>
    <row r="1941" spans="3:11" x14ac:dyDescent="0.3">
      <c r="C1941" s="40" t="s">
        <v>390</v>
      </c>
      <c r="D1941" s="68" t="s">
        <v>391</v>
      </c>
      <c r="E1941" s="44"/>
      <c r="F1941" s="44"/>
      <c r="G1941" s="44"/>
      <c r="H1941" s="44"/>
      <c r="I1941" s="10">
        <f>ROUNDDOWN(H1956,0)</f>
        <v>60610</v>
      </c>
      <c r="J1941" s="15"/>
      <c r="K1941" s="39"/>
    </row>
    <row r="1942" spans="3:11" ht="27.6" x14ac:dyDescent="0.3">
      <c r="C1942" s="11" t="s">
        <v>9</v>
      </c>
      <c r="D1942" s="11" t="s">
        <v>10</v>
      </c>
      <c r="E1942" s="11" t="s">
        <v>11</v>
      </c>
      <c r="F1942" s="11" t="s">
        <v>12</v>
      </c>
      <c r="G1942" s="11" t="s">
        <v>13</v>
      </c>
      <c r="H1942" s="11" t="s">
        <v>14</v>
      </c>
      <c r="J1942" s="15"/>
      <c r="K1942" s="39"/>
    </row>
    <row r="1943" spans="3:11" x14ac:dyDescent="0.25">
      <c r="C1943" s="12" t="s">
        <v>15</v>
      </c>
      <c r="D1943" s="13" t="s">
        <v>16</v>
      </c>
      <c r="E1943" s="14"/>
      <c r="F1943" s="14"/>
      <c r="G1943" s="14"/>
      <c r="H1943" s="14"/>
      <c r="J1943" s="15"/>
      <c r="K1943" s="39"/>
    </row>
    <row r="1944" spans="3:11" x14ac:dyDescent="0.3">
      <c r="C1944" s="16">
        <v>1</v>
      </c>
      <c r="D1944" s="13" t="s">
        <v>18</v>
      </c>
      <c r="E1944" s="17" t="s">
        <v>19</v>
      </c>
      <c r="F1944" s="18">
        <v>2.4E-2</v>
      </c>
      <c r="G1944" s="19">
        <f>VLOOKUP(D1944,upahbahan,3,FALSE)</f>
        <v>100000</v>
      </c>
      <c r="H1944" s="19">
        <f t="shared" ref="H1944:H1947" si="193">F1944*G1944</f>
        <v>2400</v>
      </c>
      <c r="J1944" s="15"/>
      <c r="K1944" s="39"/>
    </row>
    <row r="1945" spans="3:11" x14ac:dyDescent="0.3">
      <c r="C1945" s="16">
        <v>2</v>
      </c>
      <c r="D1945" s="13" t="str">
        <f>D1927</f>
        <v>Tukang listrik</v>
      </c>
      <c r="E1945" s="17" t="s">
        <v>19</v>
      </c>
      <c r="F1945" s="18">
        <v>0.04</v>
      </c>
      <c r="G1945" s="19">
        <f>VLOOKUP(D1945,upahbahan,3,FALSE)</f>
        <v>145000</v>
      </c>
      <c r="H1945" s="19">
        <f t="shared" si="193"/>
        <v>5800</v>
      </c>
      <c r="J1945" s="15"/>
      <c r="K1945" s="39"/>
    </row>
    <row r="1946" spans="3:11" x14ac:dyDescent="0.3">
      <c r="C1946" s="16">
        <v>3</v>
      </c>
      <c r="D1946" s="13" t="s">
        <v>22</v>
      </c>
      <c r="E1946" s="17" t="s">
        <v>19</v>
      </c>
      <c r="F1946" s="18">
        <v>4.0000000000000001E-3</v>
      </c>
      <c r="G1946" s="19">
        <f>VLOOKUP(D1946,upahbahan,3,FALSE)</f>
        <v>175000</v>
      </c>
      <c r="H1946" s="19">
        <f t="shared" si="193"/>
        <v>700</v>
      </c>
      <c r="J1946" s="15"/>
      <c r="K1946" s="39"/>
    </row>
    <row r="1947" spans="3:11" x14ac:dyDescent="0.3">
      <c r="C1947" s="16">
        <v>4</v>
      </c>
      <c r="D1947" s="13" t="s">
        <v>23</v>
      </c>
      <c r="E1947" s="17" t="s">
        <v>19</v>
      </c>
      <c r="F1947" s="18">
        <v>1E-3</v>
      </c>
      <c r="G1947" s="19">
        <f>VLOOKUP(D1947,upahbahan,3,FALSE)</f>
        <v>200000</v>
      </c>
      <c r="H1947" s="19">
        <f t="shared" si="193"/>
        <v>200</v>
      </c>
      <c r="J1947" s="15"/>
      <c r="K1947" s="39"/>
    </row>
    <row r="1948" spans="3:11" x14ac:dyDescent="0.3">
      <c r="C1948" s="21" t="s">
        <v>24</v>
      </c>
      <c r="D1948" s="22"/>
      <c r="E1948" s="22"/>
      <c r="F1948" s="54"/>
      <c r="G1948" s="24"/>
      <c r="H1948" s="19">
        <f>SUM(H1944:H1947)</f>
        <v>9100</v>
      </c>
      <c r="I1948" s="25"/>
      <c r="J1948" s="15"/>
      <c r="K1948" s="39"/>
    </row>
    <row r="1949" spans="3:11" x14ac:dyDescent="0.25">
      <c r="C1949" s="12" t="s">
        <v>25</v>
      </c>
      <c r="D1949" s="13" t="s">
        <v>26</v>
      </c>
      <c r="E1949" s="14"/>
      <c r="F1949" s="55"/>
      <c r="G1949" s="14"/>
      <c r="H1949" s="14"/>
      <c r="J1949" s="15"/>
      <c r="K1949" s="39"/>
    </row>
    <row r="1950" spans="3:11" x14ac:dyDescent="0.3">
      <c r="C1950" s="63" t="s">
        <v>202</v>
      </c>
      <c r="D1950" s="26" t="s">
        <v>389</v>
      </c>
      <c r="E1950" s="27" t="s">
        <v>28</v>
      </c>
      <c r="F1950" s="18">
        <v>1.1499999999999999</v>
      </c>
      <c r="G1950" s="19">
        <f>VLOOKUP(D1950,upahbahan,3,FALSE)</f>
        <v>40000</v>
      </c>
      <c r="H1950" s="19">
        <f t="shared" ref="H1950" si="194">F1950*G1950</f>
        <v>46000</v>
      </c>
      <c r="J1950" s="15"/>
      <c r="K1950" s="39"/>
    </row>
    <row r="1951" spans="3:11" x14ac:dyDescent="0.3">
      <c r="C1951" s="21" t="s">
        <v>29</v>
      </c>
      <c r="D1951" s="22"/>
      <c r="E1951" s="22"/>
      <c r="F1951" s="22"/>
      <c r="G1951" s="28"/>
      <c r="H1951" s="19">
        <f>SUM(H1950:H1950)</f>
        <v>46000</v>
      </c>
      <c r="J1951" s="15"/>
      <c r="K1951" s="39"/>
    </row>
    <row r="1952" spans="3:11" x14ac:dyDescent="0.25">
      <c r="C1952" s="12" t="s">
        <v>30</v>
      </c>
      <c r="D1952" s="13" t="s">
        <v>31</v>
      </c>
      <c r="E1952" s="14"/>
      <c r="F1952" s="14"/>
      <c r="G1952" s="14"/>
      <c r="H1952" s="14"/>
      <c r="J1952" s="15"/>
      <c r="K1952" s="39"/>
    </row>
    <row r="1953" spans="3:11" x14ac:dyDescent="0.3">
      <c r="C1953" s="21" t="s">
        <v>32</v>
      </c>
      <c r="D1953" s="22"/>
      <c r="E1953" s="22"/>
      <c r="F1953" s="22"/>
      <c r="G1953" s="28"/>
      <c r="H1953" s="29">
        <v>0</v>
      </c>
      <c r="J1953" s="15"/>
      <c r="K1953" s="39"/>
    </row>
    <row r="1954" spans="3:11" x14ac:dyDescent="0.3">
      <c r="C1954" s="30" t="s">
        <v>33</v>
      </c>
      <c r="D1954" s="31" t="s">
        <v>34</v>
      </c>
      <c r="E1954" s="32"/>
      <c r="F1954" s="32"/>
      <c r="G1954" s="33"/>
      <c r="H1954" s="46">
        <f>H1953+H1951+H1948</f>
        <v>55100</v>
      </c>
      <c r="I1954" s="47"/>
      <c r="J1954" s="15"/>
      <c r="K1954" s="39"/>
    </row>
    <row r="1955" spans="3:11" x14ac:dyDescent="0.3">
      <c r="C1955" s="30" t="s">
        <v>35</v>
      </c>
      <c r="D1955" s="31" t="s">
        <v>36</v>
      </c>
      <c r="E1955" s="32"/>
      <c r="F1955" s="33"/>
      <c r="G1955" s="34">
        <f>$M$9</f>
        <v>0.1</v>
      </c>
      <c r="H1955" s="19">
        <f>H1954*G1955</f>
        <v>5510</v>
      </c>
      <c r="I1955" s="47"/>
      <c r="J1955" s="15"/>
      <c r="K1955" s="39"/>
    </row>
    <row r="1956" spans="3:11" x14ac:dyDescent="0.3">
      <c r="C1956" s="30" t="s">
        <v>37</v>
      </c>
      <c r="D1956" s="31" t="s">
        <v>38</v>
      </c>
      <c r="E1956" s="32"/>
      <c r="F1956" s="32"/>
      <c r="G1956" s="33"/>
      <c r="H1956" s="48">
        <f>SUM(H1954:H1955)</f>
        <v>60610</v>
      </c>
      <c r="I1956" s="47"/>
      <c r="J1956" s="15"/>
      <c r="K1956" s="39"/>
    </row>
    <row r="1957" spans="3:11" x14ac:dyDescent="0.3">
      <c r="J1957" s="15"/>
      <c r="K1957" s="39"/>
    </row>
    <row r="1958" spans="3:11" x14ac:dyDescent="0.3">
      <c r="C1958" s="40" t="s">
        <v>392</v>
      </c>
      <c r="D1958" s="68" t="s">
        <v>393</v>
      </c>
      <c r="E1958" s="44"/>
      <c r="F1958" s="44"/>
      <c r="G1958" s="44"/>
      <c r="H1958" s="44"/>
      <c r="I1958" s="10">
        <f>ROUNDDOWN(H1973,0)</f>
        <v>126098</v>
      </c>
      <c r="J1958" s="15"/>
      <c r="K1958" s="39"/>
    </row>
    <row r="1959" spans="3:11" ht="27.6" x14ac:dyDescent="0.3">
      <c r="C1959" s="11" t="s">
        <v>9</v>
      </c>
      <c r="D1959" s="11" t="s">
        <v>10</v>
      </c>
      <c r="E1959" s="11" t="s">
        <v>11</v>
      </c>
      <c r="F1959" s="11" t="s">
        <v>12</v>
      </c>
      <c r="G1959" s="11" t="s">
        <v>13</v>
      </c>
      <c r="H1959" s="11" t="s">
        <v>14</v>
      </c>
      <c r="J1959" s="15"/>
      <c r="K1959" s="39"/>
    </row>
    <row r="1960" spans="3:11" x14ac:dyDescent="0.25">
      <c r="C1960" s="12" t="s">
        <v>15</v>
      </c>
      <c r="D1960" s="13" t="s">
        <v>16</v>
      </c>
      <c r="E1960" s="14"/>
      <c r="F1960" s="14"/>
      <c r="G1960" s="14"/>
      <c r="H1960" s="14"/>
      <c r="J1960" s="15"/>
      <c r="K1960" s="39"/>
    </row>
    <row r="1961" spans="3:11" x14ac:dyDescent="0.3">
      <c r="C1961" s="16">
        <v>1</v>
      </c>
      <c r="D1961" s="13" t="s">
        <v>18</v>
      </c>
      <c r="E1961" s="17" t="s">
        <v>19</v>
      </c>
      <c r="F1961" s="49">
        <v>2.9000000000000001E-2</v>
      </c>
      <c r="G1961" s="19">
        <f>VLOOKUP(D1961,upahbahan,3,FALSE)</f>
        <v>100000</v>
      </c>
      <c r="H1961" s="19">
        <f t="shared" ref="H1961:H1964" si="195">F1961*G1961</f>
        <v>2900</v>
      </c>
      <c r="J1961" s="15"/>
      <c r="K1961" s="39"/>
    </row>
    <row r="1962" spans="3:11" x14ac:dyDescent="0.3">
      <c r="C1962" s="16">
        <v>2</v>
      </c>
      <c r="D1962" s="13" t="str">
        <f>D1945</f>
        <v>Tukang listrik</v>
      </c>
      <c r="E1962" s="17" t="s">
        <v>19</v>
      </c>
      <c r="F1962" s="49">
        <v>4.8000000000000001E-2</v>
      </c>
      <c r="G1962" s="19">
        <f>VLOOKUP(D1962,upahbahan,3,FALSE)</f>
        <v>145000</v>
      </c>
      <c r="H1962" s="19">
        <f t="shared" si="195"/>
        <v>6960</v>
      </c>
      <c r="J1962" s="15"/>
      <c r="K1962" s="39"/>
    </row>
    <row r="1963" spans="3:11" x14ac:dyDescent="0.3">
      <c r="C1963" s="16">
        <v>3</v>
      </c>
      <c r="D1963" s="13" t="s">
        <v>22</v>
      </c>
      <c r="E1963" s="17" t="s">
        <v>19</v>
      </c>
      <c r="F1963" s="49">
        <v>5.0000000000000001E-3</v>
      </c>
      <c r="G1963" s="19">
        <f>VLOOKUP(D1963,upahbahan,3,FALSE)</f>
        <v>175000</v>
      </c>
      <c r="H1963" s="19">
        <f t="shared" si="195"/>
        <v>875</v>
      </c>
      <c r="J1963" s="15"/>
      <c r="K1963" s="39"/>
    </row>
    <row r="1964" spans="3:11" x14ac:dyDescent="0.3">
      <c r="C1964" s="16">
        <v>4</v>
      </c>
      <c r="D1964" s="13" t="s">
        <v>23</v>
      </c>
      <c r="E1964" s="17" t="s">
        <v>19</v>
      </c>
      <c r="F1964" s="49">
        <v>2E-3</v>
      </c>
      <c r="G1964" s="19">
        <f>VLOOKUP(D1964,upahbahan,3,FALSE)</f>
        <v>200000</v>
      </c>
      <c r="H1964" s="19">
        <f t="shared" si="195"/>
        <v>400</v>
      </c>
      <c r="J1964" s="15"/>
      <c r="K1964" s="39"/>
    </row>
    <row r="1965" spans="3:11" x14ac:dyDescent="0.3">
      <c r="C1965" s="21" t="s">
        <v>24</v>
      </c>
      <c r="D1965" s="22"/>
      <c r="E1965" s="22"/>
      <c r="F1965" s="54"/>
      <c r="G1965" s="24"/>
      <c r="H1965" s="19">
        <f>SUM(H1961:H1964)</f>
        <v>11135</v>
      </c>
      <c r="I1965" s="25"/>
      <c r="J1965" s="15"/>
      <c r="K1965" s="39"/>
    </row>
    <row r="1966" spans="3:11" x14ac:dyDescent="0.25">
      <c r="C1966" s="12" t="s">
        <v>25</v>
      </c>
      <c r="D1966" s="13" t="s">
        <v>26</v>
      </c>
      <c r="E1966" s="14"/>
      <c r="F1966" s="55"/>
      <c r="G1966" s="14"/>
      <c r="H1966" s="14"/>
      <c r="J1966" s="15"/>
      <c r="K1966" s="39"/>
    </row>
    <row r="1967" spans="3:11" x14ac:dyDescent="0.3">
      <c r="C1967" s="63" t="s">
        <v>202</v>
      </c>
      <c r="D1967" s="26" t="s">
        <v>394</v>
      </c>
      <c r="E1967" s="27" t="s">
        <v>28</v>
      </c>
      <c r="F1967" s="49">
        <v>1.1499999999999999</v>
      </c>
      <c r="G1967" s="19">
        <f>VLOOKUP(D1967,upahbahan,3,FALSE)</f>
        <v>90000</v>
      </c>
      <c r="H1967" s="19">
        <f t="shared" ref="H1967" si="196">F1967*G1967</f>
        <v>103499.99999999999</v>
      </c>
      <c r="J1967" s="15"/>
      <c r="K1967" s="39"/>
    </row>
    <row r="1968" spans="3:11" x14ac:dyDescent="0.3">
      <c r="C1968" s="21" t="s">
        <v>29</v>
      </c>
      <c r="D1968" s="22"/>
      <c r="E1968" s="22"/>
      <c r="F1968" s="22"/>
      <c r="G1968" s="28"/>
      <c r="H1968" s="19">
        <f>SUM(H1967:H1967)</f>
        <v>103499.99999999999</v>
      </c>
      <c r="J1968" s="15"/>
      <c r="K1968" s="39"/>
    </row>
    <row r="1969" spans="3:11" x14ac:dyDescent="0.25">
      <c r="C1969" s="12" t="s">
        <v>30</v>
      </c>
      <c r="D1969" s="13" t="s">
        <v>31</v>
      </c>
      <c r="E1969" s="14"/>
      <c r="F1969" s="14"/>
      <c r="G1969" s="14"/>
      <c r="H1969" s="14"/>
      <c r="J1969" s="15"/>
      <c r="K1969" s="39"/>
    </row>
    <row r="1970" spans="3:11" x14ac:dyDescent="0.3">
      <c r="C1970" s="21" t="s">
        <v>32</v>
      </c>
      <c r="D1970" s="22"/>
      <c r="E1970" s="22"/>
      <c r="F1970" s="22"/>
      <c r="G1970" s="28"/>
      <c r="H1970" s="29">
        <v>0</v>
      </c>
      <c r="J1970" s="15"/>
      <c r="K1970" s="39"/>
    </row>
    <row r="1971" spans="3:11" x14ac:dyDescent="0.3">
      <c r="C1971" s="30" t="s">
        <v>33</v>
      </c>
      <c r="D1971" s="31" t="s">
        <v>34</v>
      </c>
      <c r="E1971" s="32"/>
      <c r="F1971" s="32"/>
      <c r="G1971" s="33"/>
      <c r="H1971" s="46">
        <f>H1970+H1968+H1965</f>
        <v>114634.99999999999</v>
      </c>
      <c r="I1971" s="47"/>
      <c r="J1971" s="15"/>
      <c r="K1971" s="39"/>
    </row>
    <row r="1972" spans="3:11" x14ac:dyDescent="0.3">
      <c r="C1972" s="30" t="s">
        <v>35</v>
      </c>
      <c r="D1972" s="31" t="s">
        <v>36</v>
      </c>
      <c r="E1972" s="32"/>
      <c r="F1972" s="33"/>
      <c r="G1972" s="34">
        <f>$M$9</f>
        <v>0.1</v>
      </c>
      <c r="H1972" s="19">
        <f>H1971*G1972</f>
        <v>11463.5</v>
      </c>
      <c r="I1972" s="47"/>
      <c r="J1972" s="15"/>
      <c r="K1972" s="39"/>
    </row>
    <row r="1973" spans="3:11" x14ac:dyDescent="0.3">
      <c r="C1973" s="30" t="s">
        <v>37</v>
      </c>
      <c r="D1973" s="31" t="s">
        <v>38</v>
      </c>
      <c r="E1973" s="32"/>
      <c r="F1973" s="32"/>
      <c r="G1973" s="33"/>
      <c r="H1973" s="48">
        <f>SUM(H1971:H1972)</f>
        <v>126098.49999999999</v>
      </c>
      <c r="I1973" s="47"/>
      <c r="J1973" s="15"/>
      <c r="K1973" s="39"/>
    </row>
    <row r="1974" spans="3:11" x14ac:dyDescent="0.3">
      <c r="J1974" s="15"/>
      <c r="K1974" s="39"/>
    </row>
    <row r="1975" spans="3:11" x14ac:dyDescent="0.3">
      <c r="C1975" s="40" t="s">
        <v>395</v>
      </c>
      <c r="D1975" s="68" t="s">
        <v>396</v>
      </c>
      <c r="E1975" s="44"/>
      <c r="F1975" s="44"/>
      <c r="G1975" s="44"/>
      <c r="H1975" s="44"/>
      <c r="I1975" s="10">
        <f>ROUNDDOWN(H1990,0)</f>
        <v>151398</v>
      </c>
      <c r="J1975" s="15"/>
      <c r="K1975" s="39"/>
    </row>
    <row r="1976" spans="3:11" ht="27.6" x14ac:dyDescent="0.3">
      <c r="C1976" s="11" t="s">
        <v>9</v>
      </c>
      <c r="D1976" s="11" t="s">
        <v>10</v>
      </c>
      <c r="E1976" s="11" t="s">
        <v>11</v>
      </c>
      <c r="F1976" s="11" t="s">
        <v>12</v>
      </c>
      <c r="G1976" s="11" t="s">
        <v>13</v>
      </c>
      <c r="H1976" s="11" t="s">
        <v>14</v>
      </c>
      <c r="J1976" s="15"/>
      <c r="K1976" s="39"/>
    </row>
    <row r="1977" spans="3:11" x14ac:dyDescent="0.25">
      <c r="C1977" s="12" t="s">
        <v>15</v>
      </c>
      <c r="D1977" s="13" t="s">
        <v>16</v>
      </c>
      <c r="E1977" s="14"/>
      <c r="F1977" s="14"/>
      <c r="G1977" s="14"/>
      <c r="H1977" s="14"/>
      <c r="J1977" s="15"/>
      <c r="K1977" s="39"/>
    </row>
    <row r="1978" spans="3:11" x14ac:dyDescent="0.3">
      <c r="C1978" s="16">
        <v>1</v>
      </c>
      <c r="D1978" s="13" t="s">
        <v>18</v>
      </c>
      <c r="E1978" s="17" t="s">
        <v>19</v>
      </c>
      <c r="F1978" s="49">
        <v>2.9000000000000001E-2</v>
      </c>
      <c r="G1978" s="19">
        <f>VLOOKUP(D1978,upahbahan,3,FALSE)</f>
        <v>100000</v>
      </c>
      <c r="H1978" s="19">
        <f t="shared" ref="H1978:H1981" si="197">F1978*G1978</f>
        <v>2900</v>
      </c>
      <c r="J1978" s="15"/>
      <c r="K1978" s="39"/>
    </row>
    <row r="1979" spans="3:11" x14ac:dyDescent="0.3">
      <c r="C1979" s="16">
        <v>2</v>
      </c>
      <c r="D1979" s="13" t="str">
        <f>D1962</f>
        <v>Tukang listrik</v>
      </c>
      <c r="E1979" s="17" t="s">
        <v>19</v>
      </c>
      <c r="F1979" s="49">
        <v>4.8000000000000001E-2</v>
      </c>
      <c r="G1979" s="19">
        <f>VLOOKUP(D1979,upahbahan,3,FALSE)</f>
        <v>145000</v>
      </c>
      <c r="H1979" s="19">
        <f t="shared" si="197"/>
        <v>6960</v>
      </c>
      <c r="J1979" s="15"/>
      <c r="K1979" s="39"/>
    </row>
    <row r="1980" spans="3:11" x14ac:dyDescent="0.3">
      <c r="C1980" s="16">
        <v>3</v>
      </c>
      <c r="D1980" s="13" t="s">
        <v>22</v>
      </c>
      <c r="E1980" s="17" t="s">
        <v>19</v>
      </c>
      <c r="F1980" s="49">
        <v>5.0000000000000001E-3</v>
      </c>
      <c r="G1980" s="19">
        <f>VLOOKUP(D1980,upahbahan,3,FALSE)</f>
        <v>175000</v>
      </c>
      <c r="H1980" s="19">
        <f t="shared" si="197"/>
        <v>875</v>
      </c>
      <c r="J1980" s="15"/>
      <c r="K1980" s="39"/>
    </row>
    <row r="1981" spans="3:11" x14ac:dyDescent="0.3">
      <c r="C1981" s="16">
        <v>4</v>
      </c>
      <c r="D1981" s="13" t="s">
        <v>23</v>
      </c>
      <c r="E1981" s="17" t="s">
        <v>19</v>
      </c>
      <c r="F1981" s="49">
        <v>2E-3</v>
      </c>
      <c r="G1981" s="19">
        <f>VLOOKUP(D1981,upahbahan,3,FALSE)</f>
        <v>200000</v>
      </c>
      <c r="H1981" s="19">
        <f t="shared" si="197"/>
        <v>400</v>
      </c>
      <c r="J1981" s="15"/>
      <c r="K1981" s="39"/>
    </row>
    <row r="1982" spans="3:11" x14ac:dyDescent="0.3">
      <c r="C1982" s="21" t="s">
        <v>24</v>
      </c>
      <c r="D1982" s="22"/>
      <c r="E1982" s="22"/>
      <c r="F1982" s="54"/>
      <c r="G1982" s="24"/>
      <c r="H1982" s="19">
        <f>SUM(H1978:H1981)</f>
        <v>11135</v>
      </c>
      <c r="I1982" s="25"/>
      <c r="J1982" s="15"/>
      <c r="K1982" s="39"/>
    </row>
    <row r="1983" spans="3:11" x14ac:dyDescent="0.25">
      <c r="C1983" s="12" t="s">
        <v>25</v>
      </c>
      <c r="D1983" s="13" t="s">
        <v>26</v>
      </c>
      <c r="E1983" s="14"/>
      <c r="F1983" s="55"/>
      <c r="G1983" s="14"/>
      <c r="H1983" s="14"/>
      <c r="J1983" s="15"/>
      <c r="K1983" s="39"/>
    </row>
    <row r="1984" spans="3:11" x14ac:dyDescent="0.3">
      <c r="C1984" s="63" t="s">
        <v>202</v>
      </c>
      <c r="D1984" s="26" t="s">
        <v>397</v>
      </c>
      <c r="E1984" s="27" t="s">
        <v>28</v>
      </c>
      <c r="F1984" s="49">
        <v>1.1499999999999999</v>
      </c>
      <c r="G1984" s="19">
        <f>VLOOKUP(D1984,upahbahan,3,FALSE)</f>
        <v>110000</v>
      </c>
      <c r="H1984" s="19">
        <f t="shared" ref="H1984" si="198">F1984*G1984</f>
        <v>126499.99999999999</v>
      </c>
      <c r="J1984" s="15"/>
      <c r="K1984" s="39"/>
    </row>
    <row r="1985" spans="3:11" x14ac:dyDescent="0.3">
      <c r="C1985" s="21" t="s">
        <v>29</v>
      </c>
      <c r="D1985" s="22"/>
      <c r="E1985" s="22"/>
      <c r="F1985" s="22"/>
      <c r="G1985" s="28"/>
      <c r="H1985" s="19">
        <f>SUM(H1984:H1984)</f>
        <v>126499.99999999999</v>
      </c>
      <c r="J1985" s="15"/>
      <c r="K1985" s="39"/>
    </row>
    <row r="1986" spans="3:11" x14ac:dyDescent="0.25">
      <c r="C1986" s="12" t="s">
        <v>30</v>
      </c>
      <c r="D1986" s="13" t="s">
        <v>31</v>
      </c>
      <c r="E1986" s="14"/>
      <c r="F1986" s="14"/>
      <c r="G1986" s="14"/>
      <c r="H1986" s="14"/>
      <c r="J1986" s="15"/>
      <c r="K1986" s="39"/>
    </row>
    <row r="1987" spans="3:11" x14ac:dyDescent="0.3">
      <c r="C1987" s="21" t="s">
        <v>32</v>
      </c>
      <c r="D1987" s="22"/>
      <c r="E1987" s="22"/>
      <c r="F1987" s="22"/>
      <c r="G1987" s="28"/>
      <c r="H1987" s="29">
        <v>0</v>
      </c>
      <c r="J1987" s="15"/>
      <c r="K1987" s="39"/>
    </row>
    <row r="1988" spans="3:11" x14ac:dyDescent="0.3">
      <c r="C1988" s="30" t="s">
        <v>33</v>
      </c>
      <c r="D1988" s="31" t="s">
        <v>34</v>
      </c>
      <c r="E1988" s="32"/>
      <c r="F1988" s="32"/>
      <c r="G1988" s="33"/>
      <c r="H1988" s="46">
        <f>H1987+H1985+H1982</f>
        <v>137635</v>
      </c>
      <c r="I1988" s="47"/>
      <c r="J1988" s="15"/>
      <c r="K1988" s="39"/>
    </row>
    <row r="1989" spans="3:11" x14ac:dyDescent="0.3">
      <c r="C1989" s="30" t="s">
        <v>35</v>
      </c>
      <c r="D1989" s="31" t="s">
        <v>36</v>
      </c>
      <c r="E1989" s="32"/>
      <c r="F1989" s="33"/>
      <c r="G1989" s="34">
        <f>$M$9</f>
        <v>0.1</v>
      </c>
      <c r="H1989" s="19">
        <f>H1988*G1989</f>
        <v>13763.5</v>
      </c>
      <c r="I1989" s="47"/>
      <c r="J1989" s="15"/>
      <c r="K1989" s="39"/>
    </row>
    <row r="1990" spans="3:11" x14ac:dyDescent="0.3">
      <c r="C1990" s="30" t="s">
        <v>37</v>
      </c>
      <c r="D1990" s="31" t="s">
        <v>38</v>
      </c>
      <c r="E1990" s="32"/>
      <c r="F1990" s="32"/>
      <c r="G1990" s="33"/>
      <c r="H1990" s="48">
        <f>SUM(H1988:H1989)</f>
        <v>151398.5</v>
      </c>
      <c r="I1990" s="47"/>
      <c r="J1990" s="15"/>
      <c r="K1990" s="39"/>
    </row>
    <row r="1991" spans="3:11" x14ac:dyDescent="0.3">
      <c r="J1991" s="15"/>
      <c r="K1991" s="39"/>
    </row>
    <row r="1992" spans="3:11" x14ac:dyDescent="0.3">
      <c r="C1992" s="40" t="s">
        <v>398</v>
      </c>
      <c r="D1992" s="68" t="s">
        <v>399</v>
      </c>
      <c r="E1992" s="44"/>
      <c r="F1992" s="44"/>
      <c r="G1992" s="44"/>
      <c r="H1992" s="44"/>
      <c r="I1992" s="10">
        <f>ROUNDDOWN(H2007,0)</f>
        <v>2108557</v>
      </c>
      <c r="J1992" s="15"/>
      <c r="K1992" s="39"/>
    </row>
    <row r="1993" spans="3:11" ht="27.6" x14ac:dyDescent="0.3">
      <c r="C1993" s="11" t="s">
        <v>9</v>
      </c>
      <c r="D1993" s="11" t="s">
        <v>10</v>
      </c>
      <c r="E1993" s="11" t="s">
        <v>11</v>
      </c>
      <c r="F1993" s="11" t="s">
        <v>12</v>
      </c>
      <c r="G1993" s="11" t="s">
        <v>13</v>
      </c>
      <c r="H1993" s="11" t="s">
        <v>14</v>
      </c>
      <c r="J1993" s="15"/>
      <c r="K1993" s="39"/>
    </row>
    <row r="1994" spans="3:11" x14ac:dyDescent="0.25">
      <c r="C1994" s="12" t="s">
        <v>15</v>
      </c>
      <c r="D1994" s="13" t="s">
        <v>16</v>
      </c>
      <c r="E1994" s="14"/>
      <c r="F1994" s="14"/>
      <c r="G1994" s="14"/>
      <c r="H1994" s="14"/>
      <c r="J1994" s="15"/>
      <c r="K1994" s="39"/>
    </row>
    <row r="1995" spans="3:11" x14ac:dyDescent="0.3">
      <c r="C1995" s="16">
        <v>1</v>
      </c>
      <c r="D1995" s="13" t="s">
        <v>18</v>
      </c>
      <c r="E1995" s="17" t="s">
        <v>19</v>
      </c>
      <c r="F1995" s="18">
        <v>0.17899999999999999</v>
      </c>
      <c r="G1995" s="19">
        <f>VLOOKUP(D1995,upahbahan,3,FALSE)</f>
        <v>100000</v>
      </c>
      <c r="H1995" s="19">
        <f t="shared" ref="H1995:H1998" si="199">F1995*G1995</f>
        <v>17900</v>
      </c>
      <c r="J1995" s="15"/>
      <c r="K1995" s="39"/>
    </row>
    <row r="1996" spans="3:11" x14ac:dyDescent="0.3">
      <c r="C1996" s="16">
        <v>2</v>
      </c>
      <c r="D1996" s="13" t="str">
        <f>D1979</f>
        <v>Tukang listrik</v>
      </c>
      <c r="E1996" s="17" t="s">
        <v>19</v>
      </c>
      <c r="F1996" s="18">
        <v>0.29799999999999999</v>
      </c>
      <c r="G1996" s="19">
        <f>VLOOKUP(D1996,upahbahan,3,FALSE)</f>
        <v>145000</v>
      </c>
      <c r="H1996" s="19">
        <f t="shared" si="199"/>
        <v>43210</v>
      </c>
      <c r="J1996" s="15"/>
      <c r="K1996" s="39"/>
    </row>
    <row r="1997" spans="3:11" x14ac:dyDescent="0.3">
      <c r="C1997" s="16">
        <v>3</v>
      </c>
      <c r="D1997" s="13" t="s">
        <v>22</v>
      </c>
      <c r="E1997" s="17" t="s">
        <v>19</v>
      </c>
      <c r="F1997" s="18">
        <v>0.03</v>
      </c>
      <c r="G1997" s="19">
        <f>VLOOKUP(D1997,upahbahan,3,FALSE)</f>
        <v>175000</v>
      </c>
      <c r="H1997" s="19">
        <f t="shared" si="199"/>
        <v>5250</v>
      </c>
      <c r="J1997" s="15"/>
      <c r="K1997" s="39"/>
    </row>
    <row r="1998" spans="3:11" x14ac:dyDescent="0.3">
      <c r="C1998" s="16">
        <v>4</v>
      </c>
      <c r="D1998" s="13" t="s">
        <v>23</v>
      </c>
      <c r="E1998" s="17" t="s">
        <v>19</v>
      </c>
      <c r="F1998" s="18">
        <v>0.01</v>
      </c>
      <c r="G1998" s="19">
        <f>VLOOKUP(D1998,upahbahan,3,FALSE)</f>
        <v>200000</v>
      </c>
      <c r="H1998" s="19">
        <f t="shared" si="199"/>
        <v>2000</v>
      </c>
      <c r="J1998" s="15"/>
      <c r="K1998" s="39"/>
    </row>
    <row r="1999" spans="3:11" x14ac:dyDescent="0.3">
      <c r="C1999" s="21" t="s">
        <v>24</v>
      </c>
      <c r="D1999" s="22"/>
      <c r="E1999" s="22"/>
      <c r="F1999" s="54"/>
      <c r="G1999" s="24"/>
      <c r="H1999" s="19">
        <f>SUM(H1995:H1998)</f>
        <v>68360</v>
      </c>
      <c r="I1999" s="25"/>
      <c r="J1999" s="15"/>
      <c r="K1999" s="39"/>
    </row>
    <row r="2000" spans="3:11" x14ac:dyDescent="0.25">
      <c r="C2000" s="12" t="s">
        <v>25</v>
      </c>
      <c r="D2000" s="13" t="s">
        <v>26</v>
      </c>
      <c r="E2000" s="14"/>
      <c r="F2000" s="55"/>
      <c r="G2000" s="14"/>
      <c r="H2000" s="14"/>
      <c r="J2000" s="15"/>
      <c r="K2000" s="39"/>
    </row>
    <row r="2001" spans="3:11" x14ac:dyDescent="0.3">
      <c r="C2001" s="63" t="s">
        <v>202</v>
      </c>
      <c r="D2001" s="26" t="s">
        <v>400</v>
      </c>
      <c r="E2001" s="27" t="s">
        <v>28</v>
      </c>
      <c r="F2001" s="49">
        <v>1.1499999999999999</v>
      </c>
      <c r="G2001" s="19">
        <f>VLOOKUP(D2001,upahbahan,3,FALSE)</f>
        <v>1607400</v>
      </c>
      <c r="H2001" s="19">
        <f t="shared" ref="H2001" si="200">F2001*G2001</f>
        <v>1848509.9999999998</v>
      </c>
      <c r="J2001" s="15"/>
      <c r="K2001" s="39"/>
    </row>
    <row r="2002" spans="3:11" x14ac:dyDescent="0.3">
      <c r="C2002" s="21" t="s">
        <v>29</v>
      </c>
      <c r="D2002" s="22"/>
      <c r="E2002" s="22"/>
      <c r="F2002" s="22"/>
      <c r="G2002" s="28"/>
      <c r="H2002" s="19">
        <f>SUM(H2001:H2001)</f>
        <v>1848509.9999999998</v>
      </c>
      <c r="J2002" s="15"/>
      <c r="K2002" s="39"/>
    </row>
    <row r="2003" spans="3:11" x14ac:dyDescent="0.25">
      <c r="C2003" s="12" t="s">
        <v>30</v>
      </c>
      <c r="D2003" s="13" t="s">
        <v>31</v>
      </c>
      <c r="E2003" s="14"/>
      <c r="F2003" s="14"/>
      <c r="G2003" s="14"/>
      <c r="H2003" s="14"/>
      <c r="J2003" s="15"/>
      <c r="K2003" s="39"/>
    </row>
    <row r="2004" spans="3:11" x14ac:dyDescent="0.3">
      <c r="C2004" s="21" t="s">
        <v>32</v>
      </c>
      <c r="D2004" s="22"/>
      <c r="E2004" s="22"/>
      <c r="F2004" s="22"/>
      <c r="G2004" s="28"/>
      <c r="H2004" s="29">
        <v>0</v>
      </c>
      <c r="J2004" s="15"/>
      <c r="K2004" s="39"/>
    </row>
    <row r="2005" spans="3:11" x14ac:dyDescent="0.3">
      <c r="C2005" s="30" t="s">
        <v>33</v>
      </c>
      <c r="D2005" s="31" t="s">
        <v>34</v>
      </c>
      <c r="E2005" s="32"/>
      <c r="F2005" s="32"/>
      <c r="G2005" s="33"/>
      <c r="H2005" s="46">
        <f>H2004+H2002+H1999</f>
        <v>1916869.9999999998</v>
      </c>
      <c r="I2005" s="47"/>
      <c r="J2005" s="15"/>
      <c r="K2005" s="39"/>
    </row>
    <row r="2006" spans="3:11" x14ac:dyDescent="0.3">
      <c r="C2006" s="30" t="s">
        <v>35</v>
      </c>
      <c r="D2006" s="31" t="s">
        <v>36</v>
      </c>
      <c r="E2006" s="32"/>
      <c r="F2006" s="33"/>
      <c r="G2006" s="34">
        <f>$M$9</f>
        <v>0.1</v>
      </c>
      <c r="H2006" s="19">
        <f>H2005*G2006</f>
        <v>191687</v>
      </c>
      <c r="I2006" s="47"/>
      <c r="J2006" s="15"/>
      <c r="K2006" s="39"/>
    </row>
    <row r="2007" spans="3:11" x14ac:dyDescent="0.3">
      <c r="C2007" s="30" t="s">
        <v>37</v>
      </c>
      <c r="D2007" s="31" t="s">
        <v>38</v>
      </c>
      <c r="E2007" s="32"/>
      <c r="F2007" s="32"/>
      <c r="G2007" s="33"/>
      <c r="H2007" s="48">
        <f>SUM(H2005:H2006)</f>
        <v>2108557</v>
      </c>
      <c r="I2007" s="47"/>
      <c r="J2007" s="15"/>
      <c r="K2007" s="39"/>
    </row>
    <row r="2008" spans="3:11" x14ac:dyDescent="0.3">
      <c r="J2008" s="15"/>
      <c r="K2008" s="39"/>
    </row>
    <row r="2009" spans="3:11" x14ac:dyDescent="0.3">
      <c r="C2009" s="40" t="s">
        <v>401</v>
      </c>
      <c r="D2009" s="68" t="s">
        <v>402</v>
      </c>
      <c r="E2009" s="44"/>
      <c r="F2009" s="44"/>
      <c r="G2009" s="44"/>
      <c r="H2009" s="44"/>
      <c r="I2009" s="10">
        <f>ROUNDDOWN(H2024,0)</f>
        <v>408105</v>
      </c>
      <c r="J2009" s="15"/>
      <c r="K2009" s="39"/>
    </row>
    <row r="2010" spans="3:11" ht="27.6" x14ac:dyDescent="0.3">
      <c r="C2010" s="11" t="s">
        <v>9</v>
      </c>
      <c r="D2010" s="11" t="s">
        <v>10</v>
      </c>
      <c r="E2010" s="11" t="s">
        <v>11</v>
      </c>
      <c r="F2010" s="11" t="s">
        <v>12</v>
      </c>
      <c r="G2010" s="11" t="s">
        <v>13</v>
      </c>
      <c r="H2010" s="11" t="s">
        <v>14</v>
      </c>
      <c r="J2010" s="15"/>
      <c r="K2010" s="39"/>
    </row>
    <row r="2011" spans="3:11" x14ac:dyDescent="0.25">
      <c r="C2011" s="12" t="s">
        <v>15</v>
      </c>
      <c r="D2011" s="13" t="s">
        <v>16</v>
      </c>
      <c r="E2011" s="14"/>
      <c r="F2011" s="14"/>
      <c r="G2011" s="14"/>
      <c r="H2011" s="14"/>
      <c r="J2011" s="15"/>
      <c r="K2011" s="39"/>
    </row>
    <row r="2012" spans="3:11" x14ac:dyDescent="0.3">
      <c r="C2012" s="16">
        <v>1</v>
      </c>
      <c r="D2012" s="13" t="s">
        <v>18</v>
      </c>
      <c r="E2012" s="17" t="s">
        <v>19</v>
      </c>
      <c r="F2012" s="49">
        <v>0.14299999999999999</v>
      </c>
      <c r="G2012" s="19">
        <f>VLOOKUP(D2012,upahbahan,3,FALSE)</f>
        <v>100000</v>
      </c>
      <c r="H2012" s="19">
        <f t="shared" ref="H2012:H2015" si="201">F2012*G2012</f>
        <v>14299.999999999998</v>
      </c>
      <c r="J2012" s="15"/>
      <c r="K2012" s="39"/>
    </row>
    <row r="2013" spans="3:11" x14ac:dyDescent="0.3">
      <c r="C2013" s="16">
        <v>2</v>
      </c>
      <c r="D2013" s="13" t="str">
        <f>D1996</f>
        <v>Tukang listrik</v>
      </c>
      <c r="E2013" s="17" t="s">
        <v>19</v>
      </c>
      <c r="F2013" s="49">
        <v>0.23899999999999999</v>
      </c>
      <c r="G2013" s="19">
        <f>VLOOKUP(D2013,upahbahan,3,FALSE)</f>
        <v>145000</v>
      </c>
      <c r="H2013" s="19">
        <f t="shared" si="201"/>
        <v>34655</v>
      </c>
      <c r="J2013" s="15"/>
      <c r="K2013" s="39"/>
    </row>
    <row r="2014" spans="3:11" x14ac:dyDescent="0.3">
      <c r="C2014" s="16">
        <v>3</v>
      </c>
      <c r="D2014" s="13" t="s">
        <v>22</v>
      </c>
      <c r="E2014" s="17" t="s">
        <v>19</v>
      </c>
      <c r="F2014" s="49">
        <v>2.4E-2</v>
      </c>
      <c r="G2014" s="19">
        <f>VLOOKUP(D2014,upahbahan,3,FALSE)</f>
        <v>175000</v>
      </c>
      <c r="H2014" s="19">
        <f t="shared" si="201"/>
        <v>4200</v>
      </c>
      <c r="J2014" s="15"/>
      <c r="K2014" s="39"/>
    </row>
    <row r="2015" spans="3:11" x14ac:dyDescent="0.3">
      <c r="C2015" s="16">
        <v>4</v>
      </c>
      <c r="D2015" s="13" t="s">
        <v>23</v>
      </c>
      <c r="E2015" s="17" t="s">
        <v>19</v>
      </c>
      <c r="F2015" s="49">
        <v>8.0000000000000002E-3</v>
      </c>
      <c r="G2015" s="19">
        <f>VLOOKUP(D2015,upahbahan,3,FALSE)</f>
        <v>200000</v>
      </c>
      <c r="H2015" s="19">
        <f t="shared" si="201"/>
        <v>1600</v>
      </c>
      <c r="J2015" s="15"/>
      <c r="K2015" s="39"/>
    </row>
    <row r="2016" spans="3:11" x14ac:dyDescent="0.3">
      <c r="C2016" s="21" t="s">
        <v>24</v>
      </c>
      <c r="D2016" s="22"/>
      <c r="E2016" s="22"/>
      <c r="F2016" s="54"/>
      <c r="G2016" s="24"/>
      <c r="H2016" s="19">
        <f>SUM(H2012:H2015)</f>
        <v>54755</v>
      </c>
      <c r="I2016" s="25"/>
      <c r="J2016" s="15"/>
      <c r="K2016" s="39"/>
    </row>
    <row r="2017" spans="3:11" x14ac:dyDescent="0.25">
      <c r="C2017" s="12" t="s">
        <v>25</v>
      </c>
      <c r="D2017" s="13" t="s">
        <v>26</v>
      </c>
      <c r="E2017" s="14"/>
      <c r="F2017" s="55"/>
      <c r="G2017" s="14"/>
      <c r="H2017" s="14"/>
      <c r="J2017" s="15"/>
      <c r="K2017" s="39"/>
    </row>
    <row r="2018" spans="3:11" x14ac:dyDescent="0.3">
      <c r="C2018" s="63" t="s">
        <v>202</v>
      </c>
      <c r="D2018" s="26" t="s">
        <v>403</v>
      </c>
      <c r="E2018" s="27" t="s">
        <v>28</v>
      </c>
      <c r="F2018" s="49">
        <v>1.1499999999999999</v>
      </c>
      <c r="G2018" s="19">
        <f>VLOOKUP(D2018,upahbahan,3,FALSE)</f>
        <v>275000</v>
      </c>
      <c r="H2018" s="19">
        <f t="shared" ref="H2018" si="202">F2018*G2018</f>
        <v>316250</v>
      </c>
      <c r="J2018" s="15"/>
      <c r="K2018" s="39"/>
    </row>
    <row r="2019" spans="3:11" x14ac:dyDescent="0.3">
      <c r="C2019" s="21" t="s">
        <v>29</v>
      </c>
      <c r="D2019" s="22"/>
      <c r="E2019" s="22"/>
      <c r="F2019" s="22"/>
      <c r="G2019" s="28"/>
      <c r="H2019" s="19">
        <f>SUM(H2018:H2018)</f>
        <v>316250</v>
      </c>
      <c r="J2019" s="15"/>
      <c r="K2019" s="39"/>
    </row>
    <row r="2020" spans="3:11" x14ac:dyDescent="0.25">
      <c r="C2020" s="12" t="s">
        <v>30</v>
      </c>
      <c r="D2020" s="13" t="s">
        <v>31</v>
      </c>
      <c r="E2020" s="14"/>
      <c r="F2020" s="14"/>
      <c r="G2020" s="14"/>
      <c r="H2020" s="14"/>
      <c r="J2020" s="15"/>
      <c r="K2020" s="39"/>
    </row>
    <row r="2021" spans="3:11" x14ac:dyDescent="0.3">
      <c r="C2021" s="21" t="s">
        <v>32</v>
      </c>
      <c r="D2021" s="22"/>
      <c r="E2021" s="22"/>
      <c r="F2021" s="22"/>
      <c r="G2021" s="28"/>
      <c r="H2021" s="29">
        <v>0</v>
      </c>
      <c r="J2021" s="15"/>
      <c r="K2021" s="39"/>
    </row>
    <row r="2022" spans="3:11" x14ac:dyDescent="0.3">
      <c r="C2022" s="30" t="s">
        <v>33</v>
      </c>
      <c r="D2022" s="31" t="s">
        <v>34</v>
      </c>
      <c r="E2022" s="32"/>
      <c r="F2022" s="32"/>
      <c r="G2022" s="33"/>
      <c r="H2022" s="46">
        <f>H2021+H2019+H2016</f>
        <v>371005</v>
      </c>
      <c r="I2022" s="47"/>
      <c r="J2022" s="15"/>
      <c r="K2022" s="39"/>
    </row>
    <row r="2023" spans="3:11" x14ac:dyDescent="0.3">
      <c r="C2023" s="30" t="s">
        <v>35</v>
      </c>
      <c r="D2023" s="31" t="s">
        <v>36</v>
      </c>
      <c r="E2023" s="32"/>
      <c r="F2023" s="33"/>
      <c r="G2023" s="34">
        <f>$M$9</f>
        <v>0.1</v>
      </c>
      <c r="H2023" s="19">
        <f>H2022*G2023</f>
        <v>37100.5</v>
      </c>
      <c r="I2023" s="47"/>
      <c r="J2023" s="15"/>
      <c r="K2023" s="39"/>
    </row>
    <row r="2024" spans="3:11" x14ac:dyDescent="0.3">
      <c r="C2024" s="30" t="s">
        <v>37</v>
      </c>
      <c r="D2024" s="31" t="s">
        <v>38</v>
      </c>
      <c r="E2024" s="32"/>
      <c r="F2024" s="32"/>
      <c r="G2024" s="33"/>
      <c r="H2024" s="48">
        <f>SUM(H2022:H2023)</f>
        <v>408105.5</v>
      </c>
      <c r="I2024" s="47"/>
      <c r="J2024" s="15"/>
      <c r="K2024" s="39"/>
    </row>
    <row r="2025" spans="3:11" x14ac:dyDescent="0.3">
      <c r="J2025" s="15"/>
      <c r="K2025" s="39"/>
    </row>
    <row r="2026" spans="3:11" ht="16.2" x14ac:dyDescent="0.3">
      <c r="C2026" s="56" t="s">
        <v>404</v>
      </c>
      <c r="D2026" s="69" t="s">
        <v>405</v>
      </c>
      <c r="E2026" s="58"/>
      <c r="F2026" s="58"/>
      <c r="G2026" s="58"/>
      <c r="H2026" s="58"/>
      <c r="I2026" s="10">
        <f>ROUNDDOWN(H2041,0)</f>
        <v>44291</v>
      </c>
      <c r="J2026" s="15" t="s">
        <v>296</v>
      </c>
      <c r="K2026" s="39" t="s">
        <v>406</v>
      </c>
    </row>
    <row r="2027" spans="3:11" ht="27.6" x14ac:dyDescent="0.3">
      <c r="C2027" s="11" t="s">
        <v>9</v>
      </c>
      <c r="D2027" s="11" t="s">
        <v>10</v>
      </c>
      <c r="E2027" s="11" t="s">
        <v>11</v>
      </c>
      <c r="F2027" s="11" t="s">
        <v>12</v>
      </c>
      <c r="G2027" s="11" t="s">
        <v>13</v>
      </c>
      <c r="H2027" s="11" t="s">
        <v>14</v>
      </c>
      <c r="J2027" s="15"/>
      <c r="K2027" s="39"/>
    </row>
    <row r="2028" spans="3:11" x14ac:dyDescent="0.25">
      <c r="C2028" s="12" t="s">
        <v>15</v>
      </c>
      <c r="D2028" s="13" t="s">
        <v>16</v>
      </c>
      <c r="E2028" s="14"/>
      <c r="F2028" s="14"/>
      <c r="G2028" s="14"/>
      <c r="H2028" s="14"/>
      <c r="J2028" s="15"/>
      <c r="K2028" s="39"/>
    </row>
    <row r="2029" spans="3:11" x14ac:dyDescent="0.3">
      <c r="C2029" s="16">
        <v>1</v>
      </c>
      <c r="D2029" s="13" t="s">
        <v>18</v>
      </c>
      <c r="E2029" s="17" t="s">
        <v>19</v>
      </c>
      <c r="F2029" s="18">
        <v>2.4E-2</v>
      </c>
      <c r="G2029" s="19">
        <f>VLOOKUP(D2029,upahbahan,3,FALSE)</f>
        <v>100000</v>
      </c>
      <c r="H2029" s="19">
        <f t="shared" ref="H2029:H2032" si="203">F2029*G2029</f>
        <v>2400</v>
      </c>
      <c r="J2029" s="15"/>
      <c r="K2029" s="39"/>
    </row>
    <row r="2030" spans="3:11" x14ac:dyDescent="0.3">
      <c r="C2030" s="16">
        <v>2</v>
      </c>
      <c r="D2030" s="13" t="str">
        <f>D2013</f>
        <v>Tukang listrik</v>
      </c>
      <c r="E2030" s="17" t="s">
        <v>19</v>
      </c>
      <c r="F2030" s="18">
        <v>0.04</v>
      </c>
      <c r="G2030" s="19">
        <f>VLOOKUP(D2030,upahbahan,3,FALSE)</f>
        <v>145000</v>
      </c>
      <c r="H2030" s="19">
        <f t="shared" si="203"/>
        <v>5800</v>
      </c>
      <c r="J2030" s="15"/>
      <c r="K2030" s="39"/>
    </row>
    <row r="2031" spans="3:11" x14ac:dyDescent="0.3">
      <c r="C2031" s="16">
        <v>3</v>
      </c>
      <c r="D2031" s="13" t="s">
        <v>22</v>
      </c>
      <c r="E2031" s="17" t="s">
        <v>19</v>
      </c>
      <c r="F2031" s="18">
        <v>4.0000000000000001E-3</v>
      </c>
      <c r="G2031" s="19">
        <f>VLOOKUP(D2031,upahbahan,3,FALSE)</f>
        <v>175000</v>
      </c>
      <c r="H2031" s="19">
        <f t="shared" si="203"/>
        <v>700</v>
      </c>
      <c r="J2031" s="15"/>
      <c r="K2031" s="39"/>
    </row>
    <row r="2032" spans="3:11" x14ac:dyDescent="0.3">
      <c r="C2032" s="16">
        <v>4</v>
      </c>
      <c r="D2032" s="13" t="s">
        <v>23</v>
      </c>
      <c r="E2032" s="17" t="s">
        <v>19</v>
      </c>
      <c r="F2032" s="18">
        <v>1E-3</v>
      </c>
      <c r="G2032" s="19">
        <f>VLOOKUP(D2032,upahbahan,3,FALSE)</f>
        <v>200000</v>
      </c>
      <c r="H2032" s="19">
        <f t="shared" si="203"/>
        <v>200</v>
      </c>
      <c r="J2032" s="15"/>
      <c r="K2032" s="39"/>
    </row>
    <row r="2033" spans="3:11" x14ac:dyDescent="0.3">
      <c r="C2033" s="21" t="s">
        <v>24</v>
      </c>
      <c r="D2033" s="22"/>
      <c r="E2033" s="22"/>
      <c r="F2033" s="54"/>
      <c r="G2033" s="24"/>
      <c r="H2033" s="19">
        <f>SUM(H2029:H2032)</f>
        <v>9100</v>
      </c>
      <c r="I2033" s="25"/>
      <c r="J2033" s="15"/>
      <c r="K2033" s="39"/>
    </row>
    <row r="2034" spans="3:11" x14ac:dyDescent="0.25">
      <c r="C2034" s="12" t="s">
        <v>25</v>
      </c>
      <c r="D2034" s="13" t="s">
        <v>26</v>
      </c>
      <c r="E2034" s="14"/>
      <c r="F2034" s="55"/>
      <c r="G2034" s="14"/>
      <c r="H2034" s="14"/>
      <c r="J2034" s="15"/>
      <c r="K2034" s="39"/>
    </row>
    <row r="2035" spans="3:11" x14ac:dyDescent="0.3">
      <c r="C2035" s="63" t="s">
        <v>202</v>
      </c>
      <c r="D2035" s="26" t="s">
        <v>407</v>
      </c>
      <c r="E2035" s="27" t="s">
        <v>28</v>
      </c>
      <c r="F2035" s="49">
        <v>1.1499999999999999</v>
      </c>
      <c r="G2035" s="19">
        <f>VLOOKUP(D2035,upahbahan,3,FALSE)</f>
        <v>27100</v>
      </c>
      <c r="H2035" s="19">
        <f t="shared" ref="H2035" si="204">F2035*G2035</f>
        <v>31164.999999999996</v>
      </c>
      <c r="J2035" s="15"/>
      <c r="K2035" s="39"/>
    </row>
    <row r="2036" spans="3:11" x14ac:dyDescent="0.3">
      <c r="C2036" s="21" t="s">
        <v>29</v>
      </c>
      <c r="D2036" s="22"/>
      <c r="E2036" s="22"/>
      <c r="F2036" s="22"/>
      <c r="G2036" s="28"/>
      <c r="H2036" s="19">
        <f>SUM(H2035:H2035)</f>
        <v>31164.999999999996</v>
      </c>
      <c r="J2036" s="15"/>
      <c r="K2036" s="39"/>
    </row>
    <row r="2037" spans="3:11" x14ac:dyDescent="0.25">
      <c r="C2037" s="12" t="s">
        <v>30</v>
      </c>
      <c r="D2037" s="13" t="s">
        <v>31</v>
      </c>
      <c r="E2037" s="14"/>
      <c r="F2037" s="14"/>
      <c r="G2037" s="14"/>
      <c r="H2037" s="14"/>
      <c r="J2037" s="15"/>
      <c r="K2037" s="39"/>
    </row>
    <row r="2038" spans="3:11" x14ac:dyDescent="0.3">
      <c r="C2038" s="21" t="s">
        <v>32</v>
      </c>
      <c r="D2038" s="22"/>
      <c r="E2038" s="22"/>
      <c r="F2038" s="22"/>
      <c r="G2038" s="28"/>
      <c r="H2038" s="29">
        <v>0</v>
      </c>
      <c r="J2038" s="15"/>
      <c r="K2038" s="39"/>
    </row>
    <row r="2039" spans="3:11" x14ac:dyDescent="0.3">
      <c r="C2039" s="30" t="s">
        <v>33</v>
      </c>
      <c r="D2039" s="31" t="s">
        <v>34</v>
      </c>
      <c r="E2039" s="32"/>
      <c r="F2039" s="32"/>
      <c r="G2039" s="33"/>
      <c r="H2039" s="46">
        <f>H2038+H2036+H2033</f>
        <v>40265</v>
      </c>
      <c r="I2039" s="47"/>
      <c r="J2039" s="15"/>
      <c r="K2039" s="39"/>
    </row>
    <row r="2040" spans="3:11" x14ac:dyDescent="0.3">
      <c r="C2040" s="30" t="s">
        <v>35</v>
      </c>
      <c r="D2040" s="31" t="s">
        <v>36</v>
      </c>
      <c r="E2040" s="32"/>
      <c r="F2040" s="33"/>
      <c r="G2040" s="34">
        <f>$M$9</f>
        <v>0.1</v>
      </c>
      <c r="H2040" s="19">
        <f>H2039*G2040</f>
        <v>4026.5</v>
      </c>
      <c r="I2040" s="47"/>
      <c r="J2040" s="15"/>
      <c r="K2040" s="39"/>
    </row>
    <row r="2041" spans="3:11" x14ac:dyDescent="0.3">
      <c r="C2041" s="30" t="s">
        <v>37</v>
      </c>
      <c r="D2041" s="31" t="s">
        <v>38</v>
      </c>
      <c r="E2041" s="32"/>
      <c r="F2041" s="32"/>
      <c r="G2041" s="33"/>
      <c r="H2041" s="48">
        <f>SUM(H2039:H2040)</f>
        <v>44291.5</v>
      </c>
      <c r="I2041" s="47"/>
      <c r="J2041" s="15"/>
      <c r="K2041" s="39"/>
    </row>
    <row r="2042" spans="3:11" x14ac:dyDescent="0.3">
      <c r="J2042" s="15"/>
      <c r="K2042" s="39"/>
    </row>
    <row r="2043" spans="3:11" ht="16.2" x14ac:dyDescent="0.3">
      <c r="C2043" s="2" t="s">
        <v>408</v>
      </c>
      <c r="D2043" s="68" t="s">
        <v>409</v>
      </c>
      <c r="E2043" s="44"/>
      <c r="F2043" s="44"/>
      <c r="G2043" s="44"/>
      <c r="H2043" s="44"/>
      <c r="I2043" s="10">
        <f>ROUNDDOWN(H2058,0)</f>
        <v>87554</v>
      </c>
      <c r="J2043" s="15" t="s">
        <v>296</v>
      </c>
      <c r="K2043" s="39" t="s">
        <v>410</v>
      </c>
    </row>
    <row r="2044" spans="3:11" ht="27.6" x14ac:dyDescent="0.3">
      <c r="C2044" s="11" t="s">
        <v>9</v>
      </c>
      <c r="D2044" s="11" t="s">
        <v>10</v>
      </c>
      <c r="E2044" s="11" t="s">
        <v>11</v>
      </c>
      <c r="F2044" s="11" t="s">
        <v>12</v>
      </c>
      <c r="G2044" s="11" t="s">
        <v>13</v>
      </c>
      <c r="H2044" s="11" t="s">
        <v>14</v>
      </c>
      <c r="J2044" s="15"/>
      <c r="K2044" s="39"/>
    </row>
    <row r="2045" spans="3:11" x14ac:dyDescent="0.25">
      <c r="C2045" s="12" t="s">
        <v>15</v>
      </c>
      <c r="D2045" s="13" t="s">
        <v>16</v>
      </c>
      <c r="E2045" s="14"/>
      <c r="F2045" s="14"/>
      <c r="G2045" s="14"/>
      <c r="H2045" s="14"/>
      <c r="J2045" s="15"/>
      <c r="K2045" s="39"/>
    </row>
    <row r="2046" spans="3:11" x14ac:dyDescent="0.3">
      <c r="C2046" s="16">
        <v>1</v>
      </c>
      <c r="D2046" s="13" t="s">
        <v>18</v>
      </c>
      <c r="E2046" s="17" t="s">
        <v>19</v>
      </c>
      <c r="F2046" s="49">
        <v>9.5000000000000001E-2</v>
      </c>
      <c r="G2046" s="19">
        <f>VLOOKUP(D2046,upahbahan,3,FALSE)</f>
        <v>100000</v>
      </c>
      <c r="H2046" s="19">
        <f t="shared" ref="H2046:H2049" si="205">F2046*G2046</f>
        <v>9500</v>
      </c>
      <c r="J2046" s="15"/>
      <c r="K2046" s="39"/>
    </row>
    <row r="2047" spans="3:11" x14ac:dyDescent="0.3">
      <c r="C2047" s="16">
        <v>2</v>
      </c>
      <c r="D2047" s="13" t="str">
        <f>D2030</f>
        <v>Tukang listrik</v>
      </c>
      <c r="E2047" s="17" t="s">
        <v>19</v>
      </c>
      <c r="F2047" s="49">
        <v>0.159</v>
      </c>
      <c r="G2047" s="19">
        <f>VLOOKUP(D2047,upahbahan,3,FALSE)</f>
        <v>145000</v>
      </c>
      <c r="H2047" s="19">
        <f t="shared" si="205"/>
        <v>23055</v>
      </c>
      <c r="J2047" s="15"/>
      <c r="K2047" s="39"/>
    </row>
    <row r="2048" spans="3:11" x14ac:dyDescent="0.3">
      <c r="C2048" s="16">
        <v>3</v>
      </c>
      <c r="D2048" s="13" t="s">
        <v>22</v>
      </c>
      <c r="E2048" s="17" t="s">
        <v>19</v>
      </c>
      <c r="F2048" s="49">
        <v>1.6E-2</v>
      </c>
      <c r="G2048" s="19">
        <f>VLOOKUP(D2048,upahbahan,3,FALSE)</f>
        <v>175000</v>
      </c>
      <c r="H2048" s="19">
        <f t="shared" si="205"/>
        <v>2800</v>
      </c>
      <c r="J2048" s="15"/>
      <c r="K2048" s="39"/>
    </row>
    <row r="2049" spans="3:11" x14ac:dyDescent="0.3">
      <c r="C2049" s="16">
        <v>4</v>
      </c>
      <c r="D2049" s="13" t="s">
        <v>23</v>
      </c>
      <c r="E2049" s="17" t="s">
        <v>19</v>
      </c>
      <c r="F2049" s="49">
        <v>5.0000000000000001E-3</v>
      </c>
      <c r="G2049" s="19">
        <f>VLOOKUP(D2049,upahbahan,3,FALSE)</f>
        <v>200000</v>
      </c>
      <c r="H2049" s="19">
        <f t="shared" si="205"/>
        <v>1000</v>
      </c>
      <c r="J2049" s="15"/>
      <c r="K2049" s="39"/>
    </row>
    <row r="2050" spans="3:11" x14ac:dyDescent="0.3">
      <c r="C2050" s="21" t="s">
        <v>24</v>
      </c>
      <c r="D2050" s="22"/>
      <c r="E2050" s="22"/>
      <c r="F2050" s="54"/>
      <c r="G2050" s="24"/>
      <c r="H2050" s="19">
        <f>SUM(H2046:H2049)</f>
        <v>36355</v>
      </c>
      <c r="I2050" s="25"/>
      <c r="J2050" s="15"/>
      <c r="K2050" s="39"/>
    </row>
    <row r="2051" spans="3:11" x14ac:dyDescent="0.25">
      <c r="C2051" s="12" t="s">
        <v>25</v>
      </c>
      <c r="D2051" s="13" t="s">
        <v>26</v>
      </c>
      <c r="E2051" s="14"/>
      <c r="F2051" s="55"/>
      <c r="G2051" s="14"/>
      <c r="H2051" s="14"/>
      <c r="J2051" s="15"/>
      <c r="K2051" s="39"/>
    </row>
    <row r="2052" spans="3:11" x14ac:dyDescent="0.3">
      <c r="C2052" s="63" t="s">
        <v>202</v>
      </c>
      <c r="D2052" s="26" t="s">
        <v>411</v>
      </c>
      <c r="E2052" s="27" t="s">
        <v>28</v>
      </c>
      <c r="F2052" s="49">
        <v>1.1499999999999999</v>
      </c>
      <c r="G2052" s="19">
        <f>VLOOKUP(D2052,upahbahan,3,FALSE)</f>
        <v>37600</v>
      </c>
      <c r="H2052" s="19">
        <f t="shared" ref="H2052" si="206">F2052*G2052</f>
        <v>43240</v>
      </c>
      <c r="J2052" s="15"/>
      <c r="K2052" s="39"/>
    </row>
    <row r="2053" spans="3:11" x14ac:dyDescent="0.3">
      <c r="C2053" s="21" t="s">
        <v>29</v>
      </c>
      <c r="D2053" s="22"/>
      <c r="E2053" s="22"/>
      <c r="F2053" s="22"/>
      <c r="G2053" s="28"/>
      <c r="H2053" s="19">
        <f>SUM(H2052:H2052)</f>
        <v>43240</v>
      </c>
      <c r="J2053" s="15"/>
      <c r="K2053" s="39"/>
    </row>
    <row r="2054" spans="3:11" x14ac:dyDescent="0.25">
      <c r="C2054" s="12" t="s">
        <v>30</v>
      </c>
      <c r="D2054" s="13" t="s">
        <v>31</v>
      </c>
      <c r="E2054" s="14"/>
      <c r="F2054" s="14"/>
      <c r="G2054" s="14"/>
      <c r="H2054" s="14"/>
      <c r="J2054" s="15"/>
      <c r="K2054" s="39"/>
    </row>
    <row r="2055" spans="3:11" x14ac:dyDescent="0.3">
      <c r="C2055" s="21" t="s">
        <v>32</v>
      </c>
      <c r="D2055" s="22"/>
      <c r="E2055" s="22"/>
      <c r="F2055" s="22"/>
      <c r="G2055" s="28"/>
      <c r="H2055" s="29">
        <v>0</v>
      </c>
      <c r="J2055" s="15"/>
      <c r="K2055" s="39"/>
    </row>
    <row r="2056" spans="3:11" x14ac:dyDescent="0.3">
      <c r="C2056" s="30" t="s">
        <v>33</v>
      </c>
      <c r="D2056" s="31" t="s">
        <v>34</v>
      </c>
      <c r="E2056" s="32"/>
      <c r="F2056" s="32"/>
      <c r="G2056" s="33"/>
      <c r="H2056" s="46">
        <f>H2055+H2053+H2050</f>
        <v>79595</v>
      </c>
      <c r="I2056" s="47"/>
      <c r="J2056" s="15"/>
      <c r="K2056" s="39"/>
    </row>
    <row r="2057" spans="3:11" x14ac:dyDescent="0.3">
      <c r="C2057" s="30" t="s">
        <v>35</v>
      </c>
      <c r="D2057" s="31" t="s">
        <v>36</v>
      </c>
      <c r="E2057" s="32"/>
      <c r="F2057" s="33"/>
      <c r="G2057" s="34">
        <f>$M$9</f>
        <v>0.1</v>
      </c>
      <c r="H2057" s="19">
        <f>H2056*G2057</f>
        <v>7959.5</v>
      </c>
      <c r="I2057" s="47"/>
      <c r="J2057" s="15"/>
      <c r="K2057" s="39"/>
    </row>
    <row r="2058" spans="3:11" x14ac:dyDescent="0.3">
      <c r="C2058" s="30" t="s">
        <v>37</v>
      </c>
      <c r="D2058" s="31" t="s">
        <v>38</v>
      </c>
      <c r="E2058" s="32"/>
      <c r="F2058" s="32"/>
      <c r="G2058" s="33"/>
      <c r="H2058" s="48">
        <f>SUM(H2056:H2057)</f>
        <v>87554.5</v>
      </c>
      <c r="I2058" s="47"/>
      <c r="J2058" s="15"/>
      <c r="K2058" s="39"/>
    </row>
    <row r="2059" spans="3:11" x14ac:dyDescent="0.3">
      <c r="J2059" s="15"/>
      <c r="K2059" s="39"/>
    </row>
    <row r="2060" spans="3:11" x14ac:dyDescent="0.3">
      <c r="C2060" s="2" t="s">
        <v>412</v>
      </c>
      <c r="D2060" s="2" t="s">
        <v>413</v>
      </c>
      <c r="J2060" s="15"/>
      <c r="K2060" s="39"/>
    </row>
    <row r="2061" spans="3:11" x14ac:dyDescent="0.3">
      <c r="C2061" s="40" t="s">
        <v>414</v>
      </c>
      <c r="D2061" s="68" t="s">
        <v>415</v>
      </c>
      <c r="E2061" s="44"/>
      <c r="F2061" s="44"/>
      <c r="G2061" s="44"/>
      <c r="H2061" s="44"/>
      <c r="I2061" s="10">
        <f>ROUNDDOWN(H2076,0)</f>
        <v>23171</v>
      </c>
      <c r="J2061" s="15"/>
      <c r="K2061" s="39"/>
    </row>
    <row r="2062" spans="3:11" ht="27.6" x14ac:dyDescent="0.3">
      <c r="C2062" s="11" t="s">
        <v>9</v>
      </c>
      <c r="D2062" s="11" t="s">
        <v>10</v>
      </c>
      <c r="E2062" s="11" t="s">
        <v>11</v>
      </c>
      <c r="F2062" s="11" t="s">
        <v>12</v>
      </c>
      <c r="G2062" s="11" t="s">
        <v>13</v>
      </c>
      <c r="H2062" s="11" t="s">
        <v>14</v>
      </c>
      <c r="J2062" s="15"/>
      <c r="K2062" s="39"/>
    </row>
    <row r="2063" spans="3:11" x14ac:dyDescent="0.25">
      <c r="C2063" s="12" t="s">
        <v>15</v>
      </c>
      <c r="D2063" s="13" t="s">
        <v>16</v>
      </c>
      <c r="E2063" s="14"/>
      <c r="F2063" s="14"/>
      <c r="G2063" s="14"/>
      <c r="H2063" s="14"/>
      <c r="J2063" s="15"/>
      <c r="K2063" s="39"/>
    </row>
    <row r="2064" spans="3:11" x14ac:dyDescent="0.3">
      <c r="C2064" s="16">
        <v>1</v>
      </c>
      <c r="D2064" s="13" t="s">
        <v>18</v>
      </c>
      <c r="E2064" s="17" t="s">
        <v>19</v>
      </c>
      <c r="F2064" s="49">
        <v>1.9E-2</v>
      </c>
      <c r="G2064" s="19">
        <f>VLOOKUP(D2064,upahbahan,3,FALSE)</f>
        <v>100000</v>
      </c>
      <c r="H2064" s="19">
        <f t="shared" ref="H2064:H2067" si="207">F2064*G2064</f>
        <v>1900</v>
      </c>
      <c r="J2064" s="15"/>
      <c r="K2064" s="39"/>
    </row>
    <row r="2065" spans="3:11" x14ac:dyDescent="0.3">
      <c r="C2065" s="16">
        <v>2</v>
      </c>
      <c r="D2065" s="13" t="str">
        <f>D2047</f>
        <v>Tukang listrik</v>
      </c>
      <c r="E2065" s="17" t="s">
        <v>19</v>
      </c>
      <c r="F2065" s="49">
        <v>3.2000000000000001E-2</v>
      </c>
      <c r="G2065" s="19">
        <f>VLOOKUP(D2065,upahbahan,3,FALSE)</f>
        <v>145000</v>
      </c>
      <c r="H2065" s="19">
        <f t="shared" si="207"/>
        <v>4640</v>
      </c>
      <c r="J2065" s="15"/>
      <c r="K2065" s="39"/>
    </row>
    <row r="2066" spans="3:11" x14ac:dyDescent="0.3">
      <c r="C2066" s="16">
        <v>3</v>
      </c>
      <c r="D2066" s="13" t="s">
        <v>22</v>
      </c>
      <c r="E2066" s="17" t="s">
        <v>19</v>
      </c>
      <c r="F2066" s="49">
        <v>3.0000000000000001E-3</v>
      </c>
      <c r="G2066" s="19">
        <f>VLOOKUP(D2066,upahbahan,3,FALSE)</f>
        <v>175000</v>
      </c>
      <c r="H2066" s="19">
        <f t="shared" si="207"/>
        <v>525</v>
      </c>
      <c r="J2066" s="15"/>
      <c r="K2066" s="39"/>
    </row>
    <row r="2067" spans="3:11" x14ac:dyDescent="0.3">
      <c r="C2067" s="16">
        <v>4</v>
      </c>
      <c r="D2067" s="13" t="s">
        <v>23</v>
      </c>
      <c r="E2067" s="17" t="s">
        <v>19</v>
      </c>
      <c r="F2067" s="49">
        <v>1E-3</v>
      </c>
      <c r="G2067" s="19">
        <f>VLOOKUP(D2067,upahbahan,3,FALSE)</f>
        <v>200000</v>
      </c>
      <c r="H2067" s="19">
        <f t="shared" si="207"/>
        <v>200</v>
      </c>
      <c r="J2067" s="15"/>
      <c r="K2067" s="39"/>
    </row>
    <row r="2068" spans="3:11" x14ac:dyDescent="0.3">
      <c r="C2068" s="21" t="s">
        <v>24</v>
      </c>
      <c r="D2068" s="22"/>
      <c r="E2068" s="22"/>
      <c r="F2068" s="54"/>
      <c r="G2068" s="24"/>
      <c r="H2068" s="19">
        <f>SUM(H2064:H2067)</f>
        <v>7265</v>
      </c>
      <c r="I2068" s="25"/>
      <c r="J2068" s="15"/>
      <c r="K2068" s="39"/>
    </row>
    <row r="2069" spans="3:11" x14ac:dyDescent="0.25">
      <c r="C2069" s="12" t="s">
        <v>25</v>
      </c>
      <c r="D2069" s="13" t="s">
        <v>26</v>
      </c>
      <c r="E2069" s="14"/>
      <c r="F2069" s="55"/>
      <c r="G2069" s="14"/>
      <c r="H2069" s="14"/>
      <c r="J2069" s="15"/>
      <c r="K2069" s="39"/>
    </row>
    <row r="2070" spans="3:11" x14ac:dyDescent="0.3">
      <c r="C2070" s="63" t="s">
        <v>202</v>
      </c>
      <c r="D2070" s="26" t="s">
        <v>416</v>
      </c>
      <c r="E2070" s="27" t="s">
        <v>28</v>
      </c>
      <c r="F2070" s="49">
        <v>1.1499999999999999</v>
      </c>
      <c r="G2070" s="19">
        <f>VLOOKUP(D2070,upahbahan,3,FALSE)</f>
        <v>12000</v>
      </c>
      <c r="H2070" s="19">
        <f t="shared" ref="H2070" si="208">F2070*G2070</f>
        <v>13799.999999999998</v>
      </c>
      <c r="J2070" s="15"/>
      <c r="K2070" s="39"/>
    </row>
    <row r="2071" spans="3:11" x14ac:dyDescent="0.3">
      <c r="C2071" s="21" t="s">
        <v>29</v>
      </c>
      <c r="D2071" s="22"/>
      <c r="E2071" s="22"/>
      <c r="F2071" s="22"/>
      <c r="G2071" s="28"/>
      <c r="H2071" s="19">
        <f>SUM(H2070:H2070)</f>
        <v>13799.999999999998</v>
      </c>
      <c r="J2071" s="15"/>
      <c r="K2071" s="39"/>
    </row>
    <row r="2072" spans="3:11" x14ac:dyDescent="0.25">
      <c r="C2072" s="12" t="s">
        <v>30</v>
      </c>
      <c r="D2072" s="13" t="s">
        <v>31</v>
      </c>
      <c r="E2072" s="14"/>
      <c r="F2072" s="14"/>
      <c r="G2072" s="14"/>
      <c r="H2072" s="14"/>
      <c r="J2072" s="15"/>
      <c r="K2072" s="39"/>
    </row>
    <row r="2073" spans="3:11" x14ac:dyDescent="0.3">
      <c r="C2073" s="21" t="s">
        <v>32</v>
      </c>
      <c r="D2073" s="22"/>
      <c r="E2073" s="22"/>
      <c r="F2073" s="22"/>
      <c r="G2073" s="28"/>
      <c r="H2073" s="29">
        <v>0</v>
      </c>
      <c r="J2073" s="15"/>
      <c r="K2073" s="39"/>
    </row>
    <row r="2074" spans="3:11" x14ac:dyDescent="0.3">
      <c r="C2074" s="30" t="s">
        <v>33</v>
      </c>
      <c r="D2074" s="31" t="s">
        <v>34</v>
      </c>
      <c r="E2074" s="32"/>
      <c r="F2074" s="32"/>
      <c r="G2074" s="33"/>
      <c r="H2074" s="46">
        <f>H2073+H2071+H2068</f>
        <v>21065</v>
      </c>
      <c r="I2074" s="47"/>
      <c r="J2074" s="15"/>
      <c r="K2074" s="39"/>
    </row>
    <row r="2075" spans="3:11" x14ac:dyDescent="0.3">
      <c r="C2075" s="30" t="s">
        <v>35</v>
      </c>
      <c r="D2075" s="31" t="s">
        <v>36</v>
      </c>
      <c r="E2075" s="32"/>
      <c r="F2075" s="33"/>
      <c r="G2075" s="34">
        <f>$M$9</f>
        <v>0.1</v>
      </c>
      <c r="H2075" s="19">
        <f>H2074*G2075</f>
        <v>2106.5</v>
      </c>
      <c r="I2075" s="47"/>
      <c r="J2075" s="15"/>
      <c r="K2075" s="39"/>
    </row>
    <row r="2076" spans="3:11" x14ac:dyDescent="0.3">
      <c r="C2076" s="30" t="s">
        <v>37</v>
      </c>
      <c r="D2076" s="31" t="s">
        <v>38</v>
      </c>
      <c r="E2076" s="32"/>
      <c r="F2076" s="32"/>
      <c r="G2076" s="33"/>
      <c r="H2076" s="48">
        <f>SUM(H2074:H2075)</f>
        <v>23171.5</v>
      </c>
      <c r="I2076" s="47"/>
      <c r="J2076" s="15"/>
      <c r="K2076" s="39"/>
    </row>
    <row r="2077" spans="3:11" x14ac:dyDescent="0.3">
      <c r="J2077" s="15"/>
      <c r="K2077" s="39"/>
    </row>
    <row r="2078" spans="3:11" x14ac:dyDescent="0.3">
      <c r="C2078" s="56" t="s">
        <v>417</v>
      </c>
      <c r="D2078" s="69" t="s">
        <v>418</v>
      </c>
      <c r="E2078" s="58"/>
      <c r="F2078" s="58"/>
      <c r="G2078" s="58"/>
      <c r="H2078" s="58"/>
      <c r="I2078" s="10">
        <f>ROUNDDOWN(H2093,0)</f>
        <v>44676</v>
      </c>
      <c r="J2078" s="15" t="s">
        <v>296</v>
      </c>
      <c r="K2078" s="39" t="s">
        <v>419</v>
      </c>
    </row>
    <row r="2079" spans="3:11" ht="27.6" x14ac:dyDescent="0.3">
      <c r="C2079" s="11" t="s">
        <v>9</v>
      </c>
      <c r="D2079" s="11" t="s">
        <v>10</v>
      </c>
      <c r="E2079" s="11" t="s">
        <v>11</v>
      </c>
      <c r="F2079" s="11" t="s">
        <v>12</v>
      </c>
      <c r="G2079" s="11" t="s">
        <v>13</v>
      </c>
      <c r="H2079" s="11" t="s">
        <v>14</v>
      </c>
      <c r="J2079" s="15"/>
      <c r="K2079" s="39"/>
    </row>
    <row r="2080" spans="3:11" x14ac:dyDescent="0.25">
      <c r="C2080" s="12" t="s">
        <v>15</v>
      </c>
      <c r="D2080" s="13" t="s">
        <v>16</v>
      </c>
      <c r="E2080" s="14"/>
      <c r="F2080" s="14"/>
      <c r="G2080" s="14"/>
      <c r="H2080" s="14"/>
      <c r="J2080" s="15"/>
      <c r="K2080" s="39"/>
    </row>
    <row r="2081" spans="3:11" x14ac:dyDescent="0.3">
      <c r="C2081" s="16">
        <v>1</v>
      </c>
      <c r="D2081" s="13" t="s">
        <v>18</v>
      </c>
      <c r="E2081" s="17" t="s">
        <v>19</v>
      </c>
      <c r="F2081" s="49">
        <v>1.9E-2</v>
      </c>
      <c r="G2081" s="19">
        <f>VLOOKUP(D2081,upahbahan,3,FALSE)</f>
        <v>100000</v>
      </c>
      <c r="H2081" s="19">
        <f t="shared" ref="H2081:H2084" si="209">F2081*G2081</f>
        <v>1900</v>
      </c>
      <c r="J2081" s="15"/>
      <c r="K2081" s="39"/>
    </row>
    <row r="2082" spans="3:11" x14ac:dyDescent="0.3">
      <c r="C2082" s="16">
        <v>2</v>
      </c>
      <c r="D2082" s="13" t="str">
        <f>D2065</f>
        <v>Tukang listrik</v>
      </c>
      <c r="E2082" s="17" t="s">
        <v>19</v>
      </c>
      <c r="F2082" s="49">
        <v>3.2000000000000001E-2</v>
      </c>
      <c r="G2082" s="19">
        <f>VLOOKUP(D2082,upahbahan,3,FALSE)</f>
        <v>145000</v>
      </c>
      <c r="H2082" s="19">
        <f t="shared" si="209"/>
        <v>4640</v>
      </c>
      <c r="J2082" s="15"/>
      <c r="K2082" s="39"/>
    </row>
    <row r="2083" spans="3:11" x14ac:dyDescent="0.3">
      <c r="C2083" s="16">
        <v>3</v>
      </c>
      <c r="D2083" s="13" t="s">
        <v>22</v>
      </c>
      <c r="E2083" s="17" t="s">
        <v>19</v>
      </c>
      <c r="F2083" s="49">
        <v>3.0000000000000001E-3</v>
      </c>
      <c r="G2083" s="19">
        <f>VLOOKUP(D2083,upahbahan,3,FALSE)</f>
        <v>175000</v>
      </c>
      <c r="H2083" s="19">
        <f t="shared" si="209"/>
        <v>525</v>
      </c>
      <c r="J2083" s="15"/>
      <c r="K2083" s="39"/>
    </row>
    <row r="2084" spans="3:11" x14ac:dyDescent="0.3">
      <c r="C2084" s="16">
        <v>4</v>
      </c>
      <c r="D2084" s="13" t="s">
        <v>23</v>
      </c>
      <c r="E2084" s="17" t="s">
        <v>19</v>
      </c>
      <c r="F2084" s="49">
        <v>1E-3</v>
      </c>
      <c r="G2084" s="19">
        <f>VLOOKUP(D2084,upahbahan,3,FALSE)</f>
        <v>200000</v>
      </c>
      <c r="H2084" s="19">
        <f t="shared" si="209"/>
        <v>200</v>
      </c>
      <c r="J2084" s="15"/>
      <c r="K2084" s="39"/>
    </row>
    <row r="2085" spans="3:11" x14ac:dyDescent="0.3">
      <c r="C2085" s="21" t="s">
        <v>24</v>
      </c>
      <c r="D2085" s="22"/>
      <c r="E2085" s="22"/>
      <c r="F2085" s="54"/>
      <c r="G2085" s="24"/>
      <c r="H2085" s="19">
        <f>SUM(H2081:H2084)</f>
        <v>7265</v>
      </c>
      <c r="I2085" s="25"/>
      <c r="J2085" s="15"/>
      <c r="K2085" s="39"/>
    </row>
    <row r="2086" spans="3:11" x14ac:dyDescent="0.25">
      <c r="C2086" s="12" t="s">
        <v>25</v>
      </c>
      <c r="D2086" s="13" t="s">
        <v>26</v>
      </c>
      <c r="E2086" s="14"/>
      <c r="F2086" s="55"/>
      <c r="G2086" s="14"/>
      <c r="H2086" s="14"/>
      <c r="J2086" s="15"/>
      <c r="K2086" s="39"/>
    </row>
    <row r="2087" spans="3:11" x14ac:dyDescent="0.3">
      <c r="C2087" s="63" t="s">
        <v>202</v>
      </c>
      <c r="D2087" s="26" t="s">
        <v>420</v>
      </c>
      <c r="E2087" s="27" t="s">
        <v>28</v>
      </c>
      <c r="F2087" s="49">
        <v>1.1499999999999999</v>
      </c>
      <c r="G2087" s="19">
        <v>29000</v>
      </c>
      <c r="H2087" s="19">
        <f t="shared" ref="H2087" si="210">F2087*G2087</f>
        <v>33350</v>
      </c>
      <c r="J2087" s="15"/>
      <c r="K2087" s="39"/>
    </row>
    <row r="2088" spans="3:11" x14ac:dyDescent="0.3">
      <c r="C2088" s="21" t="s">
        <v>29</v>
      </c>
      <c r="D2088" s="22"/>
      <c r="E2088" s="22"/>
      <c r="F2088" s="22"/>
      <c r="G2088" s="28"/>
      <c r="H2088" s="19">
        <f>SUM(H2087:H2087)</f>
        <v>33350</v>
      </c>
      <c r="J2088" s="15"/>
      <c r="K2088" s="39"/>
    </row>
    <row r="2089" spans="3:11" x14ac:dyDescent="0.25">
      <c r="C2089" s="12" t="s">
        <v>30</v>
      </c>
      <c r="D2089" s="13" t="s">
        <v>31</v>
      </c>
      <c r="E2089" s="14"/>
      <c r="F2089" s="14"/>
      <c r="G2089" s="14"/>
      <c r="H2089" s="14"/>
      <c r="J2089" s="15"/>
      <c r="K2089" s="39"/>
    </row>
    <row r="2090" spans="3:11" x14ac:dyDescent="0.3">
      <c r="C2090" s="21" t="s">
        <v>32</v>
      </c>
      <c r="D2090" s="22"/>
      <c r="E2090" s="22"/>
      <c r="F2090" s="22"/>
      <c r="G2090" s="28"/>
      <c r="H2090" s="29">
        <v>0</v>
      </c>
      <c r="J2090" s="15"/>
      <c r="K2090" s="39"/>
    </row>
    <row r="2091" spans="3:11" x14ac:dyDescent="0.3">
      <c r="C2091" s="30" t="s">
        <v>33</v>
      </c>
      <c r="D2091" s="31" t="s">
        <v>34</v>
      </c>
      <c r="E2091" s="32"/>
      <c r="F2091" s="32"/>
      <c r="G2091" s="33"/>
      <c r="H2091" s="46">
        <f>H2090+H2088+H2085</f>
        <v>40615</v>
      </c>
      <c r="I2091" s="47"/>
      <c r="J2091" s="15"/>
      <c r="K2091" s="39"/>
    </row>
    <row r="2092" spans="3:11" x14ac:dyDescent="0.3">
      <c r="C2092" s="30" t="s">
        <v>35</v>
      </c>
      <c r="D2092" s="31" t="s">
        <v>36</v>
      </c>
      <c r="E2092" s="32"/>
      <c r="F2092" s="33"/>
      <c r="G2092" s="34">
        <f>$M$9</f>
        <v>0.1</v>
      </c>
      <c r="H2092" s="19">
        <f>H2091*G2092</f>
        <v>4061.5</v>
      </c>
      <c r="I2092" s="47"/>
      <c r="J2092" s="15"/>
      <c r="K2092" s="39"/>
    </row>
    <row r="2093" spans="3:11" x14ac:dyDescent="0.3">
      <c r="C2093" s="30" t="s">
        <v>37</v>
      </c>
      <c r="D2093" s="31" t="s">
        <v>38</v>
      </c>
      <c r="E2093" s="32"/>
      <c r="F2093" s="32"/>
      <c r="G2093" s="33"/>
      <c r="H2093" s="48">
        <f>SUM(H2091:H2092)</f>
        <v>44676.5</v>
      </c>
      <c r="I2093" s="47"/>
      <c r="J2093" s="15"/>
      <c r="K2093" s="39"/>
    </row>
    <row r="2094" spans="3:11" x14ac:dyDescent="0.3">
      <c r="J2094" s="15"/>
      <c r="K2094" s="39"/>
    </row>
    <row r="2095" spans="3:11" x14ac:dyDescent="0.3">
      <c r="C2095" s="56" t="s">
        <v>421</v>
      </c>
      <c r="D2095" s="69" t="s">
        <v>422</v>
      </c>
      <c r="E2095" s="58"/>
      <c r="F2095" s="58"/>
      <c r="G2095" s="58"/>
      <c r="H2095" s="58"/>
      <c r="I2095" s="10">
        <f>ROUNDDOWN(H2110,0)</f>
        <v>51755</v>
      </c>
      <c r="J2095" s="15"/>
      <c r="K2095" s="39"/>
    </row>
    <row r="2096" spans="3:11" ht="27.6" x14ac:dyDescent="0.3">
      <c r="C2096" s="11" t="s">
        <v>9</v>
      </c>
      <c r="D2096" s="11" t="s">
        <v>10</v>
      </c>
      <c r="E2096" s="11" t="s">
        <v>11</v>
      </c>
      <c r="F2096" s="11" t="s">
        <v>12</v>
      </c>
      <c r="G2096" s="11" t="s">
        <v>13</v>
      </c>
      <c r="H2096" s="11" t="s">
        <v>14</v>
      </c>
      <c r="J2096" s="15"/>
      <c r="K2096" s="39"/>
    </row>
    <row r="2097" spans="3:11" x14ac:dyDescent="0.25">
      <c r="C2097" s="12" t="s">
        <v>15</v>
      </c>
      <c r="D2097" s="13" t="s">
        <v>16</v>
      </c>
      <c r="E2097" s="14"/>
      <c r="F2097" s="14"/>
      <c r="G2097" s="14"/>
      <c r="H2097" s="14"/>
      <c r="J2097" s="15"/>
      <c r="K2097" s="39"/>
    </row>
    <row r="2098" spans="3:11" x14ac:dyDescent="0.3">
      <c r="C2098" s="16">
        <v>1</v>
      </c>
      <c r="D2098" s="13" t="s">
        <v>18</v>
      </c>
      <c r="E2098" s="17" t="s">
        <v>19</v>
      </c>
      <c r="F2098" s="18">
        <v>2.4E-2</v>
      </c>
      <c r="G2098" s="19">
        <f>VLOOKUP(D2098,upahbahan,3,FALSE)</f>
        <v>100000</v>
      </c>
      <c r="H2098" s="19">
        <f t="shared" ref="H2098:H2101" si="211">F2098*G2098</f>
        <v>2400</v>
      </c>
      <c r="J2098" s="15"/>
      <c r="K2098" s="39"/>
    </row>
    <row r="2099" spans="3:11" x14ac:dyDescent="0.3">
      <c r="C2099" s="16">
        <v>2</v>
      </c>
      <c r="D2099" s="13" t="str">
        <f>D2082</f>
        <v>Tukang listrik</v>
      </c>
      <c r="E2099" s="17" t="s">
        <v>19</v>
      </c>
      <c r="F2099" s="18">
        <v>0.04</v>
      </c>
      <c r="G2099" s="19">
        <f>VLOOKUP(D2099,upahbahan,3,FALSE)</f>
        <v>145000</v>
      </c>
      <c r="H2099" s="19">
        <f t="shared" si="211"/>
        <v>5800</v>
      </c>
      <c r="J2099" s="15"/>
      <c r="K2099" s="39"/>
    </row>
    <row r="2100" spans="3:11" x14ac:dyDescent="0.3">
      <c r="C2100" s="16">
        <v>3</v>
      </c>
      <c r="D2100" s="13" t="s">
        <v>22</v>
      </c>
      <c r="E2100" s="17" t="s">
        <v>19</v>
      </c>
      <c r="F2100" s="18">
        <v>4.0000000000000001E-3</v>
      </c>
      <c r="G2100" s="19">
        <f>VLOOKUP(D2100,upahbahan,3,FALSE)</f>
        <v>175000</v>
      </c>
      <c r="H2100" s="19">
        <f t="shared" si="211"/>
        <v>700</v>
      </c>
      <c r="J2100" s="15"/>
      <c r="K2100" s="39"/>
    </row>
    <row r="2101" spans="3:11" x14ac:dyDescent="0.3">
      <c r="C2101" s="16">
        <v>4</v>
      </c>
      <c r="D2101" s="13" t="s">
        <v>23</v>
      </c>
      <c r="E2101" s="17" t="s">
        <v>19</v>
      </c>
      <c r="F2101" s="18">
        <v>1E-3</v>
      </c>
      <c r="G2101" s="19">
        <f>VLOOKUP(D2101,upahbahan,3,FALSE)</f>
        <v>200000</v>
      </c>
      <c r="H2101" s="19">
        <f t="shared" si="211"/>
        <v>200</v>
      </c>
      <c r="J2101" s="15"/>
      <c r="K2101" s="39"/>
    </row>
    <row r="2102" spans="3:11" x14ac:dyDescent="0.3">
      <c r="C2102" s="21" t="s">
        <v>24</v>
      </c>
      <c r="D2102" s="22"/>
      <c r="E2102" s="22"/>
      <c r="F2102" s="54"/>
      <c r="G2102" s="24"/>
      <c r="H2102" s="19">
        <f>SUM(H2098:H2101)</f>
        <v>9100</v>
      </c>
      <c r="I2102" s="25"/>
      <c r="J2102" s="15"/>
      <c r="K2102" s="39"/>
    </row>
    <row r="2103" spans="3:11" x14ac:dyDescent="0.25">
      <c r="C2103" s="12" t="s">
        <v>25</v>
      </c>
      <c r="D2103" s="13" t="s">
        <v>26</v>
      </c>
      <c r="E2103" s="14"/>
      <c r="F2103" s="55"/>
      <c r="G2103" s="14"/>
      <c r="H2103" s="14"/>
      <c r="J2103" s="15"/>
      <c r="K2103" s="39"/>
    </row>
    <row r="2104" spans="3:11" x14ac:dyDescent="0.3">
      <c r="C2104" s="63" t="s">
        <v>202</v>
      </c>
      <c r="D2104" s="26" t="s">
        <v>423</v>
      </c>
      <c r="E2104" s="27" t="s">
        <v>28</v>
      </c>
      <c r="F2104" s="49">
        <v>1.1499999999999999</v>
      </c>
      <c r="G2104" s="19">
        <v>33000</v>
      </c>
      <c r="H2104" s="19">
        <f t="shared" ref="H2104" si="212">F2104*G2104</f>
        <v>37950</v>
      </c>
      <c r="J2104" s="15"/>
      <c r="K2104" s="39"/>
    </row>
    <row r="2105" spans="3:11" x14ac:dyDescent="0.3">
      <c r="C2105" s="21" t="s">
        <v>29</v>
      </c>
      <c r="D2105" s="22"/>
      <c r="E2105" s="22"/>
      <c r="F2105" s="22"/>
      <c r="G2105" s="28"/>
      <c r="H2105" s="19">
        <f>SUM(H2104:H2104)</f>
        <v>37950</v>
      </c>
      <c r="J2105" s="15"/>
      <c r="K2105" s="39"/>
    </row>
    <row r="2106" spans="3:11" x14ac:dyDescent="0.25">
      <c r="C2106" s="12" t="s">
        <v>30</v>
      </c>
      <c r="D2106" s="13" t="s">
        <v>31</v>
      </c>
      <c r="E2106" s="14"/>
      <c r="F2106" s="14"/>
      <c r="G2106" s="14"/>
      <c r="H2106" s="14"/>
      <c r="J2106" s="15"/>
      <c r="K2106" s="39"/>
    </row>
    <row r="2107" spans="3:11" x14ac:dyDescent="0.3">
      <c r="C2107" s="21" t="s">
        <v>32</v>
      </c>
      <c r="D2107" s="22"/>
      <c r="E2107" s="22"/>
      <c r="F2107" s="22"/>
      <c r="G2107" s="28"/>
      <c r="H2107" s="29">
        <v>0</v>
      </c>
      <c r="J2107" s="15"/>
      <c r="K2107" s="39"/>
    </row>
    <row r="2108" spans="3:11" x14ac:dyDescent="0.3">
      <c r="C2108" s="30" t="s">
        <v>33</v>
      </c>
      <c r="D2108" s="31" t="s">
        <v>34</v>
      </c>
      <c r="E2108" s="32"/>
      <c r="F2108" s="32"/>
      <c r="G2108" s="33"/>
      <c r="H2108" s="46">
        <f>H2107+H2105+H2102</f>
        <v>47050</v>
      </c>
      <c r="I2108" s="47"/>
      <c r="J2108" s="15"/>
      <c r="K2108" s="39"/>
    </row>
    <row r="2109" spans="3:11" x14ac:dyDescent="0.3">
      <c r="C2109" s="30" t="s">
        <v>35</v>
      </c>
      <c r="D2109" s="31" t="s">
        <v>36</v>
      </c>
      <c r="E2109" s="32"/>
      <c r="F2109" s="33"/>
      <c r="G2109" s="34">
        <f>$M$9</f>
        <v>0.1</v>
      </c>
      <c r="H2109" s="19">
        <f>H2108*G2109</f>
        <v>4705</v>
      </c>
      <c r="I2109" s="47"/>
      <c r="J2109" s="15"/>
      <c r="K2109" s="39"/>
    </row>
    <row r="2110" spans="3:11" x14ac:dyDescent="0.3">
      <c r="C2110" s="30" t="s">
        <v>37</v>
      </c>
      <c r="D2110" s="31" t="s">
        <v>38</v>
      </c>
      <c r="E2110" s="32"/>
      <c r="F2110" s="32"/>
      <c r="G2110" s="33"/>
      <c r="H2110" s="48">
        <f>SUM(H2108:H2109)</f>
        <v>51755</v>
      </c>
      <c r="I2110" s="47"/>
      <c r="J2110" s="15"/>
      <c r="K2110" s="39"/>
    </row>
    <row r="2111" spans="3:11" x14ac:dyDescent="0.3">
      <c r="J2111" s="15"/>
      <c r="K2111" s="39"/>
    </row>
    <row r="2112" spans="3:11" x14ac:dyDescent="0.3">
      <c r="C2112" s="56" t="s">
        <v>424</v>
      </c>
      <c r="D2112" s="69" t="s">
        <v>425</v>
      </c>
      <c r="E2112" s="58"/>
      <c r="F2112" s="58"/>
      <c r="G2112" s="58"/>
      <c r="H2112" s="58"/>
      <c r="I2112" s="10">
        <f>ROUNDDOWN(H2127,0)</f>
        <v>58080</v>
      </c>
      <c r="J2112" s="15"/>
      <c r="K2112" s="39"/>
    </row>
    <row r="2113" spans="3:11" ht="27.6" x14ac:dyDescent="0.3">
      <c r="C2113" s="11" t="s">
        <v>9</v>
      </c>
      <c r="D2113" s="11" t="s">
        <v>10</v>
      </c>
      <c r="E2113" s="11" t="s">
        <v>11</v>
      </c>
      <c r="F2113" s="11" t="s">
        <v>12</v>
      </c>
      <c r="G2113" s="11" t="s">
        <v>13</v>
      </c>
      <c r="H2113" s="11" t="s">
        <v>14</v>
      </c>
      <c r="J2113" s="15"/>
      <c r="K2113" s="39"/>
    </row>
    <row r="2114" spans="3:11" x14ac:dyDescent="0.25">
      <c r="C2114" s="12" t="s">
        <v>15</v>
      </c>
      <c r="D2114" s="13" t="s">
        <v>16</v>
      </c>
      <c r="E2114" s="14"/>
      <c r="F2114" s="14"/>
      <c r="G2114" s="14"/>
      <c r="H2114" s="14"/>
      <c r="J2114" s="15"/>
      <c r="K2114" s="39"/>
    </row>
    <row r="2115" spans="3:11" x14ac:dyDescent="0.3">
      <c r="C2115" s="16">
        <v>1</v>
      </c>
      <c r="D2115" s="13" t="s">
        <v>18</v>
      </c>
      <c r="E2115" s="17" t="s">
        <v>19</v>
      </c>
      <c r="F2115" s="18">
        <v>2.4E-2</v>
      </c>
      <c r="G2115" s="19">
        <f>VLOOKUP(D2115,upahbahan,3,FALSE)</f>
        <v>100000</v>
      </c>
      <c r="H2115" s="19">
        <f t="shared" ref="H2115:H2118" si="213">F2115*G2115</f>
        <v>2400</v>
      </c>
      <c r="J2115" s="15"/>
      <c r="K2115" s="39"/>
    </row>
    <row r="2116" spans="3:11" x14ac:dyDescent="0.3">
      <c r="C2116" s="16">
        <v>2</v>
      </c>
      <c r="D2116" s="13" t="str">
        <f>D2099</f>
        <v>Tukang listrik</v>
      </c>
      <c r="E2116" s="17" t="s">
        <v>19</v>
      </c>
      <c r="F2116" s="18">
        <v>0.04</v>
      </c>
      <c r="G2116" s="19">
        <f>VLOOKUP(D2116,upahbahan,3,FALSE)</f>
        <v>145000</v>
      </c>
      <c r="H2116" s="19">
        <f t="shared" si="213"/>
        <v>5800</v>
      </c>
      <c r="J2116" s="15"/>
      <c r="K2116" s="39"/>
    </row>
    <row r="2117" spans="3:11" x14ac:dyDescent="0.3">
      <c r="C2117" s="16">
        <v>3</v>
      </c>
      <c r="D2117" s="13" t="s">
        <v>22</v>
      </c>
      <c r="E2117" s="17" t="s">
        <v>19</v>
      </c>
      <c r="F2117" s="18">
        <v>4.0000000000000001E-3</v>
      </c>
      <c r="G2117" s="19">
        <f>VLOOKUP(D2117,upahbahan,3,FALSE)</f>
        <v>175000</v>
      </c>
      <c r="H2117" s="19">
        <f t="shared" si="213"/>
        <v>700</v>
      </c>
      <c r="J2117" s="15"/>
      <c r="K2117" s="39"/>
    </row>
    <row r="2118" spans="3:11" x14ac:dyDescent="0.3">
      <c r="C2118" s="16">
        <v>4</v>
      </c>
      <c r="D2118" s="13" t="s">
        <v>23</v>
      </c>
      <c r="E2118" s="17" t="s">
        <v>19</v>
      </c>
      <c r="F2118" s="18">
        <v>1E-3</v>
      </c>
      <c r="G2118" s="19">
        <f>VLOOKUP(D2118,upahbahan,3,FALSE)</f>
        <v>200000</v>
      </c>
      <c r="H2118" s="19">
        <f t="shared" si="213"/>
        <v>200</v>
      </c>
      <c r="J2118" s="15"/>
      <c r="K2118" s="39"/>
    </row>
    <row r="2119" spans="3:11" x14ac:dyDescent="0.3">
      <c r="C2119" s="21" t="s">
        <v>24</v>
      </c>
      <c r="D2119" s="22"/>
      <c r="E2119" s="22"/>
      <c r="F2119" s="54"/>
      <c r="G2119" s="24"/>
      <c r="H2119" s="19">
        <f>SUM(H2115:H2118)</f>
        <v>9100</v>
      </c>
      <c r="I2119" s="25"/>
      <c r="J2119" s="15"/>
      <c r="K2119" s="39"/>
    </row>
    <row r="2120" spans="3:11" x14ac:dyDescent="0.25">
      <c r="C2120" s="12" t="s">
        <v>25</v>
      </c>
      <c r="D2120" s="13" t="s">
        <v>26</v>
      </c>
      <c r="E2120" s="14"/>
      <c r="F2120" s="55"/>
      <c r="G2120" s="14"/>
      <c r="H2120" s="14"/>
      <c r="J2120" s="15"/>
      <c r="K2120" s="39"/>
    </row>
    <row r="2121" spans="3:11" x14ac:dyDescent="0.3">
      <c r="C2121" s="63" t="s">
        <v>202</v>
      </c>
      <c r="D2121" s="26" t="s">
        <v>426</v>
      </c>
      <c r="E2121" s="27" t="s">
        <v>28</v>
      </c>
      <c r="F2121" s="49">
        <v>1.1499999999999999</v>
      </c>
      <c r="G2121" s="19">
        <v>38000</v>
      </c>
      <c r="H2121" s="19">
        <f t="shared" ref="H2121" si="214">F2121*G2121</f>
        <v>43700</v>
      </c>
      <c r="J2121" s="15"/>
      <c r="K2121" s="39"/>
    </row>
    <row r="2122" spans="3:11" x14ac:dyDescent="0.3">
      <c r="C2122" s="21" t="s">
        <v>29</v>
      </c>
      <c r="D2122" s="22"/>
      <c r="E2122" s="22"/>
      <c r="F2122" s="22"/>
      <c r="G2122" s="28"/>
      <c r="H2122" s="19">
        <f>SUM(H2121:H2121)</f>
        <v>43700</v>
      </c>
      <c r="J2122" s="15"/>
      <c r="K2122" s="39"/>
    </row>
    <row r="2123" spans="3:11" x14ac:dyDescent="0.25">
      <c r="C2123" s="12" t="s">
        <v>30</v>
      </c>
      <c r="D2123" s="13" t="s">
        <v>31</v>
      </c>
      <c r="E2123" s="14"/>
      <c r="F2123" s="14"/>
      <c r="G2123" s="14"/>
      <c r="H2123" s="14"/>
      <c r="J2123" s="15"/>
      <c r="K2123" s="39"/>
    </row>
    <row r="2124" spans="3:11" x14ac:dyDescent="0.3">
      <c r="C2124" s="21" t="s">
        <v>32</v>
      </c>
      <c r="D2124" s="22"/>
      <c r="E2124" s="22"/>
      <c r="F2124" s="22"/>
      <c r="G2124" s="28"/>
      <c r="H2124" s="29">
        <v>0</v>
      </c>
      <c r="J2124" s="15"/>
      <c r="K2124" s="39"/>
    </row>
    <row r="2125" spans="3:11" x14ac:dyDescent="0.3">
      <c r="C2125" s="30" t="s">
        <v>33</v>
      </c>
      <c r="D2125" s="31" t="s">
        <v>34</v>
      </c>
      <c r="E2125" s="32"/>
      <c r="F2125" s="32"/>
      <c r="G2125" s="33"/>
      <c r="H2125" s="46">
        <f>H2124+H2122+H2119</f>
        <v>52800</v>
      </c>
      <c r="I2125" s="47"/>
      <c r="J2125" s="15"/>
      <c r="K2125" s="39"/>
    </row>
    <row r="2126" spans="3:11" x14ac:dyDescent="0.3">
      <c r="C2126" s="30" t="s">
        <v>35</v>
      </c>
      <c r="D2126" s="31" t="s">
        <v>36</v>
      </c>
      <c r="E2126" s="32"/>
      <c r="F2126" s="33"/>
      <c r="G2126" s="34">
        <f>$M$9</f>
        <v>0.1</v>
      </c>
      <c r="H2126" s="19">
        <f>H2125*G2126</f>
        <v>5280</v>
      </c>
      <c r="I2126" s="47"/>
      <c r="J2126" s="15"/>
      <c r="K2126" s="39"/>
    </row>
    <row r="2127" spans="3:11" x14ac:dyDescent="0.3">
      <c r="C2127" s="30" t="s">
        <v>37</v>
      </c>
      <c r="D2127" s="31" t="s">
        <v>38</v>
      </c>
      <c r="E2127" s="32"/>
      <c r="F2127" s="32"/>
      <c r="G2127" s="33"/>
      <c r="H2127" s="48">
        <f>SUM(H2125:H2126)</f>
        <v>58080</v>
      </c>
      <c r="I2127" s="47"/>
      <c r="J2127" s="15"/>
      <c r="K2127" s="39"/>
    </row>
    <row r="2128" spans="3:11" x14ac:dyDescent="0.3">
      <c r="J2128" s="15"/>
      <c r="K2128" s="39"/>
    </row>
    <row r="2129" spans="3:11" x14ac:dyDescent="0.3">
      <c r="C2129" s="56" t="s">
        <v>427</v>
      </c>
      <c r="D2129" s="69" t="s">
        <v>428</v>
      </c>
      <c r="E2129" s="58"/>
      <c r="F2129" s="58"/>
      <c r="G2129" s="58"/>
      <c r="H2129" s="58"/>
      <c r="I2129" s="10">
        <f>ROUNDDOWN(H2144,0)</f>
        <v>79293</v>
      </c>
      <c r="J2129" s="15"/>
      <c r="K2129" s="39"/>
    </row>
    <row r="2130" spans="3:11" ht="27.6" x14ac:dyDescent="0.3">
      <c r="C2130" s="11" t="s">
        <v>9</v>
      </c>
      <c r="D2130" s="11" t="s">
        <v>10</v>
      </c>
      <c r="E2130" s="11" t="s">
        <v>11</v>
      </c>
      <c r="F2130" s="11" t="s">
        <v>12</v>
      </c>
      <c r="G2130" s="11" t="s">
        <v>13</v>
      </c>
      <c r="H2130" s="11" t="s">
        <v>14</v>
      </c>
      <c r="J2130" s="15"/>
      <c r="K2130" s="39"/>
    </row>
    <row r="2131" spans="3:11" x14ac:dyDescent="0.25">
      <c r="C2131" s="12" t="s">
        <v>15</v>
      </c>
      <c r="D2131" s="13" t="s">
        <v>16</v>
      </c>
      <c r="E2131" s="14"/>
      <c r="F2131" s="14"/>
      <c r="G2131" s="14"/>
      <c r="H2131" s="14"/>
      <c r="J2131" s="15"/>
      <c r="K2131" s="39"/>
    </row>
    <row r="2132" spans="3:11" x14ac:dyDescent="0.3">
      <c r="C2132" s="16">
        <v>1</v>
      </c>
      <c r="D2132" s="13" t="s">
        <v>18</v>
      </c>
      <c r="E2132" s="17" t="s">
        <v>19</v>
      </c>
      <c r="F2132" s="49">
        <v>2.9000000000000001E-2</v>
      </c>
      <c r="G2132" s="19">
        <f>VLOOKUP(D2132,upahbahan,3,FALSE)</f>
        <v>100000</v>
      </c>
      <c r="H2132" s="19">
        <f t="shared" ref="H2132:H2135" si="215">F2132*G2132</f>
        <v>2900</v>
      </c>
      <c r="J2132" s="15"/>
      <c r="K2132" s="39"/>
    </row>
    <row r="2133" spans="3:11" x14ac:dyDescent="0.3">
      <c r="C2133" s="16">
        <v>2</v>
      </c>
      <c r="D2133" s="13" t="str">
        <f>D2116</f>
        <v>Tukang listrik</v>
      </c>
      <c r="E2133" s="17" t="s">
        <v>19</v>
      </c>
      <c r="F2133" s="49">
        <v>4.8000000000000001E-2</v>
      </c>
      <c r="G2133" s="19">
        <f>VLOOKUP(D2133,upahbahan,3,FALSE)</f>
        <v>145000</v>
      </c>
      <c r="H2133" s="19">
        <f t="shared" si="215"/>
        <v>6960</v>
      </c>
      <c r="J2133" s="15"/>
      <c r="K2133" s="39"/>
    </row>
    <row r="2134" spans="3:11" x14ac:dyDescent="0.3">
      <c r="C2134" s="16">
        <v>3</v>
      </c>
      <c r="D2134" s="13" t="s">
        <v>22</v>
      </c>
      <c r="E2134" s="17" t="s">
        <v>19</v>
      </c>
      <c r="F2134" s="49">
        <v>5.0000000000000001E-3</v>
      </c>
      <c r="G2134" s="19">
        <f>VLOOKUP(D2134,upahbahan,3,FALSE)</f>
        <v>175000</v>
      </c>
      <c r="H2134" s="19">
        <f t="shared" si="215"/>
        <v>875</v>
      </c>
      <c r="J2134" s="15"/>
      <c r="K2134" s="39"/>
    </row>
    <row r="2135" spans="3:11" x14ac:dyDescent="0.3">
      <c r="C2135" s="16">
        <v>4</v>
      </c>
      <c r="D2135" s="13" t="s">
        <v>23</v>
      </c>
      <c r="E2135" s="17" t="s">
        <v>19</v>
      </c>
      <c r="F2135" s="49">
        <v>2E-3</v>
      </c>
      <c r="G2135" s="19">
        <f>VLOOKUP(D2135,upahbahan,3,FALSE)</f>
        <v>200000</v>
      </c>
      <c r="H2135" s="19">
        <f t="shared" si="215"/>
        <v>400</v>
      </c>
      <c r="J2135" s="15"/>
      <c r="K2135" s="39"/>
    </row>
    <row r="2136" spans="3:11" x14ac:dyDescent="0.3">
      <c r="C2136" s="21" t="s">
        <v>24</v>
      </c>
      <c r="D2136" s="22"/>
      <c r="E2136" s="22"/>
      <c r="F2136" s="54"/>
      <c r="G2136" s="24"/>
      <c r="H2136" s="19">
        <f>SUM(H2132:H2135)</f>
        <v>11135</v>
      </c>
      <c r="I2136" s="25"/>
      <c r="J2136" s="15"/>
      <c r="K2136" s="39"/>
    </row>
    <row r="2137" spans="3:11" x14ac:dyDescent="0.25">
      <c r="C2137" s="12" t="s">
        <v>25</v>
      </c>
      <c r="D2137" s="13" t="s">
        <v>26</v>
      </c>
      <c r="E2137" s="14"/>
      <c r="F2137" s="55"/>
      <c r="G2137" s="14"/>
      <c r="H2137" s="14"/>
      <c r="J2137" s="15"/>
      <c r="K2137" s="39"/>
    </row>
    <row r="2138" spans="3:11" x14ac:dyDescent="0.3">
      <c r="C2138" s="63" t="s">
        <v>202</v>
      </c>
      <c r="D2138" s="26" t="s">
        <v>429</v>
      </c>
      <c r="E2138" s="27" t="s">
        <v>28</v>
      </c>
      <c r="F2138" s="49">
        <v>1.1499999999999999</v>
      </c>
      <c r="G2138" s="19">
        <f>VLOOKUP(D2138,upahbahan,3,FALSE)</f>
        <v>53000</v>
      </c>
      <c r="H2138" s="19">
        <f t="shared" ref="H2138" si="216">F2138*G2138</f>
        <v>60949.999999999993</v>
      </c>
      <c r="J2138" s="15"/>
      <c r="K2138" s="39"/>
    </row>
    <row r="2139" spans="3:11" x14ac:dyDescent="0.3">
      <c r="C2139" s="21" t="s">
        <v>29</v>
      </c>
      <c r="D2139" s="22"/>
      <c r="E2139" s="22"/>
      <c r="F2139" s="22"/>
      <c r="G2139" s="28"/>
      <c r="H2139" s="19">
        <f>SUM(H2138:H2138)</f>
        <v>60949.999999999993</v>
      </c>
      <c r="J2139" s="15"/>
      <c r="K2139" s="39"/>
    </row>
    <row r="2140" spans="3:11" x14ac:dyDescent="0.25">
      <c r="C2140" s="12" t="s">
        <v>30</v>
      </c>
      <c r="D2140" s="13" t="s">
        <v>31</v>
      </c>
      <c r="E2140" s="14"/>
      <c r="F2140" s="14"/>
      <c r="G2140" s="14"/>
      <c r="H2140" s="14"/>
      <c r="J2140" s="15"/>
      <c r="K2140" s="39"/>
    </row>
    <row r="2141" spans="3:11" x14ac:dyDescent="0.3">
      <c r="C2141" s="21" t="s">
        <v>32</v>
      </c>
      <c r="D2141" s="22"/>
      <c r="E2141" s="22"/>
      <c r="F2141" s="22"/>
      <c r="G2141" s="28"/>
      <c r="H2141" s="29">
        <v>0</v>
      </c>
      <c r="J2141" s="15"/>
      <c r="K2141" s="39"/>
    </row>
    <row r="2142" spans="3:11" x14ac:dyDescent="0.3">
      <c r="C2142" s="30" t="s">
        <v>33</v>
      </c>
      <c r="D2142" s="31" t="s">
        <v>34</v>
      </c>
      <c r="E2142" s="32"/>
      <c r="F2142" s="32"/>
      <c r="G2142" s="33"/>
      <c r="H2142" s="46">
        <f>H2141+H2139+H2136</f>
        <v>72085</v>
      </c>
      <c r="I2142" s="47"/>
      <c r="J2142" s="15"/>
      <c r="K2142" s="39"/>
    </row>
    <row r="2143" spans="3:11" x14ac:dyDescent="0.3">
      <c r="C2143" s="30" t="s">
        <v>35</v>
      </c>
      <c r="D2143" s="31" t="s">
        <v>36</v>
      </c>
      <c r="E2143" s="32"/>
      <c r="F2143" s="33"/>
      <c r="G2143" s="34">
        <f>$M$9</f>
        <v>0.1</v>
      </c>
      <c r="H2143" s="19">
        <f>H2142*G2143</f>
        <v>7208.5</v>
      </c>
      <c r="I2143" s="47"/>
      <c r="J2143" s="15"/>
      <c r="K2143" s="39"/>
    </row>
    <row r="2144" spans="3:11" x14ac:dyDescent="0.3">
      <c r="C2144" s="30" t="s">
        <v>37</v>
      </c>
      <c r="D2144" s="31" t="s">
        <v>38</v>
      </c>
      <c r="E2144" s="32"/>
      <c r="F2144" s="32"/>
      <c r="G2144" s="33"/>
      <c r="H2144" s="48">
        <f>SUM(H2142:H2143)</f>
        <v>79293.5</v>
      </c>
      <c r="I2144" s="47"/>
      <c r="J2144" s="15"/>
      <c r="K2144" s="39"/>
    </row>
    <row r="2145" spans="3:11" x14ac:dyDescent="0.3">
      <c r="J2145" s="15"/>
      <c r="K2145" s="39"/>
    </row>
    <row r="2146" spans="3:11" x14ac:dyDescent="0.3">
      <c r="C2146" s="40" t="s">
        <v>430</v>
      </c>
      <c r="D2146" s="68" t="s">
        <v>431</v>
      </c>
      <c r="E2146" s="44"/>
      <c r="F2146" s="44"/>
      <c r="G2146" s="44"/>
      <c r="H2146" s="44"/>
      <c r="I2146" s="10">
        <f>ROUNDDOWN(H2161,0)</f>
        <v>106205</v>
      </c>
      <c r="J2146" s="15"/>
      <c r="K2146" s="39"/>
    </row>
    <row r="2147" spans="3:11" ht="27.6" x14ac:dyDescent="0.3">
      <c r="C2147" s="11" t="s">
        <v>9</v>
      </c>
      <c r="D2147" s="11" t="s">
        <v>10</v>
      </c>
      <c r="E2147" s="11" t="s">
        <v>11</v>
      </c>
      <c r="F2147" s="11" t="s">
        <v>12</v>
      </c>
      <c r="G2147" s="11" t="s">
        <v>13</v>
      </c>
      <c r="H2147" s="11" t="s">
        <v>14</v>
      </c>
      <c r="J2147" s="15"/>
      <c r="K2147" s="39"/>
    </row>
    <row r="2148" spans="3:11" x14ac:dyDescent="0.25">
      <c r="C2148" s="12" t="s">
        <v>15</v>
      </c>
      <c r="D2148" s="13" t="s">
        <v>16</v>
      </c>
      <c r="E2148" s="14"/>
      <c r="F2148" s="14"/>
      <c r="G2148" s="14"/>
      <c r="H2148" s="14"/>
      <c r="J2148" s="15"/>
      <c r="K2148" s="39"/>
    </row>
    <row r="2149" spans="3:11" x14ac:dyDescent="0.3">
      <c r="C2149" s="16">
        <v>1</v>
      </c>
      <c r="D2149" s="13" t="s">
        <v>18</v>
      </c>
      <c r="E2149" s="17" t="s">
        <v>19</v>
      </c>
      <c r="F2149" s="18">
        <v>3.5999999999999997E-2</v>
      </c>
      <c r="G2149" s="19">
        <f>VLOOKUP(D2149,upahbahan,3,FALSE)</f>
        <v>100000</v>
      </c>
      <c r="H2149" s="19">
        <f t="shared" ref="H2149:H2152" si="217">F2149*G2149</f>
        <v>3599.9999999999995</v>
      </c>
      <c r="J2149" s="15"/>
      <c r="K2149" s="39"/>
    </row>
    <row r="2150" spans="3:11" x14ac:dyDescent="0.3">
      <c r="C2150" s="16">
        <v>2</v>
      </c>
      <c r="D2150" s="13" t="str">
        <f>D2133</f>
        <v>Tukang listrik</v>
      </c>
      <c r="E2150" s="17" t="s">
        <v>19</v>
      </c>
      <c r="F2150" s="18">
        <v>0.06</v>
      </c>
      <c r="G2150" s="19">
        <f>VLOOKUP(D2150,upahbahan,3,FALSE)</f>
        <v>145000</v>
      </c>
      <c r="H2150" s="19">
        <f t="shared" si="217"/>
        <v>8700</v>
      </c>
      <c r="J2150" s="15"/>
      <c r="K2150" s="39"/>
    </row>
    <row r="2151" spans="3:11" x14ac:dyDescent="0.3">
      <c r="C2151" s="16">
        <v>3</v>
      </c>
      <c r="D2151" s="13" t="s">
        <v>22</v>
      </c>
      <c r="E2151" s="17" t="s">
        <v>19</v>
      </c>
      <c r="F2151" s="18">
        <v>6.0000000000000001E-3</v>
      </c>
      <c r="G2151" s="19">
        <f>VLOOKUP(D2151,upahbahan,3,FALSE)</f>
        <v>175000</v>
      </c>
      <c r="H2151" s="19">
        <f t="shared" si="217"/>
        <v>1050</v>
      </c>
      <c r="J2151" s="15"/>
      <c r="K2151" s="39"/>
    </row>
    <row r="2152" spans="3:11" x14ac:dyDescent="0.3">
      <c r="C2152" s="16">
        <v>4</v>
      </c>
      <c r="D2152" s="13" t="s">
        <v>23</v>
      </c>
      <c r="E2152" s="17" t="s">
        <v>19</v>
      </c>
      <c r="F2152" s="18">
        <v>2E-3</v>
      </c>
      <c r="G2152" s="19">
        <f>VLOOKUP(D2152,upahbahan,3,FALSE)</f>
        <v>200000</v>
      </c>
      <c r="H2152" s="19">
        <f t="shared" si="217"/>
        <v>400</v>
      </c>
      <c r="J2152" s="15"/>
      <c r="K2152" s="39"/>
    </row>
    <row r="2153" spans="3:11" x14ac:dyDescent="0.3">
      <c r="C2153" s="21" t="s">
        <v>24</v>
      </c>
      <c r="D2153" s="22"/>
      <c r="E2153" s="22"/>
      <c r="F2153" s="54"/>
      <c r="G2153" s="24"/>
      <c r="H2153" s="19">
        <f>SUM(H2149:H2152)</f>
        <v>13750</v>
      </c>
      <c r="I2153" s="25"/>
      <c r="J2153" s="15"/>
      <c r="K2153" s="39"/>
    </row>
    <row r="2154" spans="3:11" x14ac:dyDescent="0.25">
      <c r="C2154" s="12" t="s">
        <v>25</v>
      </c>
      <c r="D2154" s="13" t="s">
        <v>26</v>
      </c>
      <c r="E2154" s="14"/>
      <c r="F2154" s="55"/>
      <c r="G2154" s="14"/>
      <c r="H2154" s="14"/>
      <c r="J2154" s="15"/>
      <c r="K2154" s="39"/>
    </row>
    <row r="2155" spans="3:11" x14ac:dyDescent="0.3">
      <c r="C2155" s="63" t="s">
        <v>202</v>
      </c>
      <c r="D2155" s="26" t="s">
        <v>432</v>
      </c>
      <c r="E2155" s="27" t="s">
        <v>28</v>
      </c>
      <c r="F2155" s="49">
        <v>1.1499999999999999</v>
      </c>
      <c r="G2155" s="19">
        <f>VLOOKUP(D2155,upahbahan,3,FALSE)</f>
        <v>72000</v>
      </c>
      <c r="H2155" s="19">
        <f t="shared" ref="H2155" si="218">F2155*G2155</f>
        <v>82800</v>
      </c>
      <c r="J2155" s="15"/>
      <c r="K2155" s="39"/>
    </row>
    <row r="2156" spans="3:11" x14ac:dyDescent="0.3">
      <c r="C2156" s="21" t="s">
        <v>29</v>
      </c>
      <c r="D2156" s="22"/>
      <c r="E2156" s="22"/>
      <c r="F2156" s="22"/>
      <c r="G2156" s="28"/>
      <c r="H2156" s="19">
        <f>SUM(H2155:H2155)</f>
        <v>82800</v>
      </c>
      <c r="J2156" s="15"/>
      <c r="K2156" s="39"/>
    </row>
    <row r="2157" spans="3:11" x14ac:dyDescent="0.25">
      <c r="C2157" s="12" t="s">
        <v>30</v>
      </c>
      <c r="D2157" s="13" t="s">
        <v>31</v>
      </c>
      <c r="E2157" s="14"/>
      <c r="F2157" s="14"/>
      <c r="G2157" s="14"/>
      <c r="H2157" s="14"/>
      <c r="J2157" s="15"/>
      <c r="K2157" s="39"/>
    </row>
    <row r="2158" spans="3:11" x14ac:dyDescent="0.3">
      <c r="C2158" s="21" t="s">
        <v>32</v>
      </c>
      <c r="D2158" s="22"/>
      <c r="E2158" s="22"/>
      <c r="F2158" s="22"/>
      <c r="G2158" s="28"/>
      <c r="H2158" s="29">
        <v>0</v>
      </c>
      <c r="J2158" s="15"/>
      <c r="K2158" s="39"/>
    </row>
    <row r="2159" spans="3:11" x14ac:dyDescent="0.3">
      <c r="C2159" s="30" t="s">
        <v>33</v>
      </c>
      <c r="D2159" s="31" t="s">
        <v>34</v>
      </c>
      <c r="E2159" s="32"/>
      <c r="F2159" s="32"/>
      <c r="G2159" s="33"/>
      <c r="H2159" s="46">
        <f>H2158+H2156+H2153</f>
        <v>96550</v>
      </c>
      <c r="I2159" s="47"/>
      <c r="J2159" s="15"/>
      <c r="K2159" s="39"/>
    </row>
    <row r="2160" spans="3:11" x14ac:dyDescent="0.3">
      <c r="C2160" s="30" t="s">
        <v>35</v>
      </c>
      <c r="D2160" s="31" t="s">
        <v>36</v>
      </c>
      <c r="E2160" s="32"/>
      <c r="F2160" s="33"/>
      <c r="G2160" s="34">
        <f>$M$9</f>
        <v>0.1</v>
      </c>
      <c r="H2160" s="19">
        <f>H2159*G2160</f>
        <v>9655</v>
      </c>
      <c r="I2160" s="47"/>
      <c r="J2160" s="15"/>
      <c r="K2160" s="39"/>
    </row>
    <row r="2161" spans="3:11" x14ac:dyDescent="0.3">
      <c r="C2161" s="30" t="s">
        <v>37</v>
      </c>
      <c r="D2161" s="31" t="s">
        <v>38</v>
      </c>
      <c r="E2161" s="32"/>
      <c r="F2161" s="32"/>
      <c r="G2161" s="33"/>
      <c r="H2161" s="48">
        <f>SUM(H2159:H2160)</f>
        <v>106205</v>
      </c>
      <c r="I2161" s="47"/>
      <c r="J2161" s="15"/>
      <c r="K2161" s="39"/>
    </row>
    <row r="2162" spans="3:11" x14ac:dyDescent="0.3">
      <c r="J2162" s="15"/>
      <c r="K2162" s="39"/>
    </row>
    <row r="2163" spans="3:11" x14ac:dyDescent="0.3">
      <c r="C2163" s="56" t="s">
        <v>433</v>
      </c>
      <c r="D2163" s="69" t="s">
        <v>434</v>
      </c>
      <c r="E2163" s="58"/>
      <c r="F2163" s="58"/>
      <c r="G2163" s="58"/>
      <c r="H2163" s="58"/>
      <c r="I2163" s="10">
        <f>ROUNDDOWN(H2178,0)</f>
        <v>135932</v>
      </c>
      <c r="J2163" s="15"/>
      <c r="K2163" s="39"/>
    </row>
    <row r="2164" spans="3:11" ht="27.6" x14ac:dyDescent="0.3">
      <c r="C2164" s="11" t="s">
        <v>9</v>
      </c>
      <c r="D2164" s="11" t="s">
        <v>10</v>
      </c>
      <c r="E2164" s="11" t="s">
        <v>11</v>
      </c>
      <c r="F2164" s="11" t="s">
        <v>12</v>
      </c>
      <c r="G2164" s="11" t="s">
        <v>13</v>
      </c>
      <c r="H2164" s="11" t="s">
        <v>14</v>
      </c>
      <c r="J2164" s="15"/>
      <c r="K2164" s="39"/>
    </row>
    <row r="2165" spans="3:11" x14ac:dyDescent="0.25">
      <c r="C2165" s="12" t="s">
        <v>15</v>
      </c>
      <c r="D2165" s="13" t="s">
        <v>16</v>
      </c>
      <c r="E2165" s="14"/>
      <c r="F2165" s="14"/>
      <c r="G2165" s="14"/>
      <c r="H2165" s="14"/>
      <c r="J2165" s="15"/>
      <c r="K2165" s="39"/>
    </row>
    <row r="2166" spans="3:11" x14ac:dyDescent="0.3">
      <c r="C2166" s="16">
        <v>1</v>
      </c>
      <c r="D2166" s="13" t="s">
        <v>18</v>
      </c>
      <c r="E2166" s="17" t="s">
        <v>19</v>
      </c>
      <c r="F2166" s="18">
        <v>3.5999999999999997E-2</v>
      </c>
      <c r="G2166" s="19">
        <f>VLOOKUP(D2166,upahbahan,3,FALSE)</f>
        <v>100000</v>
      </c>
      <c r="H2166" s="19">
        <f t="shared" ref="H2166:H2169" si="219">F2166*G2166</f>
        <v>3599.9999999999995</v>
      </c>
      <c r="J2166" s="15"/>
      <c r="K2166" s="39"/>
    </row>
    <row r="2167" spans="3:11" x14ac:dyDescent="0.3">
      <c r="C2167" s="16">
        <v>2</v>
      </c>
      <c r="D2167" s="13" t="str">
        <f>D2150</f>
        <v>Tukang listrik</v>
      </c>
      <c r="E2167" s="17" t="s">
        <v>19</v>
      </c>
      <c r="F2167" s="18">
        <v>0.06</v>
      </c>
      <c r="G2167" s="19">
        <f>VLOOKUP(D2167,upahbahan,3,FALSE)</f>
        <v>145000</v>
      </c>
      <c r="H2167" s="19">
        <f t="shared" si="219"/>
        <v>8700</v>
      </c>
      <c r="J2167" s="15"/>
      <c r="K2167" s="39"/>
    </row>
    <row r="2168" spans="3:11" x14ac:dyDescent="0.3">
      <c r="C2168" s="16">
        <v>3</v>
      </c>
      <c r="D2168" s="13" t="s">
        <v>22</v>
      </c>
      <c r="E2168" s="17" t="s">
        <v>19</v>
      </c>
      <c r="F2168" s="18">
        <v>6.0000000000000001E-3</v>
      </c>
      <c r="G2168" s="19">
        <f>VLOOKUP(D2168,upahbahan,3,FALSE)</f>
        <v>175000</v>
      </c>
      <c r="H2168" s="19">
        <f t="shared" si="219"/>
        <v>1050</v>
      </c>
      <c r="J2168" s="15"/>
      <c r="K2168" s="39"/>
    </row>
    <row r="2169" spans="3:11" x14ac:dyDescent="0.3">
      <c r="C2169" s="16">
        <v>4</v>
      </c>
      <c r="D2169" s="13" t="s">
        <v>23</v>
      </c>
      <c r="E2169" s="17" t="s">
        <v>19</v>
      </c>
      <c r="F2169" s="18">
        <v>2E-3</v>
      </c>
      <c r="G2169" s="19">
        <f>VLOOKUP(D2169,upahbahan,3,FALSE)</f>
        <v>200000</v>
      </c>
      <c r="H2169" s="19">
        <f t="shared" si="219"/>
        <v>400</v>
      </c>
      <c r="J2169" s="15"/>
      <c r="K2169" s="39"/>
    </row>
    <row r="2170" spans="3:11" x14ac:dyDescent="0.3">
      <c r="C2170" s="21" t="s">
        <v>24</v>
      </c>
      <c r="D2170" s="22"/>
      <c r="E2170" s="22"/>
      <c r="F2170" s="54"/>
      <c r="G2170" s="24"/>
      <c r="H2170" s="19">
        <f>SUM(H2166:H2169)</f>
        <v>13750</v>
      </c>
      <c r="I2170" s="25"/>
      <c r="J2170" s="15"/>
      <c r="K2170" s="39"/>
    </row>
    <row r="2171" spans="3:11" x14ac:dyDescent="0.25">
      <c r="C2171" s="12" t="s">
        <v>25</v>
      </c>
      <c r="D2171" s="13" t="s">
        <v>26</v>
      </c>
      <c r="E2171" s="14"/>
      <c r="F2171" s="55"/>
      <c r="G2171" s="14"/>
      <c r="H2171" s="14"/>
      <c r="J2171" s="15"/>
      <c r="K2171" s="39"/>
    </row>
    <row r="2172" spans="3:11" x14ac:dyDescent="0.3">
      <c r="C2172" s="63" t="s">
        <v>202</v>
      </c>
      <c r="D2172" s="26" t="s">
        <v>435</v>
      </c>
      <c r="E2172" s="27" t="s">
        <v>28</v>
      </c>
      <c r="F2172" s="49">
        <v>1.1499999999999999</v>
      </c>
      <c r="G2172" s="19">
        <f>VLOOKUP(D2172,upahbahan,3,FALSE)</f>
        <v>95500</v>
      </c>
      <c r="H2172" s="19">
        <f t="shared" ref="H2172" si="220">F2172*G2172</f>
        <v>109824.99999999999</v>
      </c>
      <c r="J2172" s="15"/>
      <c r="K2172" s="39"/>
    </row>
    <row r="2173" spans="3:11" x14ac:dyDescent="0.3">
      <c r="C2173" s="21" t="s">
        <v>29</v>
      </c>
      <c r="D2173" s="22"/>
      <c r="E2173" s="22"/>
      <c r="F2173" s="22"/>
      <c r="G2173" s="28"/>
      <c r="H2173" s="19">
        <f>SUM(H2172:H2172)</f>
        <v>109824.99999999999</v>
      </c>
      <c r="J2173" s="15"/>
      <c r="K2173" s="39"/>
    </row>
    <row r="2174" spans="3:11" x14ac:dyDescent="0.25">
      <c r="C2174" s="12" t="s">
        <v>30</v>
      </c>
      <c r="D2174" s="13" t="s">
        <v>31</v>
      </c>
      <c r="E2174" s="14"/>
      <c r="F2174" s="14"/>
      <c r="G2174" s="14"/>
      <c r="H2174" s="14"/>
      <c r="J2174" s="15"/>
      <c r="K2174" s="39"/>
    </row>
    <row r="2175" spans="3:11" x14ac:dyDescent="0.3">
      <c r="C2175" s="21" t="s">
        <v>32</v>
      </c>
      <c r="D2175" s="22"/>
      <c r="E2175" s="22"/>
      <c r="F2175" s="22"/>
      <c r="G2175" s="28"/>
      <c r="H2175" s="29">
        <v>0</v>
      </c>
      <c r="J2175" s="15"/>
      <c r="K2175" s="39"/>
    </row>
    <row r="2176" spans="3:11" x14ac:dyDescent="0.3">
      <c r="C2176" s="30" t="s">
        <v>33</v>
      </c>
      <c r="D2176" s="31" t="s">
        <v>34</v>
      </c>
      <c r="E2176" s="32"/>
      <c r="F2176" s="32"/>
      <c r="G2176" s="33"/>
      <c r="H2176" s="46">
        <f>H2175+H2173+H2170</f>
        <v>123574.99999999999</v>
      </c>
      <c r="I2176" s="47"/>
      <c r="J2176" s="15"/>
      <c r="K2176" s="39"/>
    </row>
    <row r="2177" spans="3:11" x14ac:dyDescent="0.3">
      <c r="C2177" s="30" t="s">
        <v>35</v>
      </c>
      <c r="D2177" s="31" t="s">
        <v>36</v>
      </c>
      <c r="E2177" s="32"/>
      <c r="F2177" s="33"/>
      <c r="G2177" s="34">
        <f>$M$9</f>
        <v>0.1</v>
      </c>
      <c r="H2177" s="19">
        <f>H2176*G2177</f>
        <v>12357.5</v>
      </c>
      <c r="I2177" s="47"/>
      <c r="J2177" s="15"/>
      <c r="K2177" s="39"/>
    </row>
    <row r="2178" spans="3:11" x14ac:dyDescent="0.3">
      <c r="C2178" s="30" t="s">
        <v>37</v>
      </c>
      <c r="D2178" s="31" t="s">
        <v>38</v>
      </c>
      <c r="E2178" s="32"/>
      <c r="F2178" s="32"/>
      <c r="G2178" s="33"/>
      <c r="H2178" s="48">
        <f>SUM(H2176:H2177)</f>
        <v>135932.5</v>
      </c>
      <c r="I2178" s="47"/>
      <c r="J2178" s="15"/>
      <c r="K2178" s="39"/>
    </row>
    <row r="2179" spans="3:11" x14ac:dyDescent="0.3">
      <c r="J2179" s="15"/>
      <c r="K2179" s="39"/>
    </row>
    <row r="2180" spans="3:11" x14ac:dyDescent="0.3">
      <c r="C2180" s="40" t="s">
        <v>436</v>
      </c>
      <c r="D2180" s="68" t="s">
        <v>437</v>
      </c>
      <c r="E2180" s="44"/>
      <c r="F2180" s="44"/>
      <c r="G2180" s="44"/>
      <c r="H2180" s="44"/>
      <c r="I2180" s="10">
        <f>ROUNDDOWN(H2195,0)</f>
        <v>197015</v>
      </c>
      <c r="J2180" s="15"/>
      <c r="K2180" s="39"/>
    </row>
    <row r="2181" spans="3:11" ht="27.6" x14ac:dyDescent="0.3">
      <c r="C2181" s="11" t="s">
        <v>9</v>
      </c>
      <c r="D2181" s="11" t="s">
        <v>10</v>
      </c>
      <c r="E2181" s="11" t="s">
        <v>11</v>
      </c>
      <c r="F2181" s="11" t="s">
        <v>12</v>
      </c>
      <c r="G2181" s="11" t="s">
        <v>13</v>
      </c>
      <c r="H2181" s="11" t="s">
        <v>14</v>
      </c>
      <c r="J2181" s="15"/>
      <c r="K2181" s="39"/>
    </row>
    <row r="2182" spans="3:11" x14ac:dyDescent="0.25">
      <c r="C2182" s="12" t="s">
        <v>15</v>
      </c>
      <c r="D2182" s="13" t="s">
        <v>16</v>
      </c>
      <c r="E2182" s="14"/>
      <c r="F2182" s="14"/>
      <c r="G2182" s="14"/>
      <c r="H2182" s="14"/>
      <c r="J2182" s="15"/>
      <c r="K2182" s="39"/>
    </row>
    <row r="2183" spans="3:11" x14ac:dyDescent="0.3">
      <c r="C2183" s="16">
        <v>1</v>
      </c>
      <c r="D2183" s="13" t="s">
        <v>18</v>
      </c>
      <c r="E2183" s="17" t="s">
        <v>19</v>
      </c>
      <c r="F2183" s="18">
        <v>0.06</v>
      </c>
      <c r="G2183" s="19">
        <f>VLOOKUP(D2183,upahbahan,3,FALSE)</f>
        <v>100000</v>
      </c>
      <c r="H2183" s="19">
        <f t="shared" ref="H2183:H2186" si="221">F2183*G2183</f>
        <v>6000</v>
      </c>
      <c r="J2183" s="15"/>
      <c r="K2183" s="39"/>
    </row>
    <row r="2184" spans="3:11" x14ac:dyDescent="0.3">
      <c r="C2184" s="16">
        <v>2</v>
      </c>
      <c r="D2184" s="13" t="str">
        <f>D2167</f>
        <v>Tukang listrik</v>
      </c>
      <c r="E2184" s="17" t="s">
        <v>19</v>
      </c>
      <c r="F2184" s="18">
        <v>9.9000000000000005E-2</v>
      </c>
      <c r="G2184" s="19">
        <f>VLOOKUP(D2184,upahbahan,3,FALSE)</f>
        <v>145000</v>
      </c>
      <c r="H2184" s="19">
        <f t="shared" si="221"/>
        <v>14355</v>
      </c>
      <c r="J2184" s="15"/>
      <c r="K2184" s="39"/>
    </row>
    <row r="2185" spans="3:11" x14ac:dyDescent="0.3">
      <c r="C2185" s="16">
        <v>3</v>
      </c>
      <c r="D2185" s="13" t="s">
        <v>22</v>
      </c>
      <c r="E2185" s="17" t="s">
        <v>19</v>
      </c>
      <c r="F2185" s="18">
        <v>0.01</v>
      </c>
      <c r="G2185" s="19">
        <f>VLOOKUP(D2185,upahbahan,3,FALSE)</f>
        <v>175000</v>
      </c>
      <c r="H2185" s="19">
        <f t="shared" si="221"/>
        <v>1750</v>
      </c>
      <c r="J2185" s="15"/>
      <c r="K2185" s="39"/>
    </row>
    <row r="2186" spans="3:11" x14ac:dyDescent="0.3">
      <c r="C2186" s="16">
        <v>4</v>
      </c>
      <c r="D2186" s="13" t="s">
        <v>23</v>
      </c>
      <c r="E2186" s="17" t="s">
        <v>19</v>
      </c>
      <c r="F2186" s="18">
        <v>3.0000000000000001E-3</v>
      </c>
      <c r="G2186" s="19">
        <f>VLOOKUP(D2186,upahbahan,3,FALSE)</f>
        <v>200000</v>
      </c>
      <c r="H2186" s="19">
        <f t="shared" si="221"/>
        <v>600</v>
      </c>
      <c r="J2186" s="15"/>
      <c r="K2186" s="39"/>
    </row>
    <row r="2187" spans="3:11" x14ac:dyDescent="0.3">
      <c r="C2187" s="21" t="s">
        <v>24</v>
      </c>
      <c r="D2187" s="22"/>
      <c r="E2187" s="22"/>
      <c r="F2187" s="54"/>
      <c r="G2187" s="24"/>
      <c r="H2187" s="19">
        <f>SUM(H2183:H2186)</f>
        <v>22705</v>
      </c>
      <c r="I2187" s="25"/>
      <c r="J2187" s="15"/>
      <c r="K2187" s="39"/>
    </row>
    <row r="2188" spans="3:11" x14ac:dyDescent="0.25">
      <c r="C2188" s="12" t="s">
        <v>25</v>
      </c>
      <c r="D2188" s="13" t="s">
        <v>26</v>
      </c>
      <c r="E2188" s="14"/>
      <c r="F2188" s="55"/>
      <c r="G2188" s="14"/>
      <c r="H2188" s="14"/>
      <c r="J2188" s="15"/>
      <c r="K2188" s="39"/>
    </row>
    <row r="2189" spans="3:11" x14ac:dyDescent="0.3">
      <c r="C2189" s="63" t="s">
        <v>202</v>
      </c>
      <c r="D2189" s="26" t="s">
        <v>438</v>
      </c>
      <c r="E2189" s="27" t="s">
        <v>28</v>
      </c>
      <c r="F2189" s="49">
        <v>1.1499999999999999</v>
      </c>
      <c r="G2189" s="19">
        <f>VLOOKUP(D2189,upahbahan,3,FALSE)</f>
        <v>136000</v>
      </c>
      <c r="H2189" s="19">
        <f t="shared" ref="H2189" si="222">F2189*G2189</f>
        <v>156400</v>
      </c>
      <c r="J2189" s="15"/>
      <c r="K2189" s="39"/>
    </row>
    <row r="2190" spans="3:11" x14ac:dyDescent="0.3">
      <c r="C2190" s="21" t="s">
        <v>29</v>
      </c>
      <c r="D2190" s="22"/>
      <c r="E2190" s="22"/>
      <c r="F2190" s="22"/>
      <c r="G2190" s="28"/>
      <c r="H2190" s="19">
        <f>SUM(H2189:H2189)</f>
        <v>156400</v>
      </c>
      <c r="J2190" s="15"/>
      <c r="K2190" s="39"/>
    </row>
    <row r="2191" spans="3:11" x14ac:dyDescent="0.25">
      <c r="C2191" s="12" t="s">
        <v>30</v>
      </c>
      <c r="D2191" s="13" t="s">
        <v>31</v>
      </c>
      <c r="E2191" s="14"/>
      <c r="F2191" s="14"/>
      <c r="G2191" s="14"/>
      <c r="H2191" s="14"/>
      <c r="J2191" s="15"/>
      <c r="K2191" s="39"/>
    </row>
    <row r="2192" spans="3:11" x14ac:dyDescent="0.3">
      <c r="C2192" s="21" t="s">
        <v>32</v>
      </c>
      <c r="D2192" s="22"/>
      <c r="E2192" s="22"/>
      <c r="F2192" s="22"/>
      <c r="G2192" s="28"/>
      <c r="H2192" s="29">
        <v>0</v>
      </c>
      <c r="J2192" s="15"/>
      <c r="K2192" s="39"/>
    </row>
    <row r="2193" spans="3:11" x14ac:dyDescent="0.3">
      <c r="C2193" s="30" t="s">
        <v>33</v>
      </c>
      <c r="D2193" s="31" t="s">
        <v>34</v>
      </c>
      <c r="E2193" s="32"/>
      <c r="F2193" s="32"/>
      <c r="G2193" s="33"/>
      <c r="H2193" s="46">
        <f>H2192+H2190+H2187</f>
        <v>179105</v>
      </c>
      <c r="I2193" s="47"/>
      <c r="J2193" s="15"/>
      <c r="K2193" s="39"/>
    </row>
    <row r="2194" spans="3:11" x14ac:dyDescent="0.3">
      <c r="C2194" s="30" t="s">
        <v>35</v>
      </c>
      <c r="D2194" s="31" t="s">
        <v>439</v>
      </c>
      <c r="E2194" s="32"/>
      <c r="F2194" s="33"/>
      <c r="G2194" s="70" t="s">
        <v>440</v>
      </c>
      <c r="H2194" s="46">
        <f>H2193*10%</f>
        <v>17910.5</v>
      </c>
      <c r="I2194" s="47"/>
      <c r="J2194" s="15"/>
      <c r="K2194" s="39"/>
    </row>
    <row r="2195" spans="3:11" x14ac:dyDescent="0.3">
      <c r="C2195" s="30" t="s">
        <v>37</v>
      </c>
      <c r="D2195" s="31" t="s">
        <v>38</v>
      </c>
      <c r="E2195" s="32"/>
      <c r="F2195" s="32"/>
      <c r="G2195" s="33"/>
      <c r="H2195" s="48">
        <f>SUM(H2193:H2194)</f>
        <v>197015.5</v>
      </c>
      <c r="I2195" s="47"/>
      <c r="J2195" s="15"/>
      <c r="K2195" s="39"/>
    </row>
    <row r="2196" spans="3:11" x14ac:dyDescent="0.3">
      <c r="J2196" s="15"/>
      <c r="K2196" s="39"/>
    </row>
    <row r="2197" spans="3:11" x14ac:dyDescent="0.3">
      <c r="C2197" s="56" t="s">
        <v>441</v>
      </c>
      <c r="D2197" s="69" t="s">
        <v>442</v>
      </c>
      <c r="E2197" s="58"/>
      <c r="F2197" s="58"/>
      <c r="G2197" s="58"/>
      <c r="H2197" s="58"/>
      <c r="I2197" s="10">
        <f>ROUNDDOWN(H2212,0)</f>
        <v>259000</v>
      </c>
      <c r="J2197" s="15"/>
      <c r="K2197" s="39"/>
    </row>
    <row r="2198" spans="3:11" ht="27.6" x14ac:dyDescent="0.3">
      <c r="C2198" s="11" t="s">
        <v>9</v>
      </c>
      <c r="D2198" s="11" t="s">
        <v>10</v>
      </c>
      <c r="E2198" s="11" t="s">
        <v>11</v>
      </c>
      <c r="F2198" s="11" t="s">
        <v>12</v>
      </c>
      <c r="G2198" s="11" t="s">
        <v>13</v>
      </c>
      <c r="H2198" s="11" t="s">
        <v>14</v>
      </c>
      <c r="J2198" s="15"/>
      <c r="K2198" s="39"/>
    </row>
    <row r="2199" spans="3:11" x14ac:dyDescent="0.25">
      <c r="C2199" s="12" t="s">
        <v>15</v>
      </c>
      <c r="D2199" s="13" t="s">
        <v>16</v>
      </c>
      <c r="E2199" s="14"/>
      <c r="F2199" s="14"/>
      <c r="G2199" s="14"/>
      <c r="H2199" s="14"/>
      <c r="J2199" s="15"/>
      <c r="K2199" s="39"/>
    </row>
    <row r="2200" spans="3:11" x14ac:dyDescent="0.3">
      <c r="C2200" s="16">
        <v>1</v>
      </c>
      <c r="D2200" s="13" t="s">
        <v>18</v>
      </c>
      <c r="E2200" s="17" t="s">
        <v>19</v>
      </c>
      <c r="F2200" s="18">
        <v>0.06</v>
      </c>
      <c r="G2200" s="19">
        <f>VLOOKUP(D2200,upahbahan,3,FALSE)</f>
        <v>100000</v>
      </c>
      <c r="H2200" s="19">
        <f t="shared" ref="H2200:H2203" si="223">F2200*G2200</f>
        <v>6000</v>
      </c>
      <c r="J2200" s="15"/>
      <c r="K2200" s="39"/>
    </row>
    <row r="2201" spans="3:11" x14ac:dyDescent="0.3">
      <c r="C2201" s="16">
        <v>2</v>
      </c>
      <c r="D2201" s="13" t="str">
        <f>D2184</f>
        <v>Tukang listrik</v>
      </c>
      <c r="E2201" s="17" t="s">
        <v>19</v>
      </c>
      <c r="F2201" s="18">
        <v>9.9000000000000005E-2</v>
      </c>
      <c r="G2201" s="19">
        <f>VLOOKUP(D2201,upahbahan,3,FALSE)</f>
        <v>145000</v>
      </c>
      <c r="H2201" s="19">
        <f t="shared" si="223"/>
        <v>14355</v>
      </c>
      <c r="J2201" s="15"/>
      <c r="K2201" s="39"/>
    </row>
    <row r="2202" spans="3:11" x14ac:dyDescent="0.3">
      <c r="C2202" s="16">
        <v>3</v>
      </c>
      <c r="D2202" s="13" t="s">
        <v>22</v>
      </c>
      <c r="E2202" s="17" t="s">
        <v>19</v>
      </c>
      <c r="F2202" s="18">
        <v>0.01</v>
      </c>
      <c r="G2202" s="19">
        <f>VLOOKUP(D2202,upahbahan,3,FALSE)</f>
        <v>175000</v>
      </c>
      <c r="H2202" s="19">
        <f t="shared" si="223"/>
        <v>1750</v>
      </c>
      <c r="J2202" s="15"/>
      <c r="K2202" s="39"/>
    </row>
    <row r="2203" spans="3:11" x14ac:dyDescent="0.3">
      <c r="C2203" s="16">
        <v>4</v>
      </c>
      <c r="D2203" s="13" t="s">
        <v>23</v>
      </c>
      <c r="E2203" s="17" t="s">
        <v>19</v>
      </c>
      <c r="F2203" s="18">
        <v>3.0000000000000001E-3</v>
      </c>
      <c r="G2203" s="19">
        <f>VLOOKUP(D2203,upahbahan,3,FALSE)</f>
        <v>200000</v>
      </c>
      <c r="H2203" s="19">
        <f t="shared" si="223"/>
        <v>600</v>
      </c>
      <c r="J2203" s="15"/>
      <c r="K2203" s="39"/>
    </row>
    <row r="2204" spans="3:11" x14ac:dyDescent="0.3">
      <c r="C2204" s="21" t="s">
        <v>24</v>
      </c>
      <c r="D2204" s="22"/>
      <c r="E2204" s="22"/>
      <c r="F2204" s="54"/>
      <c r="G2204" s="24"/>
      <c r="H2204" s="19">
        <f>SUM(H2200:H2203)</f>
        <v>22705</v>
      </c>
      <c r="I2204" s="25"/>
      <c r="J2204" s="15"/>
      <c r="K2204" s="39"/>
    </row>
    <row r="2205" spans="3:11" x14ac:dyDescent="0.25">
      <c r="C2205" s="12" t="s">
        <v>25</v>
      </c>
      <c r="D2205" s="13" t="s">
        <v>26</v>
      </c>
      <c r="E2205" s="14"/>
      <c r="F2205" s="55"/>
      <c r="G2205" s="14"/>
      <c r="H2205" s="14"/>
      <c r="J2205" s="15"/>
      <c r="K2205" s="39"/>
    </row>
    <row r="2206" spans="3:11" x14ac:dyDescent="0.3">
      <c r="C2206" s="63" t="s">
        <v>202</v>
      </c>
      <c r="D2206" s="26" t="s">
        <v>443</v>
      </c>
      <c r="E2206" s="27" t="s">
        <v>28</v>
      </c>
      <c r="F2206" s="49">
        <v>1.1499999999999999</v>
      </c>
      <c r="G2206" s="19">
        <f>VLOOKUP(D2206,upahbahan,3,FALSE)</f>
        <v>185000</v>
      </c>
      <c r="H2206" s="19">
        <f t="shared" ref="H2206" si="224">F2206*G2206</f>
        <v>212749.99999999997</v>
      </c>
      <c r="J2206" s="15"/>
      <c r="K2206" s="39"/>
    </row>
    <row r="2207" spans="3:11" x14ac:dyDescent="0.3">
      <c r="C2207" s="21" t="s">
        <v>29</v>
      </c>
      <c r="D2207" s="22"/>
      <c r="E2207" s="22"/>
      <c r="F2207" s="22"/>
      <c r="G2207" s="28"/>
      <c r="H2207" s="19">
        <f>SUM(H2206:H2206)</f>
        <v>212749.99999999997</v>
      </c>
      <c r="J2207" s="15"/>
      <c r="K2207" s="39"/>
    </row>
    <row r="2208" spans="3:11" x14ac:dyDescent="0.25">
      <c r="C2208" s="12" t="s">
        <v>30</v>
      </c>
      <c r="D2208" s="13" t="s">
        <v>31</v>
      </c>
      <c r="E2208" s="14"/>
      <c r="F2208" s="14"/>
      <c r="G2208" s="14"/>
      <c r="H2208" s="14"/>
      <c r="J2208" s="15"/>
      <c r="K2208" s="39"/>
    </row>
    <row r="2209" spans="3:11" x14ac:dyDescent="0.3">
      <c r="C2209" s="21" t="s">
        <v>32</v>
      </c>
      <c r="D2209" s="22"/>
      <c r="E2209" s="22"/>
      <c r="F2209" s="22"/>
      <c r="G2209" s="28"/>
      <c r="H2209" s="29">
        <v>0</v>
      </c>
      <c r="J2209" s="15"/>
      <c r="K2209" s="39"/>
    </row>
    <row r="2210" spans="3:11" x14ac:dyDescent="0.3">
      <c r="C2210" s="30" t="s">
        <v>33</v>
      </c>
      <c r="D2210" s="31" t="s">
        <v>34</v>
      </c>
      <c r="E2210" s="32"/>
      <c r="F2210" s="32"/>
      <c r="G2210" s="33"/>
      <c r="H2210" s="46">
        <f>H2209+H2207+H2204</f>
        <v>235454.99999999997</v>
      </c>
      <c r="I2210" s="47"/>
      <c r="J2210" s="15"/>
      <c r="K2210" s="39"/>
    </row>
    <row r="2211" spans="3:11" x14ac:dyDescent="0.3">
      <c r="C2211" s="30" t="s">
        <v>35</v>
      </c>
      <c r="D2211" s="31" t="s">
        <v>36</v>
      </c>
      <c r="E2211" s="32"/>
      <c r="F2211" s="33"/>
      <c r="G2211" s="34">
        <f>$M$9</f>
        <v>0.1</v>
      </c>
      <c r="H2211" s="19">
        <f>H2210*G2211</f>
        <v>23545.5</v>
      </c>
      <c r="I2211" s="47"/>
      <c r="J2211" s="15"/>
      <c r="K2211" s="39"/>
    </row>
    <row r="2212" spans="3:11" x14ac:dyDescent="0.3">
      <c r="C2212" s="30" t="s">
        <v>37</v>
      </c>
      <c r="D2212" s="31" t="s">
        <v>38</v>
      </c>
      <c r="E2212" s="32"/>
      <c r="F2212" s="32"/>
      <c r="G2212" s="33"/>
      <c r="H2212" s="48">
        <f>SUM(H2210:H2211)</f>
        <v>259000.49999999997</v>
      </c>
      <c r="I2212" s="47"/>
      <c r="J2212" s="15"/>
      <c r="K2212" s="39"/>
    </row>
    <row r="2213" spans="3:11" x14ac:dyDescent="0.3">
      <c r="J2213" s="15"/>
      <c r="K2213" s="39"/>
    </row>
    <row r="2214" spans="3:11" x14ac:dyDescent="0.3">
      <c r="C2214" s="2" t="s">
        <v>444</v>
      </c>
      <c r="D2214" s="2" t="s">
        <v>445</v>
      </c>
      <c r="J2214" s="15"/>
      <c r="K2214" s="39"/>
    </row>
    <row r="2215" spans="3:11" x14ac:dyDescent="0.3">
      <c r="C2215" s="40" t="s">
        <v>446</v>
      </c>
      <c r="D2215" s="68" t="s">
        <v>447</v>
      </c>
      <c r="E2215" s="44"/>
      <c r="F2215" s="44"/>
      <c r="G2215" s="44"/>
      <c r="H2215" s="44"/>
      <c r="I2215" s="10">
        <f>ROUNDDOWN(H2230,0)</f>
        <v>23545</v>
      </c>
      <c r="J2215" s="15" t="s">
        <v>296</v>
      </c>
      <c r="K2215" s="39" t="s">
        <v>448</v>
      </c>
    </row>
    <row r="2216" spans="3:11" ht="27.6" x14ac:dyDescent="0.3">
      <c r="C2216" s="11" t="s">
        <v>9</v>
      </c>
      <c r="D2216" s="11" t="s">
        <v>10</v>
      </c>
      <c r="E2216" s="11" t="s">
        <v>11</v>
      </c>
      <c r="F2216" s="11" t="s">
        <v>12</v>
      </c>
      <c r="G2216" s="11" t="s">
        <v>13</v>
      </c>
      <c r="H2216" s="11" t="s">
        <v>14</v>
      </c>
      <c r="J2216" s="15"/>
      <c r="K2216" s="39"/>
    </row>
    <row r="2217" spans="3:11" x14ac:dyDescent="0.25">
      <c r="C2217" s="12" t="s">
        <v>15</v>
      </c>
      <c r="D2217" s="13" t="s">
        <v>16</v>
      </c>
      <c r="E2217" s="14"/>
      <c r="F2217" s="14"/>
      <c r="G2217" s="14"/>
      <c r="H2217" s="14"/>
      <c r="J2217" s="15"/>
      <c r="K2217" s="39"/>
    </row>
    <row r="2218" spans="3:11" x14ac:dyDescent="0.3">
      <c r="C2218" s="16">
        <v>1</v>
      </c>
      <c r="D2218" s="13" t="s">
        <v>18</v>
      </c>
      <c r="E2218" s="17" t="s">
        <v>19</v>
      </c>
      <c r="F2218" s="18">
        <v>2.4E-2</v>
      </c>
      <c r="G2218" s="19">
        <f>VLOOKUP(D2218,upahbahan,3,FALSE)</f>
        <v>100000</v>
      </c>
      <c r="H2218" s="19">
        <f t="shared" ref="H2218:H2221" si="225">F2218*G2218</f>
        <v>2400</v>
      </c>
      <c r="J2218" s="15"/>
      <c r="K2218" s="39"/>
    </row>
    <row r="2219" spans="3:11" x14ac:dyDescent="0.3">
      <c r="C2219" s="16">
        <v>2</v>
      </c>
      <c r="D2219" s="13" t="s">
        <v>214</v>
      </c>
      <c r="E2219" s="17" t="s">
        <v>19</v>
      </c>
      <c r="F2219" s="18">
        <v>0.04</v>
      </c>
      <c r="G2219" s="19">
        <f>VLOOKUP(D2219,upahbahan,3,FALSE)</f>
        <v>145000</v>
      </c>
      <c r="H2219" s="19">
        <f t="shared" si="225"/>
        <v>5800</v>
      </c>
      <c r="J2219" s="15"/>
      <c r="K2219" s="39"/>
    </row>
    <row r="2220" spans="3:11" x14ac:dyDescent="0.3">
      <c r="C2220" s="16">
        <v>3</v>
      </c>
      <c r="D2220" s="13" t="s">
        <v>22</v>
      </c>
      <c r="E2220" s="17" t="s">
        <v>19</v>
      </c>
      <c r="F2220" s="18">
        <v>4.0000000000000001E-3</v>
      </c>
      <c r="G2220" s="19">
        <f>VLOOKUP(D2220,upahbahan,3,FALSE)</f>
        <v>175000</v>
      </c>
      <c r="H2220" s="19">
        <f t="shared" si="225"/>
        <v>700</v>
      </c>
      <c r="J2220" s="15"/>
      <c r="K2220" s="39"/>
    </row>
    <row r="2221" spans="3:11" x14ac:dyDescent="0.3">
      <c r="C2221" s="16">
        <v>4</v>
      </c>
      <c r="D2221" s="13" t="s">
        <v>23</v>
      </c>
      <c r="E2221" s="17" t="s">
        <v>19</v>
      </c>
      <c r="F2221" s="18">
        <v>1E-3</v>
      </c>
      <c r="G2221" s="19">
        <f>VLOOKUP(D2221,upahbahan,3,FALSE)</f>
        <v>200000</v>
      </c>
      <c r="H2221" s="19">
        <f t="shared" si="225"/>
        <v>200</v>
      </c>
      <c r="J2221" s="15"/>
      <c r="K2221" s="39"/>
    </row>
    <row r="2222" spans="3:11" x14ac:dyDescent="0.3">
      <c r="C2222" s="21" t="s">
        <v>24</v>
      </c>
      <c r="D2222" s="22"/>
      <c r="E2222" s="22"/>
      <c r="F2222" s="54"/>
      <c r="G2222" s="24"/>
      <c r="H2222" s="19">
        <f>SUM(H2218:H2221)</f>
        <v>9100</v>
      </c>
      <c r="I2222" s="25"/>
      <c r="J2222" s="15"/>
      <c r="K2222" s="39"/>
    </row>
    <row r="2223" spans="3:11" x14ac:dyDescent="0.25">
      <c r="C2223" s="12" t="s">
        <v>25</v>
      </c>
      <c r="D2223" s="13" t="s">
        <v>26</v>
      </c>
      <c r="E2223" s="14"/>
      <c r="F2223" s="55"/>
      <c r="G2223" s="14"/>
      <c r="H2223" s="14"/>
      <c r="J2223" s="15"/>
      <c r="K2223" s="39"/>
    </row>
    <row r="2224" spans="3:11" x14ac:dyDescent="0.3">
      <c r="C2224" s="71" t="s">
        <v>202</v>
      </c>
      <c r="D2224" s="72" t="s">
        <v>449</v>
      </c>
      <c r="E2224" s="73" t="s">
        <v>28</v>
      </c>
      <c r="F2224" s="74">
        <v>1.1499999999999999</v>
      </c>
      <c r="G2224" s="75">
        <f>VLOOKUP(D2224,upahbahan,3,FALSE)</f>
        <v>10700</v>
      </c>
      <c r="H2224" s="19">
        <f t="shared" ref="H2224" si="226">F2224*G2224</f>
        <v>12304.999999999998</v>
      </c>
      <c r="J2224" s="15"/>
      <c r="K2224" s="39"/>
    </row>
    <row r="2225" spans="3:11" x14ac:dyDescent="0.3">
      <c r="C2225" s="76" t="s">
        <v>29</v>
      </c>
      <c r="D2225" s="77"/>
      <c r="E2225" s="77"/>
      <c r="F2225" s="77"/>
      <c r="G2225" s="78"/>
      <c r="H2225" s="19">
        <f>SUM(H2224:H2224)</f>
        <v>12304.999999999998</v>
      </c>
      <c r="J2225" s="15"/>
      <c r="K2225" s="39"/>
    </row>
    <row r="2226" spans="3:11" x14ac:dyDescent="0.25">
      <c r="C2226" s="12" t="s">
        <v>30</v>
      </c>
      <c r="D2226" s="13" t="s">
        <v>31</v>
      </c>
      <c r="E2226" s="14"/>
      <c r="F2226" s="14"/>
      <c r="G2226" s="14"/>
      <c r="H2226" s="14"/>
      <c r="J2226" s="15"/>
      <c r="K2226" s="39"/>
    </row>
    <row r="2227" spans="3:11" x14ac:dyDescent="0.3">
      <c r="C2227" s="21" t="s">
        <v>32</v>
      </c>
      <c r="D2227" s="22"/>
      <c r="E2227" s="22"/>
      <c r="F2227" s="22"/>
      <c r="G2227" s="28"/>
      <c r="H2227" s="29">
        <v>0</v>
      </c>
      <c r="J2227" s="15"/>
      <c r="K2227" s="39"/>
    </row>
    <row r="2228" spans="3:11" x14ac:dyDescent="0.3">
      <c r="C2228" s="30" t="s">
        <v>33</v>
      </c>
      <c r="D2228" s="31" t="s">
        <v>34</v>
      </c>
      <c r="E2228" s="32"/>
      <c r="F2228" s="32"/>
      <c r="G2228" s="33"/>
      <c r="H2228" s="46">
        <f>H2227+H2225+H2222</f>
        <v>21405</v>
      </c>
      <c r="I2228" s="47"/>
      <c r="J2228" s="15"/>
      <c r="K2228" s="39"/>
    </row>
    <row r="2229" spans="3:11" x14ac:dyDescent="0.3">
      <c r="C2229" s="30" t="s">
        <v>35</v>
      </c>
      <c r="D2229" s="31" t="s">
        <v>36</v>
      </c>
      <c r="E2229" s="32"/>
      <c r="F2229" s="33"/>
      <c r="G2229" s="34">
        <f>$M$9</f>
        <v>0.1</v>
      </c>
      <c r="H2229" s="19">
        <f>H2228*G2229</f>
        <v>2140.5</v>
      </c>
      <c r="I2229" s="47"/>
      <c r="J2229" s="15"/>
      <c r="K2229" s="39"/>
    </row>
    <row r="2230" spans="3:11" x14ac:dyDescent="0.3">
      <c r="C2230" s="30" t="s">
        <v>37</v>
      </c>
      <c r="D2230" s="31" t="s">
        <v>38</v>
      </c>
      <c r="E2230" s="32"/>
      <c r="F2230" s="32"/>
      <c r="G2230" s="33"/>
      <c r="H2230" s="48">
        <f>SUM(H2228:H2229)</f>
        <v>23545.5</v>
      </c>
      <c r="I2230" s="47"/>
      <c r="J2230" s="15"/>
      <c r="K2230" s="39"/>
    </row>
    <row r="2231" spans="3:11" x14ac:dyDescent="0.3">
      <c r="C2231" s="2"/>
      <c r="D2231" s="2"/>
      <c r="J2231" s="15"/>
      <c r="K2231" s="39"/>
    </row>
    <row r="2232" spans="3:11" x14ac:dyDescent="0.3">
      <c r="C2232" s="2" t="s">
        <v>450</v>
      </c>
      <c r="D2232" s="2" t="s">
        <v>451</v>
      </c>
      <c r="J2232" s="15"/>
      <c r="K2232" s="39"/>
    </row>
    <row r="2233" spans="3:11" x14ac:dyDescent="0.3">
      <c r="C2233" s="2" t="s">
        <v>452</v>
      </c>
      <c r="D2233" s="2" t="s">
        <v>453</v>
      </c>
      <c r="I2233" s="10">
        <f>ROUNDDOWN(H2248,0)</f>
        <v>26221</v>
      </c>
      <c r="J2233" s="15" t="s">
        <v>296</v>
      </c>
      <c r="K2233" s="39" t="s">
        <v>454</v>
      </c>
    </row>
    <row r="2234" spans="3:11" ht="27.6" x14ac:dyDescent="0.3">
      <c r="C2234" s="11" t="s">
        <v>9</v>
      </c>
      <c r="D2234" s="11" t="s">
        <v>10</v>
      </c>
      <c r="E2234" s="11" t="s">
        <v>11</v>
      </c>
      <c r="F2234" s="11" t="s">
        <v>12</v>
      </c>
      <c r="G2234" s="11" t="s">
        <v>13</v>
      </c>
      <c r="H2234" s="11" t="s">
        <v>14</v>
      </c>
      <c r="J2234" s="15"/>
      <c r="K2234" s="39"/>
    </row>
    <row r="2235" spans="3:11" x14ac:dyDescent="0.25">
      <c r="C2235" s="12" t="s">
        <v>15</v>
      </c>
      <c r="D2235" s="13" t="s">
        <v>16</v>
      </c>
      <c r="E2235" s="14"/>
      <c r="F2235" s="14"/>
      <c r="G2235" s="14"/>
      <c r="H2235" s="14"/>
      <c r="J2235" s="15"/>
      <c r="K2235" s="39"/>
    </row>
    <row r="2236" spans="3:11" x14ac:dyDescent="0.3">
      <c r="C2236" s="16">
        <v>1</v>
      </c>
      <c r="D2236" s="13" t="s">
        <v>18</v>
      </c>
      <c r="E2236" s="17" t="s">
        <v>19</v>
      </c>
      <c r="F2236" s="18">
        <v>2.4E-2</v>
      </c>
      <c r="G2236" s="19">
        <f>VLOOKUP(D2236,upahbahan,3,FALSE)</f>
        <v>100000</v>
      </c>
      <c r="H2236" s="19">
        <f t="shared" ref="H2236:H2239" si="227">F2236*G2236</f>
        <v>2400</v>
      </c>
      <c r="J2236" s="15"/>
      <c r="K2236" s="39"/>
    </row>
    <row r="2237" spans="3:11" x14ac:dyDescent="0.3">
      <c r="C2237" s="16">
        <v>2</v>
      </c>
      <c r="D2237" s="13" t="s">
        <v>214</v>
      </c>
      <c r="E2237" s="17" t="s">
        <v>19</v>
      </c>
      <c r="F2237" s="18">
        <v>0.04</v>
      </c>
      <c r="G2237" s="19">
        <f>VLOOKUP(D2237,upahbahan,3,FALSE)</f>
        <v>145000</v>
      </c>
      <c r="H2237" s="19">
        <f t="shared" si="227"/>
        <v>5800</v>
      </c>
      <c r="J2237" s="15"/>
      <c r="K2237" s="39"/>
    </row>
    <row r="2238" spans="3:11" x14ac:dyDescent="0.3">
      <c r="C2238" s="16">
        <v>3</v>
      </c>
      <c r="D2238" s="13" t="s">
        <v>22</v>
      </c>
      <c r="E2238" s="17" t="s">
        <v>19</v>
      </c>
      <c r="F2238" s="18">
        <v>4.0000000000000001E-3</v>
      </c>
      <c r="G2238" s="19">
        <f>VLOOKUP(D2238,upahbahan,3,FALSE)</f>
        <v>175000</v>
      </c>
      <c r="H2238" s="19">
        <f t="shared" si="227"/>
        <v>700</v>
      </c>
      <c r="J2238" s="15"/>
      <c r="K2238" s="39"/>
    </row>
    <row r="2239" spans="3:11" x14ac:dyDescent="0.3">
      <c r="C2239" s="16">
        <v>4</v>
      </c>
      <c r="D2239" s="13" t="s">
        <v>23</v>
      </c>
      <c r="E2239" s="17" t="s">
        <v>19</v>
      </c>
      <c r="F2239" s="18">
        <v>1E-3</v>
      </c>
      <c r="G2239" s="19">
        <f>VLOOKUP(D2239,upahbahan,3,FALSE)</f>
        <v>200000</v>
      </c>
      <c r="H2239" s="19">
        <f t="shared" si="227"/>
        <v>200</v>
      </c>
      <c r="J2239" s="15"/>
      <c r="K2239" s="39"/>
    </row>
    <row r="2240" spans="3:11" x14ac:dyDescent="0.3">
      <c r="C2240" s="21" t="s">
        <v>24</v>
      </c>
      <c r="D2240" s="22"/>
      <c r="E2240" s="22"/>
      <c r="F2240" s="54"/>
      <c r="G2240" s="24"/>
      <c r="H2240" s="19">
        <f>SUM(H2236:H2239)</f>
        <v>9100</v>
      </c>
      <c r="I2240" s="25"/>
      <c r="J2240" s="15"/>
      <c r="K2240" s="39"/>
    </row>
    <row r="2241" spans="3:11" x14ac:dyDescent="0.25">
      <c r="C2241" s="12" t="s">
        <v>25</v>
      </c>
      <c r="D2241" s="13" t="s">
        <v>26</v>
      </c>
      <c r="E2241" s="14"/>
      <c r="F2241" s="55"/>
      <c r="G2241" s="14"/>
      <c r="H2241" s="14"/>
      <c r="J2241" s="15"/>
      <c r="K2241" s="39"/>
    </row>
    <row r="2242" spans="3:11" x14ac:dyDescent="0.3">
      <c r="C2242" s="71" t="s">
        <v>202</v>
      </c>
      <c r="D2242" s="72" t="s">
        <v>455</v>
      </c>
      <c r="E2242" s="73" t="s">
        <v>28</v>
      </c>
      <c r="F2242" s="74">
        <v>1.125</v>
      </c>
      <c r="G2242" s="75">
        <f>VLOOKUP(D2242,upahbahan,3,FALSE)</f>
        <v>13100</v>
      </c>
      <c r="H2242" s="19">
        <f t="shared" ref="H2242" si="228">F2242*G2242</f>
        <v>14737.5</v>
      </c>
      <c r="J2242" s="15"/>
      <c r="K2242" s="39"/>
    </row>
    <row r="2243" spans="3:11" x14ac:dyDescent="0.3">
      <c r="C2243" s="76" t="s">
        <v>29</v>
      </c>
      <c r="D2243" s="77"/>
      <c r="E2243" s="77"/>
      <c r="F2243" s="77"/>
      <c r="G2243" s="78"/>
      <c r="H2243" s="19">
        <f>SUM(H2242:H2242)</f>
        <v>14737.5</v>
      </c>
      <c r="J2243" s="15"/>
      <c r="K2243" s="39"/>
    </row>
    <row r="2244" spans="3:11" x14ac:dyDescent="0.25">
      <c r="C2244" s="12" t="s">
        <v>30</v>
      </c>
      <c r="D2244" s="13" t="s">
        <v>31</v>
      </c>
      <c r="E2244" s="14"/>
      <c r="F2244" s="14"/>
      <c r="G2244" s="14"/>
      <c r="H2244" s="14"/>
      <c r="J2244" s="15"/>
      <c r="K2244" s="39"/>
    </row>
    <row r="2245" spans="3:11" x14ac:dyDescent="0.3">
      <c r="C2245" s="21" t="s">
        <v>32</v>
      </c>
      <c r="D2245" s="22"/>
      <c r="E2245" s="22"/>
      <c r="F2245" s="22"/>
      <c r="G2245" s="28"/>
      <c r="H2245" s="29">
        <v>0</v>
      </c>
      <c r="J2245" s="15"/>
      <c r="K2245" s="39"/>
    </row>
    <row r="2246" spans="3:11" x14ac:dyDescent="0.3">
      <c r="C2246" s="30" t="s">
        <v>33</v>
      </c>
      <c r="D2246" s="31" t="s">
        <v>34</v>
      </c>
      <c r="E2246" s="32"/>
      <c r="F2246" s="32"/>
      <c r="G2246" s="33"/>
      <c r="H2246" s="46">
        <f>H2245+H2243+H2240</f>
        <v>23837.5</v>
      </c>
      <c r="I2246" s="47"/>
      <c r="J2246" s="15"/>
      <c r="K2246" s="39"/>
    </row>
    <row r="2247" spans="3:11" x14ac:dyDescent="0.3">
      <c r="C2247" s="30" t="s">
        <v>35</v>
      </c>
      <c r="D2247" s="31" t="s">
        <v>36</v>
      </c>
      <c r="E2247" s="32"/>
      <c r="F2247" s="33"/>
      <c r="G2247" s="34">
        <f>$M$9</f>
        <v>0.1</v>
      </c>
      <c r="H2247" s="19">
        <f>H2246*G2247</f>
        <v>2383.75</v>
      </c>
      <c r="I2247" s="47"/>
      <c r="J2247" s="15"/>
      <c r="K2247" s="39"/>
    </row>
    <row r="2248" spans="3:11" x14ac:dyDescent="0.3">
      <c r="C2248" s="30" t="s">
        <v>37</v>
      </c>
      <c r="D2248" s="31" t="s">
        <v>38</v>
      </c>
      <c r="E2248" s="32"/>
      <c r="F2248" s="32"/>
      <c r="G2248" s="33"/>
      <c r="H2248" s="48">
        <f>SUM(H2246:H2247)</f>
        <v>26221.25</v>
      </c>
      <c r="I2248" s="47"/>
      <c r="J2248" s="15"/>
      <c r="K2248" s="39"/>
    </row>
    <row r="2249" spans="3:11" x14ac:dyDescent="0.3">
      <c r="C2249" s="2"/>
      <c r="D2249" s="2"/>
      <c r="J2249" s="15"/>
      <c r="K2249" s="39"/>
    </row>
    <row r="2250" spans="3:11" x14ac:dyDescent="0.3">
      <c r="C2250" s="2" t="s">
        <v>456</v>
      </c>
      <c r="D2250" s="2" t="s">
        <v>457</v>
      </c>
      <c r="J2250" s="15"/>
      <c r="K2250" s="39"/>
    </row>
    <row r="2251" spans="3:11" x14ac:dyDescent="0.3">
      <c r="C2251" s="67" t="s">
        <v>458</v>
      </c>
      <c r="D2251" s="67" t="s">
        <v>459</v>
      </c>
      <c r="E2251" s="79"/>
      <c r="F2251" s="79"/>
      <c r="G2251" s="79"/>
      <c r="H2251" s="79"/>
      <c r="I2251" s="10">
        <f>ROUNDDOWN(H2267,0)</f>
        <v>17094</v>
      </c>
      <c r="J2251" s="15"/>
      <c r="K2251" s="39"/>
    </row>
    <row r="2252" spans="3:11" ht="27.6" x14ac:dyDescent="0.3">
      <c r="C2252" s="11" t="s">
        <v>9</v>
      </c>
      <c r="D2252" s="11" t="s">
        <v>10</v>
      </c>
      <c r="E2252" s="11" t="s">
        <v>11</v>
      </c>
      <c r="F2252" s="11" t="s">
        <v>12</v>
      </c>
      <c r="G2252" s="11" t="s">
        <v>13</v>
      </c>
      <c r="H2252" s="11" t="s">
        <v>14</v>
      </c>
      <c r="J2252" s="15"/>
      <c r="K2252" s="39"/>
    </row>
    <row r="2253" spans="3:11" x14ac:dyDescent="0.25">
      <c r="C2253" s="12" t="s">
        <v>15</v>
      </c>
      <c r="D2253" s="13" t="s">
        <v>16</v>
      </c>
      <c r="E2253" s="14"/>
      <c r="F2253" s="14"/>
      <c r="G2253" s="14"/>
      <c r="H2253" s="14"/>
      <c r="J2253" s="15"/>
      <c r="K2253" s="39"/>
    </row>
    <row r="2254" spans="3:11" x14ac:dyDescent="0.3">
      <c r="C2254" s="16">
        <v>1</v>
      </c>
      <c r="D2254" s="13" t="s">
        <v>18</v>
      </c>
      <c r="E2254" s="17" t="s">
        <v>19</v>
      </c>
      <c r="F2254" s="18">
        <v>2.4E-2</v>
      </c>
      <c r="G2254" s="19">
        <f>VLOOKUP(D2254,upahbahan,3,FALSE)</f>
        <v>100000</v>
      </c>
      <c r="H2254" s="19">
        <f t="shared" ref="H2254:H2257" si="229">F2254*G2254</f>
        <v>2400</v>
      </c>
      <c r="J2254" s="15"/>
      <c r="K2254" s="39"/>
    </row>
    <row r="2255" spans="3:11" x14ac:dyDescent="0.3">
      <c r="C2255" s="16">
        <v>2</v>
      </c>
      <c r="D2255" s="13" t="s">
        <v>214</v>
      </c>
      <c r="E2255" s="17" t="s">
        <v>19</v>
      </c>
      <c r="F2255" s="18">
        <v>0.04</v>
      </c>
      <c r="G2255" s="19">
        <f>VLOOKUP(D2255,upahbahan,3,FALSE)</f>
        <v>145000</v>
      </c>
      <c r="H2255" s="19">
        <f t="shared" si="229"/>
        <v>5800</v>
      </c>
      <c r="J2255" s="15"/>
      <c r="K2255" s="39"/>
    </row>
    <row r="2256" spans="3:11" x14ac:dyDescent="0.3">
      <c r="C2256" s="16">
        <v>3</v>
      </c>
      <c r="D2256" s="13" t="s">
        <v>22</v>
      </c>
      <c r="E2256" s="17" t="s">
        <v>19</v>
      </c>
      <c r="F2256" s="18">
        <v>4.0000000000000001E-3</v>
      </c>
      <c r="G2256" s="19">
        <f>VLOOKUP(D2256,upahbahan,3,FALSE)</f>
        <v>175000</v>
      </c>
      <c r="H2256" s="19">
        <f t="shared" si="229"/>
        <v>700</v>
      </c>
      <c r="J2256" s="15"/>
      <c r="K2256" s="39"/>
    </row>
    <row r="2257" spans="3:11" x14ac:dyDescent="0.3">
      <c r="C2257" s="16">
        <v>4</v>
      </c>
      <c r="D2257" s="13" t="s">
        <v>23</v>
      </c>
      <c r="E2257" s="17" t="s">
        <v>19</v>
      </c>
      <c r="F2257" s="18">
        <v>1E-3</v>
      </c>
      <c r="G2257" s="19">
        <f>VLOOKUP(D2257,upahbahan,3,FALSE)</f>
        <v>200000</v>
      </c>
      <c r="H2257" s="19">
        <f t="shared" si="229"/>
        <v>200</v>
      </c>
      <c r="J2257" s="15"/>
      <c r="K2257" s="39"/>
    </row>
    <row r="2258" spans="3:11" x14ac:dyDescent="0.3">
      <c r="C2258" s="21" t="s">
        <v>24</v>
      </c>
      <c r="D2258" s="22"/>
      <c r="E2258" s="22"/>
      <c r="F2258" s="54"/>
      <c r="G2258" s="24"/>
      <c r="H2258" s="19">
        <f>SUM(H2254:H2257)</f>
        <v>9100</v>
      </c>
      <c r="I2258" s="25"/>
      <c r="J2258" s="15"/>
      <c r="K2258" s="39"/>
    </row>
    <row r="2259" spans="3:11" x14ac:dyDescent="0.25">
      <c r="C2259" s="12" t="s">
        <v>25</v>
      </c>
      <c r="D2259" s="13" t="s">
        <v>26</v>
      </c>
      <c r="E2259" s="14"/>
      <c r="F2259" s="55"/>
      <c r="G2259" s="14"/>
      <c r="H2259" s="14"/>
      <c r="J2259" s="15"/>
      <c r="K2259" s="39"/>
    </row>
    <row r="2260" spans="3:11" x14ac:dyDescent="0.3">
      <c r="C2260" s="71" t="s">
        <v>202</v>
      </c>
      <c r="D2260" s="72" t="s">
        <v>460</v>
      </c>
      <c r="E2260" s="73" t="s">
        <v>28</v>
      </c>
      <c r="F2260" s="74">
        <v>1.1499999999999999</v>
      </c>
      <c r="G2260" s="75">
        <f>VLOOKUP(D2260,upahbahan,3,FALSE)</f>
        <v>1500</v>
      </c>
      <c r="H2260" s="19">
        <f t="shared" ref="H2260:H2261" si="230">F2260*G2260</f>
        <v>1724.9999999999998</v>
      </c>
      <c r="J2260" s="15"/>
      <c r="K2260" s="39"/>
    </row>
    <row r="2261" spans="3:11" x14ac:dyDescent="0.3">
      <c r="C2261" s="80">
        <v>2</v>
      </c>
      <c r="D2261" s="81" t="s">
        <v>205</v>
      </c>
      <c r="E2261" s="82" t="s">
        <v>28</v>
      </c>
      <c r="F2261" s="83">
        <v>1.1499999999999999</v>
      </c>
      <c r="G2261" s="75">
        <f>VLOOKUP(D2261,upahbahan,3,FALSE)</f>
        <v>4100</v>
      </c>
      <c r="H2261" s="19">
        <f t="shared" si="230"/>
        <v>4715</v>
      </c>
      <c r="J2261" s="15"/>
      <c r="K2261" s="39"/>
    </row>
    <row r="2262" spans="3:11" x14ac:dyDescent="0.3">
      <c r="C2262" s="76" t="s">
        <v>29</v>
      </c>
      <c r="D2262" s="77"/>
      <c r="E2262" s="77"/>
      <c r="F2262" s="77"/>
      <c r="G2262" s="78"/>
      <c r="H2262" s="19">
        <f>SUM(H2260:H2261)</f>
        <v>6440</v>
      </c>
      <c r="J2262" s="15"/>
      <c r="K2262" s="39"/>
    </row>
    <row r="2263" spans="3:11" x14ac:dyDescent="0.25">
      <c r="C2263" s="12" t="s">
        <v>30</v>
      </c>
      <c r="D2263" s="13" t="s">
        <v>31</v>
      </c>
      <c r="E2263" s="14"/>
      <c r="F2263" s="14"/>
      <c r="G2263" s="14"/>
      <c r="H2263" s="14"/>
      <c r="J2263" s="15"/>
      <c r="K2263" s="39"/>
    </row>
    <row r="2264" spans="3:11" x14ac:dyDescent="0.3">
      <c r="C2264" s="21" t="s">
        <v>32</v>
      </c>
      <c r="D2264" s="22"/>
      <c r="E2264" s="22"/>
      <c r="F2264" s="22"/>
      <c r="G2264" s="28"/>
      <c r="H2264" s="29">
        <v>0</v>
      </c>
      <c r="J2264" s="15"/>
      <c r="K2264" s="39"/>
    </row>
    <row r="2265" spans="3:11" x14ac:dyDescent="0.3">
      <c r="C2265" s="30" t="s">
        <v>33</v>
      </c>
      <c r="D2265" s="31" t="s">
        <v>34</v>
      </c>
      <c r="E2265" s="32"/>
      <c r="F2265" s="32"/>
      <c r="G2265" s="33"/>
      <c r="H2265" s="46">
        <f>H2264+H2262+H2258</f>
        <v>15540</v>
      </c>
      <c r="I2265" s="47"/>
      <c r="J2265" s="15"/>
      <c r="K2265" s="39"/>
    </row>
    <row r="2266" spans="3:11" x14ac:dyDescent="0.3">
      <c r="C2266" s="30" t="s">
        <v>35</v>
      </c>
      <c r="D2266" s="31" t="s">
        <v>36</v>
      </c>
      <c r="E2266" s="32"/>
      <c r="F2266" s="33"/>
      <c r="G2266" s="34">
        <f>$M$9</f>
        <v>0.1</v>
      </c>
      <c r="H2266" s="19">
        <f>H2265*G2266</f>
        <v>1554</v>
      </c>
      <c r="I2266" s="47"/>
      <c r="J2266" s="15"/>
      <c r="K2266" s="39"/>
    </row>
    <row r="2267" spans="3:11" x14ac:dyDescent="0.3">
      <c r="C2267" s="30" t="s">
        <v>37</v>
      </c>
      <c r="D2267" s="31" t="s">
        <v>38</v>
      </c>
      <c r="E2267" s="32"/>
      <c r="F2267" s="32"/>
      <c r="G2267" s="33"/>
      <c r="H2267" s="48">
        <f>SUM(H2265:H2266)</f>
        <v>17094</v>
      </c>
      <c r="I2267" s="47"/>
      <c r="J2267" s="15"/>
      <c r="K2267" s="39"/>
    </row>
    <row r="2268" spans="3:11" x14ac:dyDescent="0.3">
      <c r="C2268" s="2"/>
      <c r="D2268" s="2"/>
      <c r="J2268" s="15"/>
      <c r="K2268" s="39"/>
    </row>
    <row r="2269" spans="3:11" x14ac:dyDescent="0.3">
      <c r="C2269" s="2" t="s">
        <v>461</v>
      </c>
      <c r="D2269" s="2" t="s">
        <v>462</v>
      </c>
      <c r="J2269" s="15"/>
      <c r="K2269" s="39"/>
    </row>
    <row r="2270" spans="3:11" x14ac:dyDescent="0.3">
      <c r="C2270" s="67" t="s">
        <v>463</v>
      </c>
      <c r="D2270" s="67" t="s">
        <v>464</v>
      </c>
      <c r="E2270" s="79"/>
      <c r="F2270" s="79"/>
      <c r="G2270" s="79"/>
      <c r="H2270" s="79"/>
      <c r="I2270" s="10">
        <f>ROUNDDOWN(H2285,0)</f>
        <v>41948</v>
      </c>
      <c r="J2270" s="15"/>
      <c r="K2270" s="39"/>
    </row>
    <row r="2271" spans="3:11" ht="27.6" x14ac:dyDescent="0.3">
      <c r="C2271" s="11" t="s">
        <v>9</v>
      </c>
      <c r="D2271" s="11" t="s">
        <v>10</v>
      </c>
      <c r="E2271" s="11" t="s">
        <v>11</v>
      </c>
      <c r="F2271" s="11" t="s">
        <v>12</v>
      </c>
      <c r="G2271" s="11" t="s">
        <v>13</v>
      </c>
      <c r="H2271" s="11" t="s">
        <v>14</v>
      </c>
      <c r="J2271" s="15"/>
      <c r="K2271" s="39"/>
    </row>
    <row r="2272" spans="3:11" x14ac:dyDescent="0.25">
      <c r="C2272" s="12" t="s">
        <v>15</v>
      </c>
      <c r="D2272" s="13" t="s">
        <v>16</v>
      </c>
      <c r="E2272" s="14"/>
      <c r="F2272" s="14"/>
      <c r="G2272" s="14"/>
      <c r="H2272" s="14"/>
      <c r="J2272" s="15"/>
      <c r="K2272" s="39"/>
    </row>
    <row r="2273" spans="3:11" x14ac:dyDescent="0.3">
      <c r="C2273" s="16">
        <v>1</v>
      </c>
      <c r="D2273" s="13" t="s">
        <v>18</v>
      </c>
      <c r="E2273" s="17" t="s">
        <v>19</v>
      </c>
      <c r="F2273" s="18">
        <v>3.1E-2</v>
      </c>
      <c r="G2273" s="19">
        <f>VLOOKUP(D2273,upahbahan,3,FALSE)</f>
        <v>100000</v>
      </c>
      <c r="H2273" s="19">
        <f t="shared" ref="H2273:H2276" si="231">F2273*G2273</f>
        <v>3100</v>
      </c>
      <c r="J2273" s="15"/>
      <c r="K2273" s="39"/>
    </row>
    <row r="2274" spans="3:11" x14ac:dyDescent="0.3">
      <c r="C2274" s="16">
        <v>2</v>
      </c>
      <c r="D2274" s="13" t="s">
        <v>214</v>
      </c>
      <c r="E2274" s="17" t="s">
        <v>19</v>
      </c>
      <c r="F2274" s="18">
        <v>5.1999999999999998E-2</v>
      </c>
      <c r="G2274" s="19">
        <f>VLOOKUP(D2274,upahbahan,3,FALSE)</f>
        <v>145000</v>
      </c>
      <c r="H2274" s="19">
        <f t="shared" si="231"/>
        <v>7540</v>
      </c>
      <c r="J2274" s="15"/>
      <c r="K2274" s="39"/>
    </row>
    <row r="2275" spans="3:11" x14ac:dyDescent="0.3">
      <c r="C2275" s="16">
        <v>3</v>
      </c>
      <c r="D2275" s="13" t="s">
        <v>22</v>
      </c>
      <c r="E2275" s="17" t="s">
        <v>19</v>
      </c>
      <c r="F2275" s="18">
        <v>5.0000000000000001E-3</v>
      </c>
      <c r="G2275" s="19">
        <f>VLOOKUP(D2275,upahbahan,3,FALSE)</f>
        <v>175000</v>
      </c>
      <c r="H2275" s="19">
        <f t="shared" si="231"/>
        <v>875</v>
      </c>
      <c r="J2275" s="15"/>
      <c r="K2275" s="39"/>
    </row>
    <row r="2276" spans="3:11" x14ac:dyDescent="0.3">
      <c r="C2276" s="16">
        <v>4</v>
      </c>
      <c r="D2276" s="13" t="s">
        <v>23</v>
      </c>
      <c r="E2276" s="17" t="s">
        <v>19</v>
      </c>
      <c r="F2276" s="18">
        <v>2E-3</v>
      </c>
      <c r="G2276" s="19">
        <f>VLOOKUP(D2276,upahbahan,3,FALSE)</f>
        <v>200000</v>
      </c>
      <c r="H2276" s="19">
        <f t="shared" si="231"/>
        <v>400</v>
      </c>
      <c r="J2276" s="15"/>
      <c r="K2276" s="39"/>
    </row>
    <row r="2277" spans="3:11" x14ac:dyDescent="0.3">
      <c r="C2277" s="21" t="s">
        <v>24</v>
      </c>
      <c r="D2277" s="22"/>
      <c r="E2277" s="22"/>
      <c r="F2277" s="54"/>
      <c r="G2277" s="24"/>
      <c r="H2277" s="19">
        <f>SUM(H2273:H2276)</f>
        <v>11915</v>
      </c>
      <c r="I2277" s="25"/>
      <c r="J2277" s="15"/>
      <c r="K2277" s="39"/>
    </row>
    <row r="2278" spans="3:11" x14ac:dyDescent="0.25">
      <c r="C2278" s="12" t="s">
        <v>25</v>
      </c>
      <c r="D2278" s="13" t="s">
        <v>26</v>
      </c>
      <c r="E2278" s="14"/>
      <c r="F2278" s="55"/>
      <c r="G2278" s="14"/>
      <c r="H2278" s="14"/>
      <c r="J2278" s="15"/>
      <c r="K2278" s="39"/>
    </row>
    <row r="2279" spans="3:11" x14ac:dyDescent="0.3">
      <c r="C2279" s="71" t="s">
        <v>202</v>
      </c>
      <c r="D2279" s="72" t="s">
        <v>465</v>
      </c>
      <c r="E2279" s="73" t="s">
        <v>28</v>
      </c>
      <c r="F2279" s="74">
        <v>1.1499999999999999</v>
      </c>
      <c r="G2279" s="75">
        <f>VLOOKUP(D2279,upahbahan,3,FALSE)</f>
        <v>22800</v>
      </c>
      <c r="H2279" s="19">
        <f t="shared" ref="H2279" si="232">F2279*G2279</f>
        <v>26219.999999999996</v>
      </c>
      <c r="J2279" s="15"/>
      <c r="K2279" s="39"/>
    </row>
    <row r="2280" spans="3:11" x14ac:dyDescent="0.3">
      <c r="C2280" s="76" t="s">
        <v>29</v>
      </c>
      <c r="D2280" s="77"/>
      <c r="E2280" s="77"/>
      <c r="F2280" s="77"/>
      <c r="G2280" s="78"/>
      <c r="H2280" s="19">
        <f>SUM(H2279:H2279)</f>
        <v>26219.999999999996</v>
      </c>
      <c r="J2280" s="15"/>
      <c r="K2280" s="39"/>
    </row>
    <row r="2281" spans="3:11" x14ac:dyDescent="0.25">
      <c r="C2281" s="12" t="s">
        <v>30</v>
      </c>
      <c r="D2281" s="13" t="s">
        <v>31</v>
      </c>
      <c r="E2281" s="14"/>
      <c r="F2281" s="14"/>
      <c r="G2281" s="14"/>
      <c r="H2281" s="14"/>
      <c r="J2281" s="15"/>
      <c r="K2281" s="39"/>
    </row>
    <row r="2282" spans="3:11" x14ac:dyDescent="0.3">
      <c r="C2282" s="21" t="s">
        <v>32</v>
      </c>
      <c r="D2282" s="22"/>
      <c r="E2282" s="22"/>
      <c r="F2282" s="22"/>
      <c r="G2282" s="28"/>
      <c r="H2282" s="29">
        <v>0</v>
      </c>
      <c r="J2282" s="15"/>
      <c r="K2282" s="39"/>
    </row>
    <row r="2283" spans="3:11" x14ac:dyDescent="0.3">
      <c r="C2283" s="30" t="s">
        <v>33</v>
      </c>
      <c r="D2283" s="31" t="s">
        <v>34</v>
      </c>
      <c r="E2283" s="32"/>
      <c r="F2283" s="32"/>
      <c r="G2283" s="33"/>
      <c r="H2283" s="46">
        <f>H2282+H2280+H2277</f>
        <v>38135</v>
      </c>
      <c r="I2283" s="47"/>
      <c r="J2283" s="15"/>
      <c r="K2283" s="39"/>
    </row>
    <row r="2284" spans="3:11" x14ac:dyDescent="0.3">
      <c r="C2284" s="30" t="s">
        <v>35</v>
      </c>
      <c r="D2284" s="31" t="s">
        <v>36</v>
      </c>
      <c r="E2284" s="32"/>
      <c r="F2284" s="33"/>
      <c r="G2284" s="34">
        <f>$M$9</f>
        <v>0.1</v>
      </c>
      <c r="H2284" s="19">
        <f>H2283*G2284</f>
        <v>3813.5</v>
      </c>
      <c r="I2284" s="47"/>
      <c r="J2284" s="15"/>
      <c r="K2284" s="39"/>
    </row>
    <row r="2285" spans="3:11" x14ac:dyDescent="0.3">
      <c r="C2285" s="30" t="s">
        <v>37</v>
      </c>
      <c r="D2285" s="31" t="s">
        <v>38</v>
      </c>
      <c r="E2285" s="32"/>
      <c r="F2285" s="32"/>
      <c r="G2285" s="33"/>
      <c r="H2285" s="48">
        <f>SUM(H2283:H2284)</f>
        <v>41948.5</v>
      </c>
      <c r="I2285" s="47"/>
      <c r="J2285" s="15"/>
      <c r="K2285" s="39"/>
    </row>
    <row r="2286" spans="3:11" x14ac:dyDescent="0.3">
      <c r="C2286" s="2"/>
      <c r="D2286" s="2"/>
      <c r="J2286" s="15"/>
      <c r="K2286" s="39"/>
    </row>
    <row r="2287" spans="3:11" x14ac:dyDescent="0.3">
      <c r="C2287" s="2" t="s">
        <v>466</v>
      </c>
      <c r="D2287" s="2" t="s">
        <v>467</v>
      </c>
      <c r="J2287" s="15"/>
      <c r="K2287" s="39"/>
    </row>
    <row r="2288" spans="3:11" x14ac:dyDescent="0.3">
      <c r="C2288" s="40" t="s">
        <v>468</v>
      </c>
      <c r="D2288" s="68" t="s">
        <v>469</v>
      </c>
      <c r="E2288" s="44"/>
      <c r="F2288" s="44"/>
      <c r="G2288" s="44"/>
      <c r="H2288" s="44"/>
      <c r="I2288" s="10">
        <f>ROUNDDOWN(H2303,0)</f>
        <v>534220</v>
      </c>
      <c r="J2288" s="15"/>
      <c r="K2288" s="39"/>
    </row>
    <row r="2289" spans="3:11" ht="36" customHeight="1" x14ac:dyDescent="0.3">
      <c r="C2289" s="11" t="s">
        <v>9</v>
      </c>
      <c r="D2289" s="11" t="s">
        <v>10</v>
      </c>
      <c r="E2289" s="11" t="s">
        <v>11</v>
      </c>
      <c r="F2289" s="11" t="s">
        <v>12</v>
      </c>
      <c r="G2289" s="11" t="s">
        <v>13</v>
      </c>
      <c r="H2289" s="11" t="s">
        <v>14</v>
      </c>
      <c r="J2289" s="15"/>
      <c r="K2289" s="39"/>
    </row>
    <row r="2290" spans="3:11" x14ac:dyDescent="0.25">
      <c r="C2290" s="12" t="s">
        <v>15</v>
      </c>
      <c r="D2290" s="13" t="s">
        <v>16</v>
      </c>
      <c r="E2290" s="14"/>
      <c r="F2290" s="14"/>
      <c r="G2290" s="14"/>
      <c r="H2290" s="14"/>
      <c r="J2290" s="15"/>
      <c r="K2290" s="39"/>
    </row>
    <row r="2291" spans="3:11" x14ac:dyDescent="0.3">
      <c r="C2291" s="16">
        <v>1</v>
      </c>
      <c r="D2291" s="13" t="s">
        <v>18</v>
      </c>
      <c r="E2291" s="17" t="s">
        <v>19</v>
      </c>
      <c r="F2291" s="18">
        <v>0.11899999999999999</v>
      </c>
      <c r="G2291" s="19">
        <f>VLOOKUP(D2291,upahbahan,3,FALSE)</f>
        <v>100000</v>
      </c>
      <c r="H2291" s="19">
        <f t="shared" ref="H2291:H2294" si="233">F2291*G2291</f>
        <v>11900</v>
      </c>
      <c r="J2291" s="15"/>
      <c r="K2291" s="39"/>
    </row>
    <row r="2292" spans="3:11" x14ac:dyDescent="0.3">
      <c r="C2292" s="16">
        <v>2</v>
      </c>
      <c r="D2292" s="13" t="str">
        <f>D2201</f>
        <v>Tukang listrik</v>
      </c>
      <c r="E2292" s="17" t="s">
        <v>19</v>
      </c>
      <c r="F2292" s="18">
        <v>0.19900000000000001</v>
      </c>
      <c r="G2292" s="19">
        <f>VLOOKUP(D2292,upahbahan,3,FALSE)</f>
        <v>145000</v>
      </c>
      <c r="H2292" s="19">
        <f t="shared" si="233"/>
        <v>28855</v>
      </c>
      <c r="J2292" s="15"/>
      <c r="K2292" s="39"/>
    </row>
    <row r="2293" spans="3:11" x14ac:dyDescent="0.3">
      <c r="C2293" s="16">
        <v>3</v>
      </c>
      <c r="D2293" s="13" t="s">
        <v>22</v>
      </c>
      <c r="E2293" s="17" t="s">
        <v>19</v>
      </c>
      <c r="F2293" s="18">
        <v>0.02</v>
      </c>
      <c r="G2293" s="19">
        <f>VLOOKUP(D2293,upahbahan,3,FALSE)</f>
        <v>175000</v>
      </c>
      <c r="H2293" s="19">
        <f t="shared" si="233"/>
        <v>3500</v>
      </c>
      <c r="J2293" s="15"/>
      <c r="K2293" s="39"/>
    </row>
    <row r="2294" spans="3:11" x14ac:dyDescent="0.3">
      <c r="C2294" s="16">
        <v>4</v>
      </c>
      <c r="D2294" s="13" t="s">
        <v>23</v>
      </c>
      <c r="E2294" s="17" t="s">
        <v>19</v>
      </c>
      <c r="F2294" s="18">
        <v>7.0000000000000001E-3</v>
      </c>
      <c r="G2294" s="19">
        <f>VLOOKUP(D2294,upahbahan,3,FALSE)</f>
        <v>200000</v>
      </c>
      <c r="H2294" s="19">
        <f t="shared" si="233"/>
        <v>1400</v>
      </c>
      <c r="J2294" s="15"/>
      <c r="K2294" s="39"/>
    </row>
    <row r="2295" spans="3:11" x14ac:dyDescent="0.3">
      <c r="C2295" s="21" t="s">
        <v>24</v>
      </c>
      <c r="D2295" s="22"/>
      <c r="E2295" s="22"/>
      <c r="F2295" s="54"/>
      <c r="G2295" s="24"/>
      <c r="H2295" s="19">
        <f>SUM(H2291:H2294)</f>
        <v>45655</v>
      </c>
      <c r="I2295" s="25"/>
      <c r="J2295" s="15"/>
      <c r="K2295" s="39"/>
    </row>
    <row r="2296" spans="3:11" x14ac:dyDescent="0.25">
      <c r="C2296" s="12" t="s">
        <v>25</v>
      </c>
      <c r="D2296" s="13" t="s">
        <v>26</v>
      </c>
      <c r="E2296" s="14"/>
      <c r="F2296" s="55"/>
      <c r="G2296" s="14"/>
      <c r="H2296" s="14"/>
      <c r="J2296" s="15"/>
      <c r="K2296" s="39"/>
    </row>
    <row r="2297" spans="3:11" x14ac:dyDescent="0.3">
      <c r="C2297" s="63" t="s">
        <v>202</v>
      </c>
      <c r="D2297" s="26" t="s">
        <v>470</v>
      </c>
      <c r="E2297" s="27" t="s">
        <v>28</v>
      </c>
      <c r="F2297" s="49">
        <v>1.25</v>
      </c>
      <c r="G2297" s="19">
        <f>VLOOKUP(D2297,upahbahan,3,FALSE)</f>
        <v>352000</v>
      </c>
      <c r="H2297" s="19">
        <f t="shared" ref="H2297" si="234">F2297*G2297</f>
        <v>440000</v>
      </c>
      <c r="J2297" s="15"/>
      <c r="K2297" s="39"/>
    </row>
    <row r="2298" spans="3:11" x14ac:dyDescent="0.3">
      <c r="C2298" s="21" t="s">
        <v>29</v>
      </c>
      <c r="D2298" s="22"/>
      <c r="E2298" s="22"/>
      <c r="F2298" s="22"/>
      <c r="G2298" s="28"/>
      <c r="H2298" s="19">
        <f>SUM(H2297:H2297)</f>
        <v>440000</v>
      </c>
      <c r="J2298" s="15"/>
      <c r="K2298" s="39"/>
    </row>
    <row r="2299" spans="3:11" x14ac:dyDescent="0.25">
      <c r="C2299" s="12" t="s">
        <v>30</v>
      </c>
      <c r="D2299" s="13" t="s">
        <v>31</v>
      </c>
      <c r="E2299" s="14"/>
      <c r="F2299" s="14"/>
      <c r="G2299" s="14"/>
      <c r="H2299" s="14"/>
      <c r="J2299" s="15"/>
      <c r="K2299" s="39"/>
    </row>
    <row r="2300" spans="3:11" x14ac:dyDescent="0.3">
      <c r="C2300" s="21" t="s">
        <v>32</v>
      </c>
      <c r="D2300" s="22"/>
      <c r="E2300" s="22"/>
      <c r="F2300" s="22"/>
      <c r="G2300" s="28"/>
      <c r="H2300" s="29">
        <v>0</v>
      </c>
      <c r="J2300" s="15"/>
      <c r="K2300" s="39"/>
    </row>
    <row r="2301" spans="3:11" x14ac:dyDescent="0.3">
      <c r="C2301" s="30" t="s">
        <v>33</v>
      </c>
      <c r="D2301" s="31" t="s">
        <v>34</v>
      </c>
      <c r="E2301" s="32"/>
      <c r="F2301" s="32"/>
      <c r="G2301" s="33"/>
      <c r="H2301" s="46">
        <f>H2300+H2298+H2295</f>
        <v>485655</v>
      </c>
      <c r="I2301" s="47"/>
      <c r="J2301" s="15"/>
      <c r="K2301" s="39"/>
    </row>
    <row r="2302" spans="3:11" x14ac:dyDescent="0.3">
      <c r="C2302" s="30" t="s">
        <v>35</v>
      </c>
      <c r="D2302" s="31" t="s">
        <v>36</v>
      </c>
      <c r="E2302" s="32"/>
      <c r="F2302" s="33"/>
      <c r="G2302" s="34">
        <f>$M$9</f>
        <v>0.1</v>
      </c>
      <c r="H2302" s="19">
        <f>H2301*G2302</f>
        <v>48565.5</v>
      </c>
      <c r="I2302" s="47"/>
      <c r="J2302" s="15"/>
      <c r="K2302" s="39"/>
    </row>
    <row r="2303" spans="3:11" x14ac:dyDescent="0.3">
      <c r="C2303" s="30" t="s">
        <v>37</v>
      </c>
      <c r="D2303" s="31" t="s">
        <v>38</v>
      </c>
      <c r="E2303" s="32"/>
      <c r="F2303" s="32"/>
      <c r="G2303" s="33"/>
      <c r="H2303" s="48">
        <f>SUM(H2301:H2302)</f>
        <v>534220.5</v>
      </c>
      <c r="I2303" s="47"/>
      <c r="J2303" s="15"/>
      <c r="K2303" s="39"/>
    </row>
    <row r="2304" spans="3:11" x14ac:dyDescent="0.3">
      <c r="J2304" s="15"/>
      <c r="K2304" s="39"/>
    </row>
    <row r="2305" spans="3:11" x14ac:dyDescent="0.3">
      <c r="C2305" s="5" t="s">
        <v>471</v>
      </c>
      <c r="D2305" s="68" t="s">
        <v>472</v>
      </c>
      <c r="E2305" s="44"/>
      <c r="F2305" s="44"/>
      <c r="G2305" s="44"/>
      <c r="H2305" s="44"/>
      <c r="I2305" s="10">
        <f>ROUNDDOWN(H2320,0)</f>
        <v>475095</v>
      </c>
      <c r="J2305" s="15"/>
      <c r="K2305" s="39"/>
    </row>
    <row r="2306" spans="3:11" ht="27.6" x14ac:dyDescent="0.3">
      <c r="C2306" s="11" t="s">
        <v>9</v>
      </c>
      <c r="D2306" s="11" t="s">
        <v>10</v>
      </c>
      <c r="E2306" s="11" t="s">
        <v>11</v>
      </c>
      <c r="F2306" s="11" t="s">
        <v>12</v>
      </c>
      <c r="G2306" s="11" t="s">
        <v>13</v>
      </c>
      <c r="H2306" s="11" t="s">
        <v>14</v>
      </c>
      <c r="J2306" s="15"/>
      <c r="K2306" s="39"/>
    </row>
    <row r="2307" spans="3:11" x14ac:dyDescent="0.25">
      <c r="C2307" s="12" t="s">
        <v>15</v>
      </c>
      <c r="D2307" s="13" t="s">
        <v>16</v>
      </c>
      <c r="E2307" s="14"/>
      <c r="F2307" s="14"/>
      <c r="G2307" s="14"/>
      <c r="H2307" s="14"/>
      <c r="J2307" s="15"/>
      <c r="K2307" s="39"/>
    </row>
    <row r="2308" spans="3:11" x14ac:dyDescent="0.3">
      <c r="C2308" s="16">
        <v>1</v>
      </c>
      <c r="D2308" s="13" t="s">
        <v>18</v>
      </c>
      <c r="E2308" s="17" t="s">
        <v>19</v>
      </c>
      <c r="F2308" s="18">
        <v>0.11899999999999999</v>
      </c>
      <c r="G2308" s="19">
        <f>VLOOKUP(D2308,upahbahan,3,FALSE)</f>
        <v>100000</v>
      </c>
      <c r="H2308" s="19">
        <f t="shared" ref="H2308:H2311" si="235">F2308*G2308</f>
        <v>11900</v>
      </c>
      <c r="J2308" s="15"/>
      <c r="K2308" s="39"/>
    </row>
    <row r="2309" spans="3:11" x14ac:dyDescent="0.3">
      <c r="C2309" s="16">
        <v>2</v>
      </c>
      <c r="D2309" s="13" t="str">
        <f>D2292</f>
        <v>Tukang listrik</v>
      </c>
      <c r="E2309" s="17" t="s">
        <v>19</v>
      </c>
      <c r="F2309" s="18">
        <v>0.19900000000000001</v>
      </c>
      <c r="G2309" s="19">
        <f>VLOOKUP(D2309,upahbahan,3,FALSE)</f>
        <v>145000</v>
      </c>
      <c r="H2309" s="19">
        <f t="shared" si="235"/>
        <v>28855</v>
      </c>
      <c r="J2309" s="15"/>
      <c r="K2309" s="39"/>
    </row>
    <row r="2310" spans="3:11" x14ac:dyDescent="0.3">
      <c r="C2310" s="16">
        <v>3</v>
      </c>
      <c r="D2310" s="13" t="s">
        <v>22</v>
      </c>
      <c r="E2310" s="17" t="s">
        <v>19</v>
      </c>
      <c r="F2310" s="18">
        <v>0.02</v>
      </c>
      <c r="G2310" s="19">
        <f>VLOOKUP(D2310,upahbahan,3,FALSE)</f>
        <v>175000</v>
      </c>
      <c r="H2310" s="19">
        <f t="shared" si="235"/>
        <v>3500</v>
      </c>
      <c r="J2310" s="15"/>
      <c r="K2310" s="39"/>
    </row>
    <row r="2311" spans="3:11" x14ac:dyDescent="0.3">
      <c r="C2311" s="16">
        <v>4</v>
      </c>
      <c r="D2311" s="13" t="s">
        <v>23</v>
      </c>
      <c r="E2311" s="17" t="s">
        <v>19</v>
      </c>
      <c r="F2311" s="18">
        <v>7.0000000000000001E-3</v>
      </c>
      <c r="G2311" s="19">
        <f>VLOOKUP(D2311,upahbahan,3,FALSE)</f>
        <v>200000</v>
      </c>
      <c r="H2311" s="19">
        <f t="shared" si="235"/>
        <v>1400</v>
      </c>
      <c r="J2311" s="15"/>
      <c r="K2311" s="39"/>
    </row>
    <row r="2312" spans="3:11" x14ac:dyDescent="0.3">
      <c r="C2312" s="21" t="s">
        <v>24</v>
      </c>
      <c r="D2312" s="22"/>
      <c r="E2312" s="22"/>
      <c r="F2312" s="54"/>
      <c r="G2312" s="24"/>
      <c r="H2312" s="19">
        <f>SUM(H2308:H2311)</f>
        <v>45655</v>
      </c>
      <c r="I2312" s="25"/>
      <c r="J2312" s="15"/>
      <c r="K2312" s="39"/>
    </row>
    <row r="2313" spans="3:11" x14ac:dyDescent="0.25">
      <c r="C2313" s="12" t="s">
        <v>25</v>
      </c>
      <c r="D2313" s="13" t="s">
        <v>26</v>
      </c>
      <c r="E2313" s="14"/>
      <c r="F2313" s="55"/>
      <c r="G2313" s="14"/>
      <c r="H2313" s="14"/>
      <c r="J2313" s="15"/>
      <c r="K2313" s="39"/>
    </row>
    <row r="2314" spans="3:11" x14ac:dyDescent="0.3">
      <c r="C2314" s="63" t="s">
        <v>202</v>
      </c>
      <c r="D2314" s="26" t="s">
        <v>473</v>
      </c>
      <c r="E2314" s="27" t="s">
        <v>28</v>
      </c>
      <c r="F2314" s="49">
        <v>1.25</v>
      </c>
      <c r="G2314" s="19">
        <f>VLOOKUP(D2314,upahbahan,3,FALSE)</f>
        <v>309000</v>
      </c>
      <c r="H2314" s="19">
        <f t="shared" ref="H2314" si="236">F2314*G2314</f>
        <v>386250</v>
      </c>
      <c r="J2314" s="15"/>
      <c r="K2314" s="39"/>
    </row>
    <row r="2315" spans="3:11" x14ac:dyDescent="0.3">
      <c r="C2315" s="21" t="s">
        <v>29</v>
      </c>
      <c r="D2315" s="22"/>
      <c r="E2315" s="22"/>
      <c r="F2315" s="22"/>
      <c r="G2315" s="28"/>
      <c r="H2315" s="19">
        <f>SUM(H2314:H2314)</f>
        <v>386250</v>
      </c>
      <c r="J2315" s="15"/>
      <c r="K2315" s="39"/>
    </row>
    <row r="2316" spans="3:11" x14ac:dyDescent="0.25">
      <c r="C2316" s="12" t="s">
        <v>30</v>
      </c>
      <c r="D2316" s="13" t="s">
        <v>31</v>
      </c>
      <c r="E2316" s="14"/>
      <c r="F2316" s="14"/>
      <c r="G2316" s="14"/>
      <c r="H2316" s="14"/>
      <c r="J2316" s="15"/>
      <c r="K2316" s="39"/>
    </row>
    <row r="2317" spans="3:11" x14ac:dyDescent="0.3">
      <c r="C2317" s="21" t="s">
        <v>32</v>
      </c>
      <c r="D2317" s="22"/>
      <c r="E2317" s="22"/>
      <c r="F2317" s="22"/>
      <c r="G2317" s="28"/>
      <c r="H2317" s="29">
        <v>0</v>
      </c>
      <c r="J2317" s="15"/>
      <c r="K2317" s="39"/>
    </row>
    <row r="2318" spans="3:11" x14ac:dyDescent="0.3">
      <c r="C2318" s="30" t="s">
        <v>33</v>
      </c>
      <c r="D2318" s="31" t="s">
        <v>34</v>
      </c>
      <c r="E2318" s="32"/>
      <c r="F2318" s="32"/>
      <c r="G2318" s="33"/>
      <c r="H2318" s="46">
        <f>H2317+H2315+H2312</f>
        <v>431905</v>
      </c>
      <c r="I2318" s="47"/>
      <c r="J2318" s="15"/>
      <c r="K2318" s="39"/>
    </row>
    <row r="2319" spans="3:11" x14ac:dyDescent="0.3">
      <c r="C2319" s="30" t="s">
        <v>35</v>
      </c>
      <c r="D2319" s="31" t="s">
        <v>36</v>
      </c>
      <c r="E2319" s="32"/>
      <c r="F2319" s="33"/>
      <c r="G2319" s="34">
        <f>$M$9</f>
        <v>0.1</v>
      </c>
      <c r="H2319" s="19">
        <f>H2318*G2319</f>
        <v>43190.5</v>
      </c>
      <c r="I2319" s="47"/>
      <c r="J2319" s="15"/>
      <c r="K2319" s="39"/>
    </row>
    <row r="2320" spans="3:11" x14ac:dyDescent="0.3">
      <c r="C2320" s="30" t="s">
        <v>37</v>
      </c>
      <c r="D2320" s="31" t="s">
        <v>38</v>
      </c>
      <c r="E2320" s="32"/>
      <c r="F2320" s="32"/>
      <c r="G2320" s="33"/>
      <c r="H2320" s="48">
        <f>SUM(H2318:H2319)</f>
        <v>475095.5</v>
      </c>
      <c r="I2320" s="47"/>
      <c r="J2320" s="15"/>
      <c r="K2320" s="39"/>
    </row>
    <row r="2321" spans="3:11" x14ac:dyDescent="0.3">
      <c r="J2321" s="15"/>
      <c r="K2321" s="39"/>
    </row>
    <row r="2322" spans="3:11" x14ac:dyDescent="0.3">
      <c r="C2322" s="5" t="s">
        <v>474</v>
      </c>
      <c r="D2322" s="68" t="s">
        <v>475</v>
      </c>
      <c r="E2322" s="44"/>
      <c r="F2322" s="44"/>
      <c r="G2322" s="44"/>
      <c r="H2322" s="44"/>
      <c r="I2322" s="10">
        <f>ROUNDDOWN(H2337,0)</f>
        <v>414595</v>
      </c>
      <c r="J2322" s="15"/>
      <c r="K2322" s="39"/>
    </row>
    <row r="2323" spans="3:11" ht="27.6" x14ac:dyDescent="0.3">
      <c r="C2323" s="11" t="s">
        <v>9</v>
      </c>
      <c r="D2323" s="11" t="s">
        <v>10</v>
      </c>
      <c r="E2323" s="11" t="s">
        <v>11</v>
      </c>
      <c r="F2323" s="11" t="s">
        <v>12</v>
      </c>
      <c r="G2323" s="11" t="s">
        <v>13</v>
      </c>
      <c r="H2323" s="11" t="s">
        <v>14</v>
      </c>
      <c r="J2323" s="15"/>
      <c r="K2323" s="39"/>
    </row>
    <row r="2324" spans="3:11" x14ac:dyDescent="0.25">
      <c r="C2324" s="12" t="s">
        <v>15</v>
      </c>
      <c r="D2324" s="13" t="s">
        <v>16</v>
      </c>
      <c r="E2324" s="14"/>
      <c r="F2324" s="14"/>
      <c r="G2324" s="14"/>
      <c r="H2324" s="14"/>
      <c r="J2324" s="15"/>
      <c r="K2324" s="39"/>
    </row>
    <row r="2325" spans="3:11" x14ac:dyDescent="0.3">
      <c r="C2325" s="16">
        <v>1</v>
      </c>
      <c r="D2325" s="13" t="s">
        <v>18</v>
      </c>
      <c r="E2325" s="17" t="s">
        <v>19</v>
      </c>
      <c r="F2325" s="18">
        <v>0.11899999999999999</v>
      </c>
      <c r="G2325" s="19">
        <f>VLOOKUP(D2325,upahbahan,3,FALSE)</f>
        <v>100000</v>
      </c>
      <c r="H2325" s="19">
        <f t="shared" ref="H2325:H2328" si="237">F2325*G2325</f>
        <v>11900</v>
      </c>
      <c r="J2325" s="15"/>
      <c r="K2325" s="39"/>
    </row>
    <row r="2326" spans="3:11" x14ac:dyDescent="0.3">
      <c r="C2326" s="16">
        <v>2</v>
      </c>
      <c r="D2326" s="13" t="str">
        <f>D2309</f>
        <v>Tukang listrik</v>
      </c>
      <c r="E2326" s="17" t="s">
        <v>19</v>
      </c>
      <c r="F2326" s="18">
        <v>0.19900000000000001</v>
      </c>
      <c r="G2326" s="19">
        <f>VLOOKUP(D2326,upahbahan,3,FALSE)</f>
        <v>145000</v>
      </c>
      <c r="H2326" s="19">
        <f t="shared" si="237"/>
        <v>28855</v>
      </c>
      <c r="J2326" s="15"/>
      <c r="K2326" s="39"/>
    </row>
    <row r="2327" spans="3:11" x14ac:dyDescent="0.3">
      <c r="C2327" s="16">
        <v>3</v>
      </c>
      <c r="D2327" s="13" t="s">
        <v>22</v>
      </c>
      <c r="E2327" s="17" t="s">
        <v>19</v>
      </c>
      <c r="F2327" s="18">
        <v>0.02</v>
      </c>
      <c r="G2327" s="19">
        <f>VLOOKUP(D2327,upahbahan,3,FALSE)</f>
        <v>175000</v>
      </c>
      <c r="H2327" s="19">
        <f t="shared" si="237"/>
        <v>3500</v>
      </c>
      <c r="J2327" s="15"/>
      <c r="K2327" s="39"/>
    </row>
    <row r="2328" spans="3:11" x14ac:dyDescent="0.3">
      <c r="C2328" s="16">
        <v>4</v>
      </c>
      <c r="D2328" s="13" t="s">
        <v>23</v>
      </c>
      <c r="E2328" s="17" t="s">
        <v>19</v>
      </c>
      <c r="F2328" s="18">
        <v>7.0000000000000001E-3</v>
      </c>
      <c r="G2328" s="19">
        <f>VLOOKUP(D2328,upahbahan,3,FALSE)</f>
        <v>200000</v>
      </c>
      <c r="H2328" s="19">
        <f t="shared" si="237"/>
        <v>1400</v>
      </c>
      <c r="J2328" s="15"/>
      <c r="K2328" s="39"/>
    </row>
    <row r="2329" spans="3:11" x14ac:dyDescent="0.3">
      <c r="C2329" s="21" t="s">
        <v>24</v>
      </c>
      <c r="D2329" s="22"/>
      <c r="E2329" s="22"/>
      <c r="F2329" s="54"/>
      <c r="G2329" s="24"/>
      <c r="H2329" s="19">
        <f>SUM(H2325:H2328)</f>
        <v>45655</v>
      </c>
      <c r="I2329" s="25"/>
      <c r="J2329" s="15"/>
      <c r="K2329" s="39"/>
    </row>
    <row r="2330" spans="3:11" x14ac:dyDescent="0.25">
      <c r="C2330" s="12" t="s">
        <v>25</v>
      </c>
      <c r="D2330" s="13" t="s">
        <v>26</v>
      </c>
      <c r="E2330" s="14"/>
      <c r="F2330" s="55"/>
      <c r="G2330" s="14"/>
      <c r="H2330" s="14"/>
      <c r="J2330" s="15"/>
      <c r="K2330" s="39"/>
    </row>
    <row r="2331" spans="3:11" x14ac:dyDescent="0.3">
      <c r="C2331" s="63" t="s">
        <v>202</v>
      </c>
      <c r="D2331" s="26" t="s">
        <v>476</v>
      </c>
      <c r="E2331" s="27" t="s">
        <v>28</v>
      </c>
      <c r="F2331" s="49">
        <v>1.25</v>
      </c>
      <c r="G2331" s="19">
        <f>VLOOKUP(D2331,upahbahan,3,FALSE)</f>
        <v>265000</v>
      </c>
      <c r="H2331" s="19">
        <f t="shared" ref="H2331" si="238">F2331*G2331</f>
        <v>331250</v>
      </c>
      <c r="J2331" s="15"/>
      <c r="K2331" s="39"/>
    </row>
    <row r="2332" spans="3:11" x14ac:dyDescent="0.3">
      <c r="C2332" s="21" t="s">
        <v>29</v>
      </c>
      <c r="D2332" s="22"/>
      <c r="E2332" s="22"/>
      <c r="F2332" s="22"/>
      <c r="G2332" s="28"/>
      <c r="H2332" s="19">
        <f>SUM(H2331:H2331)</f>
        <v>331250</v>
      </c>
      <c r="J2332" s="15"/>
      <c r="K2332" s="39"/>
    </row>
    <row r="2333" spans="3:11" x14ac:dyDescent="0.25">
      <c r="C2333" s="12" t="s">
        <v>30</v>
      </c>
      <c r="D2333" s="13" t="s">
        <v>31</v>
      </c>
      <c r="E2333" s="14"/>
      <c r="F2333" s="14"/>
      <c r="G2333" s="14"/>
      <c r="H2333" s="14"/>
      <c r="J2333" s="15"/>
      <c r="K2333" s="39"/>
    </row>
    <row r="2334" spans="3:11" x14ac:dyDescent="0.3">
      <c r="C2334" s="21" t="s">
        <v>32</v>
      </c>
      <c r="D2334" s="22"/>
      <c r="E2334" s="22"/>
      <c r="F2334" s="22"/>
      <c r="G2334" s="28"/>
      <c r="H2334" s="29">
        <v>0</v>
      </c>
      <c r="J2334" s="15"/>
      <c r="K2334" s="39"/>
    </row>
    <row r="2335" spans="3:11" x14ac:dyDescent="0.3">
      <c r="C2335" s="30" t="s">
        <v>33</v>
      </c>
      <c r="D2335" s="31" t="s">
        <v>34</v>
      </c>
      <c r="E2335" s="32"/>
      <c r="F2335" s="32"/>
      <c r="G2335" s="33"/>
      <c r="H2335" s="46">
        <f>H2334+H2332+H2329</f>
        <v>376905</v>
      </c>
      <c r="I2335" s="47"/>
      <c r="J2335" s="15"/>
      <c r="K2335" s="39"/>
    </row>
    <row r="2336" spans="3:11" x14ac:dyDescent="0.3">
      <c r="C2336" s="30" t="s">
        <v>35</v>
      </c>
      <c r="D2336" s="31" t="s">
        <v>36</v>
      </c>
      <c r="E2336" s="32"/>
      <c r="F2336" s="33"/>
      <c r="G2336" s="34">
        <f>$M$9</f>
        <v>0.1</v>
      </c>
      <c r="H2336" s="19">
        <f>H2335*G2336</f>
        <v>37690.5</v>
      </c>
      <c r="I2336" s="47"/>
      <c r="J2336" s="15"/>
      <c r="K2336" s="39"/>
    </row>
    <row r="2337" spans="3:11" x14ac:dyDescent="0.3">
      <c r="C2337" s="30" t="s">
        <v>37</v>
      </c>
      <c r="D2337" s="31" t="s">
        <v>38</v>
      </c>
      <c r="E2337" s="32"/>
      <c r="F2337" s="32"/>
      <c r="G2337" s="33"/>
      <c r="H2337" s="48">
        <f>SUM(H2335:H2336)</f>
        <v>414595.5</v>
      </c>
      <c r="I2337" s="47"/>
      <c r="J2337" s="15"/>
      <c r="K2337" s="39"/>
    </row>
    <row r="2338" spans="3:11" x14ac:dyDescent="0.3">
      <c r="J2338" s="15"/>
      <c r="K2338" s="39"/>
    </row>
    <row r="2339" spans="3:11" x14ac:dyDescent="0.3">
      <c r="C2339" s="5" t="s">
        <v>477</v>
      </c>
      <c r="D2339" s="68" t="s">
        <v>478</v>
      </c>
      <c r="E2339" s="44"/>
      <c r="F2339" s="44"/>
      <c r="G2339" s="44"/>
      <c r="H2339" s="44"/>
      <c r="I2339" s="10">
        <f>ROUNDDOWN(H2354,0)</f>
        <v>351345</v>
      </c>
      <c r="J2339" s="15"/>
      <c r="K2339" s="39"/>
    </row>
    <row r="2340" spans="3:11" ht="27.6" x14ac:dyDescent="0.3">
      <c r="C2340" s="11" t="s">
        <v>9</v>
      </c>
      <c r="D2340" s="11" t="s">
        <v>10</v>
      </c>
      <c r="E2340" s="11" t="s">
        <v>11</v>
      </c>
      <c r="F2340" s="11" t="s">
        <v>12</v>
      </c>
      <c r="G2340" s="11" t="s">
        <v>13</v>
      </c>
      <c r="H2340" s="11" t="s">
        <v>14</v>
      </c>
      <c r="J2340" s="15"/>
      <c r="K2340" s="39"/>
    </row>
    <row r="2341" spans="3:11" x14ac:dyDescent="0.25">
      <c r="C2341" s="12" t="s">
        <v>15</v>
      </c>
      <c r="D2341" s="13" t="s">
        <v>16</v>
      </c>
      <c r="E2341" s="14"/>
      <c r="F2341" s="14"/>
      <c r="G2341" s="14"/>
      <c r="H2341" s="14"/>
      <c r="J2341" s="15"/>
      <c r="K2341" s="39"/>
    </row>
    <row r="2342" spans="3:11" x14ac:dyDescent="0.3">
      <c r="C2342" s="16">
        <v>1</v>
      </c>
      <c r="D2342" s="13" t="s">
        <v>18</v>
      </c>
      <c r="E2342" s="17" t="s">
        <v>19</v>
      </c>
      <c r="F2342" s="18">
        <v>0.11899999999999999</v>
      </c>
      <c r="G2342" s="19">
        <f>VLOOKUP(D2342,upahbahan,3,FALSE)</f>
        <v>100000</v>
      </c>
      <c r="H2342" s="19">
        <f t="shared" ref="H2342:H2345" si="239">F2342*G2342</f>
        <v>11900</v>
      </c>
      <c r="J2342" s="15"/>
      <c r="K2342" s="39"/>
    </row>
    <row r="2343" spans="3:11" x14ac:dyDescent="0.3">
      <c r="C2343" s="16">
        <v>2</v>
      </c>
      <c r="D2343" s="13" t="str">
        <f>D2326</f>
        <v>Tukang listrik</v>
      </c>
      <c r="E2343" s="17" t="s">
        <v>19</v>
      </c>
      <c r="F2343" s="18">
        <v>0.19900000000000001</v>
      </c>
      <c r="G2343" s="19">
        <f>VLOOKUP(D2343,upahbahan,3,FALSE)</f>
        <v>145000</v>
      </c>
      <c r="H2343" s="19">
        <f t="shared" si="239"/>
        <v>28855</v>
      </c>
      <c r="J2343" s="15"/>
      <c r="K2343" s="39"/>
    </row>
    <row r="2344" spans="3:11" x14ac:dyDescent="0.3">
      <c r="C2344" s="16">
        <v>3</v>
      </c>
      <c r="D2344" s="13" t="s">
        <v>22</v>
      </c>
      <c r="E2344" s="17" t="s">
        <v>19</v>
      </c>
      <c r="F2344" s="18">
        <v>0.02</v>
      </c>
      <c r="G2344" s="19">
        <f>VLOOKUP(D2344,upahbahan,3,FALSE)</f>
        <v>175000</v>
      </c>
      <c r="H2344" s="19">
        <f t="shared" si="239"/>
        <v>3500</v>
      </c>
      <c r="J2344" s="15"/>
      <c r="K2344" s="39"/>
    </row>
    <row r="2345" spans="3:11" x14ac:dyDescent="0.3">
      <c r="C2345" s="16">
        <v>4</v>
      </c>
      <c r="D2345" s="13" t="s">
        <v>23</v>
      </c>
      <c r="E2345" s="17" t="s">
        <v>19</v>
      </c>
      <c r="F2345" s="18">
        <v>7.0000000000000001E-3</v>
      </c>
      <c r="G2345" s="19">
        <f>VLOOKUP(D2345,upahbahan,3,FALSE)</f>
        <v>200000</v>
      </c>
      <c r="H2345" s="19">
        <f t="shared" si="239"/>
        <v>1400</v>
      </c>
      <c r="J2345" s="15"/>
      <c r="K2345" s="39"/>
    </row>
    <row r="2346" spans="3:11" x14ac:dyDescent="0.3">
      <c r="C2346" s="21" t="s">
        <v>24</v>
      </c>
      <c r="D2346" s="22"/>
      <c r="E2346" s="22"/>
      <c r="F2346" s="54"/>
      <c r="G2346" s="24"/>
      <c r="H2346" s="19">
        <f>SUM(H2342:H2345)</f>
        <v>45655</v>
      </c>
      <c r="I2346" s="25"/>
      <c r="J2346" s="15"/>
      <c r="K2346" s="39"/>
    </row>
    <row r="2347" spans="3:11" x14ac:dyDescent="0.25">
      <c r="C2347" s="12" t="s">
        <v>25</v>
      </c>
      <c r="D2347" s="13" t="s">
        <v>26</v>
      </c>
      <c r="E2347" s="14"/>
      <c r="F2347" s="55"/>
      <c r="G2347" s="14"/>
      <c r="H2347" s="14"/>
      <c r="J2347" s="15"/>
      <c r="K2347" s="39"/>
    </row>
    <row r="2348" spans="3:11" x14ac:dyDescent="0.3">
      <c r="C2348" s="63" t="s">
        <v>202</v>
      </c>
      <c r="D2348" s="26" t="s">
        <v>479</v>
      </c>
      <c r="E2348" s="27" t="s">
        <v>28</v>
      </c>
      <c r="F2348" s="49">
        <v>1.25</v>
      </c>
      <c r="G2348" s="19">
        <f>VLOOKUP(D2348,upahbahan,3,FALSE)</f>
        <v>219000</v>
      </c>
      <c r="H2348" s="19">
        <f t="shared" ref="H2348" si="240">F2348*G2348</f>
        <v>273750</v>
      </c>
      <c r="J2348" s="15"/>
      <c r="K2348" s="39"/>
    </row>
    <row r="2349" spans="3:11" x14ac:dyDescent="0.3">
      <c r="C2349" s="21" t="s">
        <v>29</v>
      </c>
      <c r="D2349" s="22"/>
      <c r="E2349" s="22"/>
      <c r="F2349" s="22"/>
      <c r="G2349" s="28"/>
      <c r="H2349" s="19">
        <f>SUM(H2348:H2348)</f>
        <v>273750</v>
      </c>
      <c r="J2349" s="15"/>
      <c r="K2349" s="39"/>
    </row>
    <row r="2350" spans="3:11" x14ac:dyDescent="0.25">
      <c r="C2350" s="12" t="s">
        <v>30</v>
      </c>
      <c r="D2350" s="13" t="s">
        <v>31</v>
      </c>
      <c r="E2350" s="14"/>
      <c r="F2350" s="14"/>
      <c r="G2350" s="14"/>
      <c r="H2350" s="14"/>
      <c r="J2350" s="15"/>
      <c r="K2350" s="39"/>
    </row>
    <row r="2351" spans="3:11" x14ac:dyDescent="0.3">
      <c r="C2351" s="21" t="s">
        <v>32</v>
      </c>
      <c r="D2351" s="22"/>
      <c r="E2351" s="22"/>
      <c r="F2351" s="22"/>
      <c r="G2351" s="28"/>
      <c r="H2351" s="29">
        <v>0</v>
      </c>
      <c r="J2351" s="15"/>
      <c r="K2351" s="39"/>
    </row>
    <row r="2352" spans="3:11" x14ac:dyDescent="0.3">
      <c r="C2352" s="30" t="s">
        <v>33</v>
      </c>
      <c r="D2352" s="31" t="s">
        <v>34</v>
      </c>
      <c r="E2352" s="32"/>
      <c r="F2352" s="32"/>
      <c r="G2352" s="33"/>
      <c r="H2352" s="46">
        <f>H2351+H2349+H2346</f>
        <v>319405</v>
      </c>
      <c r="I2352" s="47"/>
      <c r="J2352" s="15"/>
      <c r="K2352" s="39"/>
    </row>
    <row r="2353" spans="3:11" x14ac:dyDescent="0.3">
      <c r="C2353" s="30" t="s">
        <v>35</v>
      </c>
      <c r="D2353" s="31" t="s">
        <v>36</v>
      </c>
      <c r="E2353" s="32"/>
      <c r="F2353" s="33"/>
      <c r="G2353" s="34">
        <f>$M$9</f>
        <v>0.1</v>
      </c>
      <c r="H2353" s="19">
        <f>H2352*G2353</f>
        <v>31940.5</v>
      </c>
      <c r="I2353" s="47"/>
      <c r="J2353" s="15"/>
      <c r="K2353" s="39"/>
    </row>
    <row r="2354" spans="3:11" x14ac:dyDescent="0.3">
      <c r="C2354" s="30" t="s">
        <v>37</v>
      </c>
      <c r="D2354" s="31" t="s">
        <v>38</v>
      </c>
      <c r="E2354" s="32"/>
      <c r="F2354" s="32"/>
      <c r="G2354" s="33"/>
      <c r="H2354" s="48">
        <f>SUM(H2352:H2353)</f>
        <v>351345.5</v>
      </c>
      <c r="I2354" s="47"/>
      <c r="J2354" s="15"/>
      <c r="K2354" s="39"/>
    </row>
    <row r="2355" spans="3:11" x14ac:dyDescent="0.3">
      <c r="C2355" s="50"/>
      <c r="D2355" s="51"/>
      <c r="E2355" s="51"/>
      <c r="F2355" s="51"/>
      <c r="G2355" s="51"/>
      <c r="H2355" s="52"/>
      <c r="J2355" s="15"/>
      <c r="K2355" s="39"/>
    </row>
    <row r="2356" spans="3:11" x14ac:dyDescent="0.3">
      <c r="C2356" s="5" t="s">
        <v>480</v>
      </c>
      <c r="D2356" s="68" t="s">
        <v>481</v>
      </c>
      <c r="E2356" s="44"/>
      <c r="F2356" s="44"/>
      <c r="G2356" s="44"/>
      <c r="H2356" s="44"/>
      <c r="I2356" s="10">
        <f>ROUNDDOWN(H2371,0)</f>
        <v>290845</v>
      </c>
      <c r="J2356" s="15"/>
      <c r="K2356" s="39"/>
    </row>
    <row r="2357" spans="3:11" ht="27.6" x14ac:dyDescent="0.3">
      <c r="C2357" s="11" t="s">
        <v>9</v>
      </c>
      <c r="D2357" s="11" t="s">
        <v>10</v>
      </c>
      <c r="E2357" s="11" t="s">
        <v>11</v>
      </c>
      <c r="F2357" s="11" t="s">
        <v>12</v>
      </c>
      <c r="G2357" s="11" t="s">
        <v>13</v>
      </c>
      <c r="H2357" s="11" t="s">
        <v>14</v>
      </c>
      <c r="J2357" s="15"/>
      <c r="K2357" s="39"/>
    </row>
    <row r="2358" spans="3:11" x14ac:dyDescent="0.25">
      <c r="C2358" s="12" t="s">
        <v>15</v>
      </c>
      <c r="D2358" s="13" t="s">
        <v>16</v>
      </c>
      <c r="E2358" s="14"/>
      <c r="F2358" s="14"/>
      <c r="G2358" s="14"/>
      <c r="H2358" s="14"/>
      <c r="J2358" s="15"/>
      <c r="K2358" s="39"/>
    </row>
    <row r="2359" spans="3:11" x14ac:dyDescent="0.3">
      <c r="C2359" s="16">
        <v>1</v>
      </c>
      <c r="D2359" s="13" t="s">
        <v>18</v>
      </c>
      <c r="E2359" s="17" t="s">
        <v>19</v>
      </c>
      <c r="F2359" s="18">
        <v>0.11899999999999999</v>
      </c>
      <c r="G2359" s="19">
        <f>VLOOKUP(D2359,upahbahan,3,FALSE)</f>
        <v>100000</v>
      </c>
      <c r="H2359" s="19">
        <f t="shared" ref="H2359:H2362" si="241">F2359*G2359</f>
        <v>11900</v>
      </c>
      <c r="J2359" s="15"/>
      <c r="K2359" s="39"/>
    </row>
    <row r="2360" spans="3:11" x14ac:dyDescent="0.3">
      <c r="C2360" s="16">
        <v>2</v>
      </c>
      <c r="D2360" s="13" t="str">
        <f>D2343</f>
        <v>Tukang listrik</v>
      </c>
      <c r="E2360" s="17" t="s">
        <v>19</v>
      </c>
      <c r="F2360" s="18">
        <v>0.19900000000000001</v>
      </c>
      <c r="G2360" s="19">
        <f>VLOOKUP(D2360,upahbahan,3,FALSE)</f>
        <v>145000</v>
      </c>
      <c r="H2360" s="19">
        <f t="shared" si="241"/>
        <v>28855</v>
      </c>
      <c r="J2360" s="15"/>
      <c r="K2360" s="39"/>
    </row>
    <row r="2361" spans="3:11" x14ac:dyDescent="0.3">
      <c r="C2361" s="16">
        <v>3</v>
      </c>
      <c r="D2361" s="13" t="s">
        <v>22</v>
      </c>
      <c r="E2361" s="17" t="s">
        <v>19</v>
      </c>
      <c r="F2361" s="18">
        <v>0.02</v>
      </c>
      <c r="G2361" s="19">
        <f>VLOOKUP(D2361,upahbahan,3,FALSE)</f>
        <v>175000</v>
      </c>
      <c r="H2361" s="19">
        <f t="shared" si="241"/>
        <v>3500</v>
      </c>
      <c r="J2361" s="15"/>
      <c r="K2361" s="39"/>
    </row>
    <row r="2362" spans="3:11" x14ac:dyDescent="0.3">
      <c r="C2362" s="16">
        <v>4</v>
      </c>
      <c r="D2362" s="13" t="s">
        <v>23</v>
      </c>
      <c r="E2362" s="17" t="s">
        <v>19</v>
      </c>
      <c r="F2362" s="18">
        <v>7.0000000000000001E-3</v>
      </c>
      <c r="G2362" s="19">
        <f>VLOOKUP(D2362,upahbahan,3,FALSE)</f>
        <v>200000</v>
      </c>
      <c r="H2362" s="19">
        <f t="shared" si="241"/>
        <v>1400</v>
      </c>
      <c r="J2362" s="15"/>
      <c r="K2362" s="39"/>
    </row>
    <row r="2363" spans="3:11" x14ac:dyDescent="0.3">
      <c r="C2363" s="21" t="s">
        <v>24</v>
      </c>
      <c r="D2363" s="22"/>
      <c r="E2363" s="22"/>
      <c r="F2363" s="54"/>
      <c r="G2363" s="24"/>
      <c r="H2363" s="19">
        <f>SUM(H2359:H2362)</f>
        <v>45655</v>
      </c>
      <c r="I2363" s="25"/>
      <c r="J2363" s="15"/>
      <c r="K2363" s="39"/>
    </row>
    <row r="2364" spans="3:11" x14ac:dyDescent="0.25">
      <c r="C2364" s="12" t="s">
        <v>25</v>
      </c>
      <c r="D2364" s="13" t="s">
        <v>26</v>
      </c>
      <c r="E2364" s="14"/>
      <c r="F2364" s="55"/>
      <c r="G2364" s="14"/>
      <c r="H2364" s="14"/>
      <c r="J2364" s="15"/>
      <c r="K2364" s="39"/>
    </row>
    <row r="2365" spans="3:11" x14ac:dyDescent="0.3">
      <c r="C2365" s="63" t="s">
        <v>202</v>
      </c>
      <c r="D2365" s="26" t="s">
        <v>482</v>
      </c>
      <c r="E2365" s="27" t="s">
        <v>28</v>
      </c>
      <c r="F2365" s="49">
        <v>1.25</v>
      </c>
      <c r="G2365" s="19">
        <f>VLOOKUP(D2365,upahbahan,3,FALSE)</f>
        <v>175000</v>
      </c>
      <c r="H2365" s="19">
        <f t="shared" ref="H2365" si="242">F2365*G2365</f>
        <v>218750</v>
      </c>
      <c r="J2365" s="15"/>
      <c r="K2365" s="39"/>
    </row>
    <row r="2366" spans="3:11" x14ac:dyDescent="0.3">
      <c r="C2366" s="21" t="s">
        <v>29</v>
      </c>
      <c r="D2366" s="22"/>
      <c r="E2366" s="22"/>
      <c r="F2366" s="22"/>
      <c r="G2366" s="28"/>
      <c r="H2366" s="19">
        <f>SUM(H2365:H2365)</f>
        <v>218750</v>
      </c>
      <c r="J2366" s="15"/>
      <c r="K2366" s="39"/>
    </row>
    <row r="2367" spans="3:11" x14ac:dyDescent="0.25">
      <c r="C2367" s="12" t="s">
        <v>30</v>
      </c>
      <c r="D2367" s="13" t="s">
        <v>31</v>
      </c>
      <c r="E2367" s="14"/>
      <c r="F2367" s="14"/>
      <c r="G2367" s="14"/>
      <c r="H2367" s="14"/>
      <c r="J2367" s="15"/>
      <c r="K2367" s="39"/>
    </row>
    <row r="2368" spans="3:11" x14ac:dyDescent="0.3">
      <c r="C2368" s="21" t="s">
        <v>32</v>
      </c>
      <c r="D2368" s="22"/>
      <c r="E2368" s="22"/>
      <c r="F2368" s="22"/>
      <c r="G2368" s="28"/>
      <c r="H2368" s="29">
        <v>0</v>
      </c>
      <c r="J2368" s="15"/>
      <c r="K2368" s="39"/>
    </row>
    <row r="2369" spans="3:11" x14ac:dyDescent="0.3">
      <c r="C2369" s="30" t="s">
        <v>33</v>
      </c>
      <c r="D2369" s="31" t="s">
        <v>34</v>
      </c>
      <c r="E2369" s="32"/>
      <c r="F2369" s="32"/>
      <c r="G2369" s="33"/>
      <c r="H2369" s="46">
        <f>H2368+H2366+H2363</f>
        <v>264405</v>
      </c>
      <c r="I2369" s="47"/>
      <c r="J2369" s="15"/>
      <c r="K2369" s="39"/>
    </row>
    <row r="2370" spans="3:11" x14ac:dyDescent="0.3">
      <c r="C2370" s="30" t="s">
        <v>35</v>
      </c>
      <c r="D2370" s="31" t="s">
        <v>36</v>
      </c>
      <c r="E2370" s="32"/>
      <c r="F2370" s="33"/>
      <c r="G2370" s="34">
        <f>$M$9</f>
        <v>0.1</v>
      </c>
      <c r="H2370" s="19">
        <f>H2369*G2370</f>
        <v>26440.5</v>
      </c>
      <c r="I2370" s="47"/>
      <c r="J2370" s="15"/>
      <c r="K2370" s="39"/>
    </row>
    <row r="2371" spans="3:11" x14ac:dyDescent="0.3">
      <c r="C2371" s="30" t="s">
        <v>37</v>
      </c>
      <c r="D2371" s="31" t="s">
        <v>38</v>
      </c>
      <c r="E2371" s="32"/>
      <c r="F2371" s="32"/>
      <c r="G2371" s="33"/>
      <c r="H2371" s="48">
        <f>SUM(H2369:H2370)</f>
        <v>290845.5</v>
      </c>
      <c r="I2371" s="47"/>
      <c r="J2371" s="15"/>
      <c r="K2371" s="39"/>
    </row>
    <row r="2372" spans="3:11" x14ac:dyDescent="0.3">
      <c r="C2372" s="50"/>
      <c r="D2372" s="51"/>
      <c r="E2372" s="51"/>
      <c r="F2372" s="51"/>
      <c r="G2372" s="51"/>
      <c r="H2372" s="52"/>
      <c r="J2372" s="15"/>
      <c r="K2372" s="39"/>
    </row>
    <row r="2373" spans="3:11" x14ac:dyDescent="0.3">
      <c r="C2373" s="5" t="s">
        <v>483</v>
      </c>
      <c r="D2373" s="68" t="s">
        <v>484</v>
      </c>
      <c r="E2373" s="44"/>
      <c r="F2373" s="44"/>
      <c r="G2373" s="44"/>
      <c r="H2373" s="44"/>
      <c r="I2373" s="10">
        <f>ROUNDDOWN(H2388,0)</f>
        <v>514860</v>
      </c>
      <c r="J2373" s="15"/>
      <c r="K2373" s="39"/>
    </row>
    <row r="2374" spans="3:11" ht="27.6" x14ac:dyDescent="0.3">
      <c r="C2374" s="11" t="s">
        <v>9</v>
      </c>
      <c r="D2374" s="11" t="s">
        <v>10</v>
      </c>
      <c r="E2374" s="11" t="s">
        <v>11</v>
      </c>
      <c r="F2374" s="11" t="s">
        <v>12</v>
      </c>
      <c r="G2374" s="11" t="s">
        <v>13</v>
      </c>
      <c r="H2374" s="11" t="s">
        <v>14</v>
      </c>
      <c r="J2374" s="15"/>
      <c r="K2374" s="39"/>
    </row>
    <row r="2375" spans="3:11" x14ac:dyDescent="0.25">
      <c r="C2375" s="12" t="s">
        <v>15</v>
      </c>
      <c r="D2375" s="13" t="s">
        <v>16</v>
      </c>
      <c r="E2375" s="14"/>
      <c r="F2375" s="14"/>
      <c r="G2375" s="14"/>
      <c r="H2375" s="14"/>
      <c r="J2375" s="15"/>
      <c r="K2375" s="39"/>
    </row>
    <row r="2376" spans="3:11" x14ac:dyDescent="0.3">
      <c r="C2376" s="16">
        <v>1</v>
      </c>
      <c r="D2376" s="13" t="s">
        <v>18</v>
      </c>
      <c r="E2376" s="17" t="s">
        <v>19</v>
      </c>
      <c r="F2376" s="18">
        <v>0.11899999999999999</v>
      </c>
      <c r="G2376" s="19">
        <f>VLOOKUP(D2376,upahbahan,3,FALSE)</f>
        <v>100000</v>
      </c>
      <c r="H2376" s="19">
        <f t="shared" ref="H2376:H2379" si="243">F2376*G2376</f>
        <v>11900</v>
      </c>
      <c r="J2376" s="15"/>
      <c r="K2376" s="39"/>
    </row>
    <row r="2377" spans="3:11" x14ac:dyDescent="0.3">
      <c r="C2377" s="16">
        <v>2</v>
      </c>
      <c r="D2377" s="13" t="str">
        <f>D2326</f>
        <v>Tukang listrik</v>
      </c>
      <c r="E2377" s="17" t="s">
        <v>19</v>
      </c>
      <c r="F2377" s="18">
        <v>0.19900000000000001</v>
      </c>
      <c r="G2377" s="19">
        <f>VLOOKUP(D2377,upahbahan,3,FALSE)</f>
        <v>145000</v>
      </c>
      <c r="H2377" s="19">
        <f t="shared" si="243"/>
        <v>28855</v>
      </c>
      <c r="J2377" s="15"/>
      <c r="K2377" s="39"/>
    </row>
    <row r="2378" spans="3:11" x14ac:dyDescent="0.3">
      <c r="C2378" s="16">
        <v>3</v>
      </c>
      <c r="D2378" s="13" t="s">
        <v>22</v>
      </c>
      <c r="E2378" s="17" t="s">
        <v>19</v>
      </c>
      <c r="F2378" s="18">
        <v>0.02</v>
      </c>
      <c r="G2378" s="19">
        <f>VLOOKUP(D2378,upahbahan,3,FALSE)</f>
        <v>175000</v>
      </c>
      <c r="H2378" s="19">
        <f t="shared" si="243"/>
        <v>3500</v>
      </c>
      <c r="J2378" s="15"/>
      <c r="K2378" s="39"/>
    </row>
    <row r="2379" spans="3:11" x14ac:dyDescent="0.3">
      <c r="C2379" s="16">
        <v>4</v>
      </c>
      <c r="D2379" s="13" t="s">
        <v>23</v>
      </c>
      <c r="E2379" s="17" t="s">
        <v>19</v>
      </c>
      <c r="F2379" s="18">
        <v>7.0000000000000001E-3</v>
      </c>
      <c r="G2379" s="19">
        <f>VLOOKUP(D2379,upahbahan,3,FALSE)</f>
        <v>200000</v>
      </c>
      <c r="H2379" s="19">
        <f t="shared" si="243"/>
        <v>1400</v>
      </c>
      <c r="J2379" s="15"/>
      <c r="K2379" s="39"/>
    </row>
    <row r="2380" spans="3:11" x14ac:dyDescent="0.3">
      <c r="C2380" s="21" t="s">
        <v>24</v>
      </c>
      <c r="D2380" s="22"/>
      <c r="E2380" s="22"/>
      <c r="F2380" s="54"/>
      <c r="G2380" s="24"/>
      <c r="H2380" s="19">
        <f>SUM(H2376:H2379)</f>
        <v>45655</v>
      </c>
      <c r="I2380" s="25"/>
      <c r="J2380" s="15"/>
      <c r="K2380" s="39"/>
    </row>
    <row r="2381" spans="3:11" x14ac:dyDescent="0.25">
      <c r="C2381" s="12" t="s">
        <v>25</v>
      </c>
      <c r="D2381" s="13" t="s">
        <v>26</v>
      </c>
      <c r="E2381" s="14"/>
      <c r="F2381" s="55"/>
      <c r="G2381" s="14"/>
      <c r="H2381" s="14"/>
      <c r="J2381" s="15"/>
      <c r="K2381" s="39"/>
    </row>
    <row r="2382" spans="3:11" x14ac:dyDescent="0.3">
      <c r="C2382" s="63" t="s">
        <v>202</v>
      </c>
      <c r="D2382" s="26" t="s">
        <v>470</v>
      </c>
      <c r="E2382" s="27" t="s">
        <v>28</v>
      </c>
      <c r="F2382" s="59">
        <v>1.2</v>
      </c>
      <c r="G2382" s="19">
        <f>VLOOKUP(D2382,upahbahan,3,FALSE)</f>
        <v>352000</v>
      </c>
      <c r="H2382" s="19">
        <f t="shared" ref="H2382" si="244">F2382*G2382</f>
        <v>422400</v>
      </c>
      <c r="J2382" s="15"/>
      <c r="K2382" s="39"/>
    </row>
    <row r="2383" spans="3:11" x14ac:dyDescent="0.3">
      <c r="C2383" s="21" t="s">
        <v>29</v>
      </c>
      <c r="D2383" s="22"/>
      <c r="E2383" s="22"/>
      <c r="F2383" s="22"/>
      <c r="G2383" s="28"/>
      <c r="H2383" s="19">
        <f>SUM(H2382:H2382)</f>
        <v>422400</v>
      </c>
      <c r="J2383" s="15"/>
      <c r="K2383" s="39"/>
    </row>
    <row r="2384" spans="3:11" x14ac:dyDescent="0.25">
      <c r="C2384" s="12" t="s">
        <v>30</v>
      </c>
      <c r="D2384" s="13" t="s">
        <v>31</v>
      </c>
      <c r="E2384" s="14"/>
      <c r="F2384" s="14"/>
      <c r="G2384" s="14"/>
      <c r="H2384" s="14"/>
      <c r="J2384" s="15"/>
      <c r="K2384" s="39"/>
    </row>
    <row r="2385" spans="3:11" x14ac:dyDescent="0.3">
      <c r="C2385" s="21" t="s">
        <v>32</v>
      </c>
      <c r="D2385" s="22"/>
      <c r="E2385" s="22"/>
      <c r="F2385" s="22"/>
      <c r="G2385" s="28"/>
      <c r="H2385" s="29">
        <v>0</v>
      </c>
      <c r="J2385" s="15"/>
      <c r="K2385" s="39"/>
    </row>
    <row r="2386" spans="3:11" x14ac:dyDescent="0.3">
      <c r="C2386" s="30" t="s">
        <v>33</v>
      </c>
      <c r="D2386" s="31" t="s">
        <v>34</v>
      </c>
      <c r="E2386" s="32"/>
      <c r="F2386" s="32"/>
      <c r="G2386" s="33"/>
      <c r="H2386" s="46">
        <f>H2385+H2383+H2380</f>
        <v>468055</v>
      </c>
      <c r="I2386" s="47"/>
      <c r="J2386" s="15"/>
      <c r="K2386" s="39"/>
    </row>
    <row r="2387" spans="3:11" x14ac:dyDescent="0.3">
      <c r="C2387" s="30" t="s">
        <v>35</v>
      </c>
      <c r="D2387" s="31" t="s">
        <v>36</v>
      </c>
      <c r="E2387" s="32"/>
      <c r="F2387" s="33"/>
      <c r="G2387" s="34">
        <f>$M$9</f>
        <v>0.1</v>
      </c>
      <c r="H2387" s="19">
        <f>H2386*G2387</f>
        <v>46805.5</v>
      </c>
      <c r="I2387" s="47"/>
      <c r="J2387" s="15"/>
      <c r="K2387" s="39"/>
    </row>
    <row r="2388" spans="3:11" x14ac:dyDescent="0.3">
      <c r="C2388" s="30" t="s">
        <v>37</v>
      </c>
      <c r="D2388" s="31" t="s">
        <v>38</v>
      </c>
      <c r="E2388" s="32"/>
      <c r="F2388" s="32"/>
      <c r="G2388" s="33"/>
      <c r="H2388" s="48">
        <f>SUM(H2386:H2387)</f>
        <v>514860.5</v>
      </c>
      <c r="I2388" s="47"/>
      <c r="J2388" s="15"/>
      <c r="K2388" s="39"/>
    </row>
    <row r="2389" spans="3:11" x14ac:dyDescent="0.3">
      <c r="J2389" s="15"/>
      <c r="K2389" s="39"/>
    </row>
    <row r="2390" spans="3:11" x14ac:dyDescent="0.3">
      <c r="C2390" s="5" t="s">
        <v>485</v>
      </c>
      <c r="D2390" s="68" t="s">
        <v>486</v>
      </c>
      <c r="E2390" s="44"/>
      <c r="F2390" s="44"/>
      <c r="G2390" s="44"/>
      <c r="H2390" s="44"/>
      <c r="I2390" s="10">
        <f>ROUNDDOWN(H2405,0)</f>
        <v>458100</v>
      </c>
      <c r="J2390" s="15"/>
      <c r="K2390" s="39"/>
    </row>
    <row r="2391" spans="3:11" ht="27.6" x14ac:dyDescent="0.3">
      <c r="C2391" s="11" t="s">
        <v>9</v>
      </c>
      <c r="D2391" s="11" t="s">
        <v>10</v>
      </c>
      <c r="E2391" s="11" t="s">
        <v>11</v>
      </c>
      <c r="F2391" s="11" t="s">
        <v>12</v>
      </c>
      <c r="G2391" s="11" t="s">
        <v>13</v>
      </c>
      <c r="H2391" s="11" t="s">
        <v>14</v>
      </c>
      <c r="J2391" s="15"/>
      <c r="K2391" s="39"/>
    </row>
    <row r="2392" spans="3:11" x14ac:dyDescent="0.25">
      <c r="C2392" s="12" t="s">
        <v>15</v>
      </c>
      <c r="D2392" s="13" t="s">
        <v>16</v>
      </c>
      <c r="E2392" s="14"/>
      <c r="F2392" s="14"/>
      <c r="G2392" s="14"/>
      <c r="H2392" s="14"/>
      <c r="J2392" s="15"/>
      <c r="K2392" s="39"/>
    </row>
    <row r="2393" spans="3:11" x14ac:dyDescent="0.3">
      <c r="C2393" s="16">
        <v>1</v>
      </c>
      <c r="D2393" s="13" t="s">
        <v>18</v>
      </c>
      <c r="E2393" s="17" t="s">
        <v>19</v>
      </c>
      <c r="F2393" s="18">
        <v>0.11899999999999999</v>
      </c>
      <c r="G2393" s="19">
        <f>VLOOKUP(D2393,upahbahan,3,FALSE)</f>
        <v>100000</v>
      </c>
      <c r="H2393" s="19">
        <f t="shared" ref="H2393:H2396" si="245">F2393*G2393</f>
        <v>11900</v>
      </c>
      <c r="J2393" s="15"/>
      <c r="K2393" s="39"/>
    </row>
    <row r="2394" spans="3:11" x14ac:dyDescent="0.3">
      <c r="C2394" s="16">
        <v>2</v>
      </c>
      <c r="D2394" s="13" t="str">
        <f>D2343</f>
        <v>Tukang listrik</v>
      </c>
      <c r="E2394" s="17" t="s">
        <v>19</v>
      </c>
      <c r="F2394" s="18">
        <v>0.19900000000000001</v>
      </c>
      <c r="G2394" s="19">
        <f>VLOOKUP(D2394,upahbahan,3,FALSE)</f>
        <v>145000</v>
      </c>
      <c r="H2394" s="19">
        <f t="shared" si="245"/>
        <v>28855</v>
      </c>
      <c r="J2394" s="15"/>
      <c r="K2394" s="39"/>
    </row>
    <row r="2395" spans="3:11" x14ac:dyDescent="0.3">
      <c r="C2395" s="16">
        <v>3</v>
      </c>
      <c r="D2395" s="13" t="s">
        <v>22</v>
      </c>
      <c r="E2395" s="17" t="s">
        <v>19</v>
      </c>
      <c r="F2395" s="18">
        <v>0.02</v>
      </c>
      <c r="G2395" s="19">
        <f>VLOOKUP(D2395,upahbahan,3,FALSE)</f>
        <v>175000</v>
      </c>
      <c r="H2395" s="19">
        <f t="shared" si="245"/>
        <v>3500</v>
      </c>
      <c r="J2395" s="15"/>
      <c r="K2395" s="39"/>
    </row>
    <row r="2396" spans="3:11" x14ac:dyDescent="0.3">
      <c r="C2396" s="16">
        <v>4</v>
      </c>
      <c r="D2396" s="13" t="s">
        <v>23</v>
      </c>
      <c r="E2396" s="17" t="s">
        <v>19</v>
      </c>
      <c r="F2396" s="18">
        <v>7.0000000000000001E-3</v>
      </c>
      <c r="G2396" s="19">
        <f>VLOOKUP(D2396,upahbahan,3,FALSE)</f>
        <v>200000</v>
      </c>
      <c r="H2396" s="19">
        <f t="shared" si="245"/>
        <v>1400</v>
      </c>
      <c r="J2396" s="15"/>
      <c r="K2396" s="39"/>
    </row>
    <row r="2397" spans="3:11" x14ac:dyDescent="0.3">
      <c r="C2397" s="21" t="s">
        <v>24</v>
      </c>
      <c r="D2397" s="22"/>
      <c r="E2397" s="22"/>
      <c r="F2397" s="54"/>
      <c r="G2397" s="24"/>
      <c r="H2397" s="19">
        <f>SUM(H2393:H2396)</f>
        <v>45655</v>
      </c>
      <c r="I2397" s="25"/>
      <c r="J2397" s="15"/>
      <c r="K2397" s="39"/>
    </row>
    <row r="2398" spans="3:11" x14ac:dyDescent="0.25">
      <c r="C2398" s="12" t="s">
        <v>25</v>
      </c>
      <c r="D2398" s="13" t="s">
        <v>26</v>
      </c>
      <c r="E2398" s="14"/>
      <c r="F2398" s="55"/>
      <c r="G2398" s="14"/>
      <c r="H2398" s="14"/>
      <c r="J2398" s="15"/>
      <c r="K2398" s="39"/>
    </row>
    <row r="2399" spans="3:11" x14ac:dyDescent="0.3">
      <c r="C2399" s="63" t="s">
        <v>202</v>
      </c>
      <c r="D2399" s="26" t="s">
        <v>473</v>
      </c>
      <c r="E2399" s="27" t="s">
        <v>28</v>
      </c>
      <c r="F2399" s="59">
        <v>1.2</v>
      </c>
      <c r="G2399" s="19">
        <f>VLOOKUP(D2399,upahbahan,3,FALSE)</f>
        <v>309000</v>
      </c>
      <c r="H2399" s="19">
        <f>F2399*G2399</f>
        <v>370800</v>
      </c>
      <c r="J2399" s="15"/>
      <c r="K2399" s="39"/>
    </row>
    <row r="2400" spans="3:11" x14ac:dyDescent="0.3">
      <c r="C2400" s="21" t="s">
        <v>29</v>
      </c>
      <c r="D2400" s="22"/>
      <c r="E2400" s="22"/>
      <c r="F2400" s="22"/>
      <c r="G2400" s="28"/>
      <c r="H2400" s="19">
        <f>SUM(H2399:H2399)</f>
        <v>370800</v>
      </c>
      <c r="J2400" s="15"/>
      <c r="K2400" s="39"/>
    </row>
    <row r="2401" spans="3:11" x14ac:dyDescent="0.25">
      <c r="C2401" s="12" t="s">
        <v>30</v>
      </c>
      <c r="D2401" s="13" t="s">
        <v>31</v>
      </c>
      <c r="E2401" s="14"/>
      <c r="F2401" s="14"/>
      <c r="G2401" s="14"/>
      <c r="H2401" s="14"/>
      <c r="J2401" s="15"/>
      <c r="K2401" s="39"/>
    </row>
    <row r="2402" spans="3:11" x14ac:dyDescent="0.3">
      <c r="C2402" s="21" t="s">
        <v>32</v>
      </c>
      <c r="D2402" s="22"/>
      <c r="E2402" s="22"/>
      <c r="F2402" s="22"/>
      <c r="G2402" s="28"/>
      <c r="H2402" s="29">
        <v>0</v>
      </c>
      <c r="J2402" s="15"/>
      <c r="K2402" s="39"/>
    </row>
    <row r="2403" spans="3:11" x14ac:dyDescent="0.3">
      <c r="C2403" s="30" t="s">
        <v>33</v>
      </c>
      <c r="D2403" s="31" t="s">
        <v>34</v>
      </c>
      <c r="E2403" s="32"/>
      <c r="F2403" s="32"/>
      <c r="G2403" s="33"/>
      <c r="H2403" s="46">
        <f>H2402+H2400+H2397</f>
        <v>416455</v>
      </c>
      <c r="I2403" s="47"/>
      <c r="J2403" s="15"/>
      <c r="K2403" s="39"/>
    </row>
    <row r="2404" spans="3:11" x14ac:dyDescent="0.3">
      <c r="C2404" s="30" t="s">
        <v>35</v>
      </c>
      <c r="D2404" s="31" t="s">
        <v>36</v>
      </c>
      <c r="E2404" s="32"/>
      <c r="F2404" s="33"/>
      <c r="G2404" s="34">
        <f>$M$9</f>
        <v>0.1</v>
      </c>
      <c r="H2404" s="19">
        <f>H2403*G2404</f>
        <v>41645.5</v>
      </c>
      <c r="I2404" s="47"/>
      <c r="J2404" s="15"/>
      <c r="K2404" s="39"/>
    </row>
    <row r="2405" spans="3:11" x14ac:dyDescent="0.3">
      <c r="C2405" s="30" t="s">
        <v>37</v>
      </c>
      <c r="D2405" s="31" t="s">
        <v>38</v>
      </c>
      <c r="E2405" s="32"/>
      <c r="F2405" s="32"/>
      <c r="G2405" s="33"/>
      <c r="H2405" s="48">
        <f>SUM(H2403:H2404)</f>
        <v>458100.5</v>
      </c>
      <c r="I2405" s="47"/>
      <c r="J2405" s="15"/>
      <c r="K2405" s="39"/>
    </row>
    <row r="2406" spans="3:11" x14ac:dyDescent="0.3">
      <c r="J2406" s="15"/>
      <c r="K2406" s="39"/>
    </row>
    <row r="2407" spans="3:11" x14ac:dyDescent="0.3">
      <c r="C2407" s="84" t="s">
        <v>487</v>
      </c>
      <c r="D2407" s="69" t="s">
        <v>488</v>
      </c>
      <c r="E2407" s="58"/>
      <c r="F2407" s="58"/>
      <c r="G2407" s="58"/>
      <c r="H2407" s="58"/>
      <c r="I2407" s="10">
        <f>ROUNDDOWN(H2422,0)</f>
        <v>400020</v>
      </c>
      <c r="J2407" s="15"/>
      <c r="K2407" s="39"/>
    </row>
    <row r="2408" spans="3:11" ht="27.6" x14ac:dyDescent="0.3">
      <c r="C2408" s="11" t="s">
        <v>9</v>
      </c>
      <c r="D2408" s="11" t="s">
        <v>10</v>
      </c>
      <c r="E2408" s="11" t="s">
        <v>11</v>
      </c>
      <c r="F2408" s="11" t="s">
        <v>12</v>
      </c>
      <c r="G2408" s="11" t="s">
        <v>13</v>
      </c>
      <c r="H2408" s="11" t="s">
        <v>14</v>
      </c>
      <c r="J2408" s="15"/>
      <c r="K2408" s="39"/>
    </row>
    <row r="2409" spans="3:11" x14ac:dyDescent="0.25">
      <c r="C2409" s="12" t="s">
        <v>15</v>
      </c>
      <c r="D2409" s="13" t="s">
        <v>16</v>
      </c>
      <c r="E2409" s="14"/>
      <c r="F2409" s="14"/>
      <c r="G2409" s="14"/>
      <c r="H2409" s="14"/>
      <c r="J2409" s="15"/>
      <c r="K2409" s="39"/>
    </row>
    <row r="2410" spans="3:11" x14ac:dyDescent="0.3">
      <c r="C2410" s="16">
        <v>1</v>
      </c>
      <c r="D2410" s="13" t="s">
        <v>18</v>
      </c>
      <c r="E2410" s="17" t="s">
        <v>19</v>
      </c>
      <c r="F2410" s="18">
        <v>0.11899999999999999</v>
      </c>
      <c r="G2410" s="19">
        <f>VLOOKUP(D2410,upahbahan,3,FALSE)</f>
        <v>100000</v>
      </c>
      <c r="H2410" s="19">
        <f t="shared" ref="H2410:H2413" si="246">F2410*G2410</f>
        <v>11900</v>
      </c>
      <c r="J2410" s="15"/>
      <c r="K2410" s="39"/>
    </row>
    <row r="2411" spans="3:11" x14ac:dyDescent="0.3">
      <c r="C2411" s="16">
        <v>2</v>
      </c>
      <c r="D2411" s="13" t="str">
        <f>D2360</f>
        <v>Tukang listrik</v>
      </c>
      <c r="E2411" s="17" t="s">
        <v>19</v>
      </c>
      <c r="F2411" s="18">
        <v>0.19900000000000001</v>
      </c>
      <c r="G2411" s="19">
        <f>VLOOKUP(D2411,upahbahan,3,FALSE)</f>
        <v>145000</v>
      </c>
      <c r="H2411" s="19">
        <f t="shared" si="246"/>
        <v>28855</v>
      </c>
      <c r="J2411" s="15"/>
      <c r="K2411" s="39"/>
    </row>
    <row r="2412" spans="3:11" x14ac:dyDescent="0.3">
      <c r="C2412" s="16">
        <v>3</v>
      </c>
      <c r="D2412" s="13" t="s">
        <v>22</v>
      </c>
      <c r="E2412" s="17" t="s">
        <v>19</v>
      </c>
      <c r="F2412" s="18">
        <v>0.02</v>
      </c>
      <c r="G2412" s="19">
        <f>VLOOKUP(D2412,upahbahan,3,FALSE)</f>
        <v>175000</v>
      </c>
      <c r="H2412" s="19">
        <f t="shared" si="246"/>
        <v>3500</v>
      </c>
      <c r="J2412" s="15"/>
      <c r="K2412" s="39"/>
    </row>
    <row r="2413" spans="3:11" x14ac:dyDescent="0.3">
      <c r="C2413" s="16">
        <v>4</v>
      </c>
      <c r="D2413" s="13" t="s">
        <v>23</v>
      </c>
      <c r="E2413" s="17" t="s">
        <v>19</v>
      </c>
      <c r="F2413" s="18">
        <v>7.0000000000000001E-3</v>
      </c>
      <c r="G2413" s="19">
        <f>VLOOKUP(D2413,upahbahan,3,FALSE)</f>
        <v>200000</v>
      </c>
      <c r="H2413" s="19">
        <f t="shared" si="246"/>
        <v>1400</v>
      </c>
      <c r="J2413" s="15"/>
      <c r="K2413" s="39"/>
    </row>
    <row r="2414" spans="3:11" x14ac:dyDescent="0.3">
      <c r="C2414" s="21" t="s">
        <v>24</v>
      </c>
      <c r="D2414" s="22"/>
      <c r="E2414" s="22"/>
      <c r="F2414" s="54"/>
      <c r="G2414" s="24"/>
      <c r="H2414" s="19">
        <f>SUM(H2410:H2413)</f>
        <v>45655</v>
      </c>
      <c r="I2414" s="25"/>
      <c r="J2414" s="15"/>
      <c r="K2414" s="39"/>
    </row>
    <row r="2415" spans="3:11" x14ac:dyDescent="0.25">
      <c r="C2415" s="12" t="s">
        <v>25</v>
      </c>
      <c r="D2415" s="13" t="s">
        <v>26</v>
      </c>
      <c r="E2415" s="14"/>
      <c r="F2415" s="55"/>
      <c r="G2415" s="14"/>
      <c r="H2415" s="14"/>
      <c r="J2415" s="15"/>
      <c r="K2415" s="39"/>
    </row>
    <row r="2416" spans="3:11" x14ac:dyDescent="0.3">
      <c r="C2416" s="63" t="s">
        <v>202</v>
      </c>
      <c r="D2416" s="26" t="s">
        <v>476</v>
      </c>
      <c r="E2416" s="27" t="s">
        <v>28</v>
      </c>
      <c r="F2416" s="59">
        <v>1.2</v>
      </c>
      <c r="G2416" s="19">
        <f>VLOOKUP(D2416,upahbahan,3,FALSE)</f>
        <v>265000</v>
      </c>
      <c r="H2416" s="19">
        <f t="shared" ref="H2416" si="247">F2416*G2416</f>
        <v>318000</v>
      </c>
      <c r="J2416" s="15"/>
      <c r="K2416" s="39"/>
    </row>
    <row r="2417" spans="3:11" x14ac:dyDescent="0.3">
      <c r="C2417" s="21" t="s">
        <v>29</v>
      </c>
      <c r="D2417" s="22"/>
      <c r="E2417" s="22"/>
      <c r="F2417" s="22"/>
      <c r="G2417" s="28"/>
      <c r="H2417" s="19">
        <f>SUM(H2416:H2416)</f>
        <v>318000</v>
      </c>
      <c r="J2417" s="15"/>
      <c r="K2417" s="39"/>
    </row>
    <row r="2418" spans="3:11" x14ac:dyDescent="0.25">
      <c r="C2418" s="12" t="s">
        <v>30</v>
      </c>
      <c r="D2418" s="13" t="s">
        <v>31</v>
      </c>
      <c r="E2418" s="14"/>
      <c r="F2418" s="14"/>
      <c r="G2418" s="14"/>
      <c r="H2418" s="14"/>
      <c r="J2418" s="15"/>
      <c r="K2418" s="39"/>
    </row>
    <row r="2419" spans="3:11" x14ac:dyDescent="0.3">
      <c r="C2419" s="21" t="s">
        <v>32</v>
      </c>
      <c r="D2419" s="22"/>
      <c r="E2419" s="22"/>
      <c r="F2419" s="22"/>
      <c r="G2419" s="28"/>
      <c r="H2419" s="29">
        <v>0</v>
      </c>
      <c r="J2419" s="15"/>
      <c r="K2419" s="39"/>
    </row>
    <row r="2420" spans="3:11" x14ac:dyDescent="0.3">
      <c r="C2420" s="30" t="s">
        <v>33</v>
      </c>
      <c r="D2420" s="31" t="s">
        <v>34</v>
      </c>
      <c r="E2420" s="32"/>
      <c r="F2420" s="32"/>
      <c r="G2420" s="33"/>
      <c r="H2420" s="46">
        <f>H2419+H2417+H2414</f>
        <v>363655</v>
      </c>
      <c r="I2420" s="47"/>
      <c r="J2420" s="15"/>
      <c r="K2420" s="39"/>
    </row>
    <row r="2421" spans="3:11" x14ac:dyDescent="0.3">
      <c r="C2421" s="30" t="s">
        <v>35</v>
      </c>
      <c r="D2421" s="31" t="s">
        <v>36</v>
      </c>
      <c r="E2421" s="32"/>
      <c r="F2421" s="33"/>
      <c r="G2421" s="34">
        <f>$M$9</f>
        <v>0.1</v>
      </c>
      <c r="H2421" s="19">
        <f>H2420*G2421</f>
        <v>36365.5</v>
      </c>
      <c r="I2421" s="47"/>
      <c r="J2421" s="15"/>
      <c r="K2421" s="39"/>
    </row>
    <row r="2422" spans="3:11" x14ac:dyDescent="0.3">
      <c r="C2422" s="30" t="s">
        <v>37</v>
      </c>
      <c r="D2422" s="31" t="s">
        <v>38</v>
      </c>
      <c r="E2422" s="32"/>
      <c r="F2422" s="32"/>
      <c r="G2422" s="33"/>
      <c r="H2422" s="48">
        <f>SUM(H2420:H2421)</f>
        <v>400020.5</v>
      </c>
      <c r="I2422" s="47"/>
      <c r="J2422" s="15"/>
      <c r="K2422" s="39"/>
    </row>
    <row r="2423" spans="3:11" x14ac:dyDescent="0.3">
      <c r="J2423" s="15"/>
      <c r="K2423" s="39"/>
    </row>
    <row r="2424" spans="3:11" x14ac:dyDescent="0.3">
      <c r="C2424" s="68" t="s">
        <v>489</v>
      </c>
      <c r="D2424" s="68" t="s">
        <v>490</v>
      </c>
      <c r="E2424" s="44"/>
      <c r="F2424" s="44"/>
      <c r="G2424" s="44"/>
      <c r="H2424" s="44"/>
      <c r="I2424" s="10">
        <f>ROUNDDOWN(H2439,0)</f>
        <v>339300</v>
      </c>
      <c r="J2424" s="15"/>
      <c r="K2424" s="39"/>
    </row>
    <row r="2425" spans="3:11" ht="27.6" x14ac:dyDescent="0.3">
      <c r="C2425" s="11" t="s">
        <v>9</v>
      </c>
      <c r="D2425" s="11" t="s">
        <v>10</v>
      </c>
      <c r="E2425" s="11" t="s">
        <v>11</v>
      </c>
      <c r="F2425" s="11" t="s">
        <v>12</v>
      </c>
      <c r="G2425" s="11" t="s">
        <v>13</v>
      </c>
      <c r="H2425" s="11" t="s">
        <v>14</v>
      </c>
      <c r="J2425" s="15"/>
      <c r="K2425" s="39"/>
    </row>
    <row r="2426" spans="3:11" x14ac:dyDescent="0.25">
      <c r="C2426" s="12" t="s">
        <v>15</v>
      </c>
      <c r="D2426" s="13" t="s">
        <v>16</v>
      </c>
      <c r="E2426" s="14"/>
      <c r="F2426" s="14"/>
      <c r="G2426" s="14"/>
      <c r="H2426" s="14"/>
      <c r="J2426" s="15"/>
      <c r="K2426" s="39"/>
    </row>
    <row r="2427" spans="3:11" x14ac:dyDescent="0.3">
      <c r="C2427" s="16">
        <v>1</v>
      </c>
      <c r="D2427" s="13" t="s">
        <v>18</v>
      </c>
      <c r="E2427" s="17" t="s">
        <v>19</v>
      </c>
      <c r="F2427" s="18">
        <v>0.11899999999999999</v>
      </c>
      <c r="G2427" s="19">
        <f>VLOOKUP(D2427,upahbahan,3,FALSE)</f>
        <v>100000</v>
      </c>
      <c r="H2427" s="19">
        <f t="shared" ref="H2427:H2430" si="248">F2427*G2427</f>
        <v>11900</v>
      </c>
      <c r="J2427" s="15"/>
      <c r="K2427" s="39"/>
    </row>
    <row r="2428" spans="3:11" x14ac:dyDescent="0.3">
      <c r="C2428" s="16">
        <v>2</v>
      </c>
      <c r="D2428" s="13" t="str">
        <f>D2377</f>
        <v>Tukang listrik</v>
      </c>
      <c r="E2428" s="17" t="s">
        <v>19</v>
      </c>
      <c r="F2428" s="18">
        <v>0.19900000000000001</v>
      </c>
      <c r="G2428" s="19">
        <f>VLOOKUP(D2428,upahbahan,3,FALSE)</f>
        <v>145000</v>
      </c>
      <c r="H2428" s="19">
        <f t="shared" si="248"/>
        <v>28855</v>
      </c>
      <c r="J2428" s="15"/>
      <c r="K2428" s="39"/>
    </row>
    <row r="2429" spans="3:11" x14ac:dyDescent="0.3">
      <c r="C2429" s="16">
        <v>3</v>
      </c>
      <c r="D2429" s="13" t="s">
        <v>22</v>
      </c>
      <c r="E2429" s="17" t="s">
        <v>19</v>
      </c>
      <c r="F2429" s="18">
        <v>0.02</v>
      </c>
      <c r="G2429" s="19">
        <f>VLOOKUP(D2429,upahbahan,3,FALSE)</f>
        <v>175000</v>
      </c>
      <c r="H2429" s="19">
        <f t="shared" si="248"/>
        <v>3500</v>
      </c>
      <c r="J2429" s="15"/>
      <c r="K2429" s="39"/>
    </row>
    <row r="2430" spans="3:11" x14ac:dyDescent="0.3">
      <c r="C2430" s="16">
        <v>4</v>
      </c>
      <c r="D2430" s="13" t="s">
        <v>23</v>
      </c>
      <c r="E2430" s="17" t="s">
        <v>19</v>
      </c>
      <c r="F2430" s="18">
        <v>7.0000000000000001E-3</v>
      </c>
      <c r="G2430" s="19">
        <f>VLOOKUP(D2430,upahbahan,3,FALSE)</f>
        <v>200000</v>
      </c>
      <c r="H2430" s="19">
        <f t="shared" si="248"/>
        <v>1400</v>
      </c>
      <c r="J2430" s="15"/>
      <c r="K2430" s="39"/>
    </row>
    <row r="2431" spans="3:11" x14ac:dyDescent="0.3">
      <c r="C2431" s="21" t="s">
        <v>24</v>
      </c>
      <c r="D2431" s="22"/>
      <c r="E2431" s="22"/>
      <c r="F2431" s="54"/>
      <c r="G2431" s="24"/>
      <c r="H2431" s="19">
        <f>SUM(H2427:H2430)</f>
        <v>45655</v>
      </c>
      <c r="I2431" s="25"/>
      <c r="J2431" s="15"/>
      <c r="K2431" s="39"/>
    </row>
    <row r="2432" spans="3:11" x14ac:dyDescent="0.25">
      <c r="C2432" s="12" t="s">
        <v>25</v>
      </c>
      <c r="D2432" s="13" t="s">
        <v>26</v>
      </c>
      <c r="E2432" s="14"/>
      <c r="F2432" s="55"/>
      <c r="G2432" s="14"/>
      <c r="H2432" s="14"/>
      <c r="J2432" s="15"/>
      <c r="K2432" s="39"/>
    </row>
    <row r="2433" spans="3:11" x14ac:dyDescent="0.3">
      <c r="C2433" s="63" t="s">
        <v>202</v>
      </c>
      <c r="D2433" s="26" t="s">
        <v>479</v>
      </c>
      <c r="E2433" s="27" t="s">
        <v>28</v>
      </c>
      <c r="F2433" s="59">
        <v>1.2</v>
      </c>
      <c r="G2433" s="19">
        <f>VLOOKUP(D2433,upahbahan,3,FALSE)</f>
        <v>219000</v>
      </c>
      <c r="H2433" s="19">
        <f>F2433*G2433</f>
        <v>262800</v>
      </c>
      <c r="J2433" s="15"/>
      <c r="K2433" s="39"/>
    </row>
    <row r="2434" spans="3:11" x14ac:dyDescent="0.3">
      <c r="C2434" s="21" t="s">
        <v>29</v>
      </c>
      <c r="D2434" s="22"/>
      <c r="E2434" s="22"/>
      <c r="F2434" s="22"/>
      <c r="G2434" s="28"/>
      <c r="H2434" s="19">
        <f>SUM(H2433:H2433)</f>
        <v>262800</v>
      </c>
      <c r="J2434" s="15"/>
      <c r="K2434" s="39"/>
    </row>
    <row r="2435" spans="3:11" x14ac:dyDescent="0.25">
      <c r="C2435" s="12" t="s">
        <v>30</v>
      </c>
      <c r="D2435" s="13" t="s">
        <v>31</v>
      </c>
      <c r="E2435" s="14"/>
      <c r="F2435" s="14"/>
      <c r="G2435" s="14"/>
      <c r="H2435" s="14"/>
      <c r="J2435" s="15"/>
      <c r="K2435" s="39"/>
    </row>
    <row r="2436" spans="3:11" x14ac:dyDescent="0.3">
      <c r="C2436" s="21" t="s">
        <v>32</v>
      </c>
      <c r="D2436" s="22"/>
      <c r="E2436" s="22"/>
      <c r="F2436" s="22"/>
      <c r="G2436" s="28"/>
      <c r="H2436" s="29">
        <v>0</v>
      </c>
      <c r="J2436" s="15"/>
      <c r="K2436" s="39"/>
    </row>
    <row r="2437" spans="3:11" x14ac:dyDescent="0.3">
      <c r="C2437" s="30" t="s">
        <v>33</v>
      </c>
      <c r="D2437" s="31" t="s">
        <v>34</v>
      </c>
      <c r="E2437" s="32"/>
      <c r="F2437" s="32"/>
      <c r="G2437" s="33"/>
      <c r="H2437" s="46">
        <f>H2436+H2434+H2431</f>
        <v>308455</v>
      </c>
      <c r="I2437" s="47"/>
      <c r="J2437" s="15"/>
      <c r="K2437" s="39"/>
    </row>
    <row r="2438" spans="3:11" x14ac:dyDescent="0.3">
      <c r="C2438" s="30" t="s">
        <v>35</v>
      </c>
      <c r="D2438" s="31" t="s">
        <v>36</v>
      </c>
      <c r="E2438" s="32"/>
      <c r="F2438" s="33"/>
      <c r="G2438" s="34">
        <f>$M$9</f>
        <v>0.1</v>
      </c>
      <c r="H2438" s="19">
        <f>H2437*G2438</f>
        <v>30845.5</v>
      </c>
      <c r="I2438" s="47"/>
      <c r="J2438" s="15"/>
      <c r="K2438" s="39"/>
    </row>
    <row r="2439" spans="3:11" x14ac:dyDescent="0.3">
      <c r="C2439" s="30" t="s">
        <v>37</v>
      </c>
      <c r="D2439" s="31" t="s">
        <v>38</v>
      </c>
      <c r="E2439" s="32"/>
      <c r="F2439" s="32"/>
      <c r="G2439" s="33"/>
      <c r="H2439" s="48">
        <f>SUM(H2437:H2438)</f>
        <v>339300.5</v>
      </c>
      <c r="I2439" s="47"/>
      <c r="J2439" s="15"/>
      <c r="K2439" s="39"/>
    </row>
    <row r="2440" spans="3:11" x14ac:dyDescent="0.3">
      <c r="J2440" s="15"/>
      <c r="K2440" s="39"/>
    </row>
    <row r="2441" spans="3:11" x14ac:dyDescent="0.3">
      <c r="C2441" s="5" t="s">
        <v>491</v>
      </c>
      <c r="D2441" s="68" t="s">
        <v>492</v>
      </c>
      <c r="E2441" s="44"/>
      <c r="F2441" s="44"/>
      <c r="G2441" s="44"/>
      <c r="H2441" s="44"/>
      <c r="I2441" s="10">
        <f>ROUNDDOWN(H2456,0)</f>
        <v>281220</v>
      </c>
      <c r="J2441" s="15"/>
      <c r="K2441" s="39"/>
    </row>
    <row r="2442" spans="3:11" ht="27.6" x14ac:dyDescent="0.3">
      <c r="C2442" s="11" t="s">
        <v>9</v>
      </c>
      <c r="D2442" s="11" t="s">
        <v>10</v>
      </c>
      <c r="E2442" s="11" t="s">
        <v>11</v>
      </c>
      <c r="F2442" s="11" t="s">
        <v>12</v>
      </c>
      <c r="G2442" s="11" t="s">
        <v>13</v>
      </c>
      <c r="H2442" s="11" t="s">
        <v>14</v>
      </c>
      <c r="J2442" s="15"/>
      <c r="K2442" s="39"/>
    </row>
    <row r="2443" spans="3:11" x14ac:dyDescent="0.25">
      <c r="C2443" s="12" t="s">
        <v>15</v>
      </c>
      <c r="D2443" s="13" t="s">
        <v>16</v>
      </c>
      <c r="E2443" s="14"/>
      <c r="F2443" s="14"/>
      <c r="G2443" s="14"/>
      <c r="H2443" s="14"/>
      <c r="J2443" s="15"/>
      <c r="K2443" s="39"/>
    </row>
    <row r="2444" spans="3:11" x14ac:dyDescent="0.3">
      <c r="C2444" s="16">
        <v>1</v>
      </c>
      <c r="D2444" s="13" t="s">
        <v>18</v>
      </c>
      <c r="E2444" s="17" t="s">
        <v>19</v>
      </c>
      <c r="F2444" s="18">
        <v>0.11899999999999999</v>
      </c>
      <c r="G2444" s="19">
        <f>VLOOKUP(D2444,upahbahan,3,FALSE)</f>
        <v>100000</v>
      </c>
      <c r="H2444" s="19">
        <f t="shared" ref="H2444:H2447" si="249">F2444*G2444</f>
        <v>11900</v>
      </c>
      <c r="J2444" s="15"/>
      <c r="K2444" s="39"/>
    </row>
    <row r="2445" spans="3:11" x14ac:dyDescent="0.3">
      <c r="C2445" s="16">
        <v>2</v>
      </c>
      <c r="D2445" s="13" t="str">
        <f>D2394</f>
        <v>Tukang listrik</v>
      </c>
      <c r="E2445" s="17" t="s">
        <v>19</v>
      </c>
      <c r="F2445" s="18">
        <v>0.19900000000000001</v>
      </c>
      <c r="G2445" s="19">
        <f>VLOOKUP(D2445,upahbahan,3,FALSE)</f>
        <v>145000</v>
      </c>
      <c r="H2445" s="19">
        <f t="shared" si="249"/>
        <v>28855</v>
      </c>
      <c r="J2445" s="15"/>
      <c r="K2445" s="39"/>
    </row>
    <row r="2446" spans="3:11" x14ac:dyDescent="0.3">
      <c r="C2446" s="16">
        <v>3</v>
      </c>
      <c r="D2446" s="13" t="s">
        <v>22</v>
      </c>
      <c r="E2446" s="17" t="s">
        <v>19</v>
      </c>
      <c r="F2446" s="18">
        <v>0.02</v>
      </c>
      <c r="G2446" s="19">
        <f>VLOOKUP(D2446,upahbahan,3,FALSE)</f>
        <v>175000</v>
      </c>
      <c r="H2446" s="19">
        <f t="shared" si="249"/>
        <v>3500</v>
      </c>
      <c r="J2446" s="15"/>
      <c r="K2446" s="39"/>
    </row>
    <row r="2447" spans="3:11" x14ac:dyDescent="0.3">
      <c r="C2447" s="16">
        <v>4</v>
      </c>
      <c r="D2447" s="13" t="s">
        <v>23</v>
      </c>
      <c r="E2447" s="17" t="s">
        <v>19</v>
      </c>
      <c r="F2447" s="18">
        <v>7.0000000000000001E-3</v>
      </c>
      <c r="G2447" s="19">
        <f>VLOOKUP(D2447,upahbahan,3,FALSE)</f>
        <v>200000</v>
      </c>
      <c r="H2447" s="19">
        <f t="shared" si="249"/>
        <v>1400</v>
      </c>
      <c r="J2447" s="15"/>
      <c r="K2447" s="39"/>
    </row>
    <row r="2448" spans="3:11" x14ac:dyDescent="0.3">
      <c r="C2448" s="21" t="s">
        <v>24</v>
      </c>
      <c r="D2448" s="22"/>
      <c r="E2448" s="22"/>
      <c r="F2448" s="54"/>
      <c r="G2448" s="24"/>
      <c r="H2448" s="19">
        <f>SUM(H2444:H2447)</f>
        <v>45655</v>
      </c>
      <c r="I2448" s="25"/>
      <c r="J2448" s="15"/>
      <c r="K2448" s="39"/>
    </row>
    <row r="2449" spans="3:11" x14ac:dyDescent="0.25">
      <c r="C2449" s="12" t="s">
        <v>25</v>
      </c>
      <c r="D2449" s="13" t="s">
        <v>26</v>
      </c>
      <c r="E2449" s="14"/>
      <c r="F2449" s="55"/>
      <c r="G2449" s="14"/>
      <c r="H2449" s="14"/>
      <c r="J2449" s="15"/>
      <c r="K2449" s="39"/>
    </row>
    <row r="2450" spans="3:11" x14ac:dyDescent="0.3">
      <c r="C2450" s="63" t="s">
        <v>202</v>
      </c>
      <c r="D2450" s="26" t="s">
        <v>482</v>
      </c>
      <c r="E2450" s="27" t="s">
        <v>28</v>
      </c>
      <c r="F2450" s="59">
        <v>1.2</v>
      </c>
      <c r="G2450" s="19">
        <f>VLOOKUP(D2450,upahbahan,3,FALSE)</f>
        <v>175000</v>
      </c>
      <c r="H2450" s="19">
        <f>F2450*G2450</f>
        <v>210000</v>
      </c>
      <c r="J2450" s="15"/>
      <c r="K2450" s="39"/>
    </row>
    <row r="2451" spans="3:11" x14ac:dyDescent="0.3">
      <c r="C2451" s="21" t="s">
        <v>29</v>
      </c>
      <c r="D2451" s="22"/>
      <c r="E2451" s="22"/>
      <c r="F2451" s="22"/>
      <c r="G2451" s="28"/>
      <c r="H2451" s="19">
        <f>SUM(H2450:H2450)</f>
        <v>210000</v>
      </c>
      <c r="J2451" s="15"/>
      <c r="K2451" s="39"/>
    </row>
    <row r="2452" spans="3:11" x14ac:dyDescent="0.25">
      <c r="C2452" s="12" t="s">
        <v>30</v>
      </c>
      <c r="D2452" s="13" t="s">
        <v>31</v>
      </c>
      <c r="E2452" s="14"/>
      <c r="F2452" s="14"/>
      <c r="G2452" s="14"/>
      <c r="H2452" s="14"/>
      <c r="J2452" s="15"/>
      <c r="K2452" s="39"/>
    </row>
    <row r="2453" spans="3:11" x14ac:dyDescent="0.3">
      <c r="C2453" s="21" t="s">
        <v>32</v>
      </c>
      <c r="D2453" s="22"/>
      <c r="E2453" s="22"/>
      <c r="F2453" s="22"/>
      <c r="G2453" s="28"/>
      <c r="H2453" s="29">
        <v>0</v>
      </c>
      <c r="J2453" s="15"/>
      <c r="K2453" s="39"/>
    </row>
    <row r="2454" spans="3:11" x14ac:dyDescent="0.3">
      <c r="C2454" s="30" t="s">
        <v>33</v>
      </c>
      <c r="D2454" s="31" t="s">
        <v>34</v>
      </c>
      <c r="E2454" s="32"/>
      <c r="F2454" s="32"/>
      <c r="G2454" s="33"/>
      <c r="H2454" s="46">
        <f>H2453+H2451+H2448</f>
        <v>255655</v>
      </c>
      <c r="I2454" s="47"/>
      <c r="J2454" s="15"/>
      <c r="K2454" s="39"/>
    </row>
    <row r="2455" spans="3:11" x14ac:dyDescent="0.3">
      <c r="C2455" s="30" t="s">
        <v>35</v>
      </c>
      <c r="D2455" s="31" t="s">
        <v>36</v>
      </c>
      <c r="E2455" s="32"/>
      <c r="F2455" s="33"/>
      <c r="G2455" s="34">
        <f>$M$9</f>
        <v>0.1</v>
      </c>
      <c r="H2455" s="19">
        <f>H2454*G2455</f>
        <v>25565.5</v>
      </c>
      <c r="I2455" s="47"/>
      <c r="J2455" s="15"/>
      <c r="K2455" s="39"/>
    </row>
    <row r="2456" spans="3:11" x14ac:dyDescent="0.3">
      <c r="C2456" s="30" t="s">
        <v>37</v>
      </c>
      <c r="D2456" s="31" t="s">
        <v>38</v>
      </c>
      <c r="E2456" s="32"/>
      <c r="F2456" s="32"/>
      <c r="G2456" s="33"/>
      <c r="H2456" s="48">
        <f>SUM(H2454:H2455)</f>
        <v>281220.5</v>
      </c>
      <c r="I2456" s="47"/>
      <c r="J2456" s="15"/>
      <c r="K2456" s="39"/>
    </row>
    <row r="2457" spans="3:11" x14ac:dyDescent="0.3">
      <c r="J2457" s="15"/>
      <c r="K2457" s="39"/>
    </row>
    <row r="2458" spans="3:11" x14ac:dyDescent="0.3">
      <c r="J2458" s="15"/>
      <c r="K2458" s="39"/>
    </row>
    <row r="2459" spans="3:11" x14ac:dyDescent="0.3">
      <c r="C2459" s="84" t="s">
        <v>493</v>
      </c>
      <c r="D2459" s="69" t="s">
        <v>494</v>
      </c>
      <c r="E2459" s="58"/>
      <c r="F2459" s="58"/>
      <c r="G2459" s="58"/>
      <c r="H2459" s="58"/>
      <c r="I2459" s="10">
        <f>ROUNDDOWN(H2474,0)</f>
        <v>708867</v>
      </c>
      <c r="J2459" s="15"/>
      <c r="K2459" s="39"/>
    </row>
    <row r="2460" spans="3:11" ht="27.6" x14ac:dyDescent="0.3">
      <c r="C2460" s="11" t="s">
        <v>9</v>
      </c>
      <c r="D2460" s="11" t="s">
        <v>10</v>
      </c>
      <c r="E2460" s="11" t="s">
        <v>11</v>
      </c>
      <c r="F2460" s="11" t="s">
        <v>12</v>
      </c>
      <c r="G2460" s="11" t="s">
        <v>13</v>
      </c>
      <c r="H2460" s="11" t="s">
        <v>14</v>
      </c>
      <c r="J2460" s="15"/>
      <c r="K2460" s="39"/>
    </row>
    <row r="2461" spans="3:11" x14ac:dyDescent="0.25">
      <c r="C2461" s="12" t="s">
        <v>15</v>
      </c>
      <c r="D2461" s="13" t="s">
        <v>16</v>
      </c>
      <c r="E2461" s="14"/>
      <c r="F2461" s="14"/>
      <c r="G2461" s="14"/>
      <c r="H2461" s="14"/>
      <c r="J2461" s="15"/>
      <c r="K2461" s="39"/>
    </row>
    <row r="2462" spans="3:11" x14ac:dyDescent="0.3">
      <c r="C2462" s="16">
        <v>1</v>
      </c>
      <c r="D2462" s="13" t="s">
        <v>18</v>
      </c>
      <c r="E2462" s="17" t="s">
        <v>19</v>
      </c>
      <c r="F2462" s="18">
        <v>0.11899999999999999</v>
      </c>
      <c r="G2462" s="19">
        <f>VLOOKUP(D2462,upahbahan,3,FALSE)</f>
        <v>100000</v>
      </c>
      <c r="H2462" s="19">
        <f t="shared" ref="H2462:H2465" si="250">F2462*G2462</f>
        <v>11900</v>
      </c>
      <c r="J2462" s="15"/>
      <c r="K2462" s="39"/>
    </row>
    <row r="2463" spans="3:11" x14ac:dyDescent="0.3">
      <c r="C2463" s="16">
        <v>2</v>
      </c>
      <c r="D2463" s="13" t="str">
        <f>D2412</f>
        <v>Kepala tukang</v>
      </c>
      <c r="E2463" s="17" t="s">
        <v>19</v>
      </c>
      <c r="F2463" s="18">
        <v>0.19900000000000001</v>
      </c>
      <c r="G2463" s="19">
        <f>VLOOKUP(D2463,upahbahan,3,FALSE)</f>
        <v>175000</v>
      </c>
      <c r="H2463" s="19">
        <f t="shared" si="250"/>
        <v>34825</v>
      </c>
      <c r="J2463" s="15"/>
      <c r="K2463" s="39"/>
    </row>
    <row r="2464" spans="3:11" x14ac:dyDescent="0.3">
      <c r="C2464" s="16">
        <v>3</v>
      </c>
      <c r="D2464" s="13" t="s">
        <v>22</v>
      </c>
      <c r="E2464" s="17" t="s">
        <v>19</v>
      </c>
      <c r="F2464" s="18">
        <v>0.02</v>
      </c>
      <c r="G2464" s="19">
        <f>VLOOKUP(D2464,upahbahan,3,FALSE)</f>
        <v>175000</v>
      </c>
      <c r="H2464" s="19">
        <f t="shared" si="250"/>
        <v>3500</v>
      </c>
      <c r="J2464" s="15"/>
      <c r="K2464" s="39"/>
    </row>
    <row r="2465" spans="3:11" x14ac:dyDescent="0.3">
      <c r="C2465" s="16">
        <v>4</v>
      </c>
      <c r="D2465" s="13" t="s">
        <v>23</v>
      </c>
      <c r="E2465" s="17" t="s">
        <v>19</v>
      </c>
      <c r="F2465" s="18">
        <v>7.0000000000000001E-3</v>
      </c>
      <c r="G2465" s="19">
        <f>VLOOKUP(D2465,upahbahan,3,FALSE)</f>
        <v>200000</v>
      </c>
      <c r="H2465" s="19">
        <f t="shared" si="250"/>
        <v>1400</v>
      </c>
      <c r="J2465" s="15"/>
      <c r="K2465" s="39"/>
    </row>
    <row r="2466" spans="3:11" x14ac:dyDescent="0.3">
      <c r="C2466" s="21" t="s">
        <v>24</v>
      </c>
      <c r="D2466" s="22"/>
      <c r="E2466" s="22"/>
      <c r="F2466" s="54"/>
      <c r="G2466" s="24"/>
      <c r="H2466" s="19">
        <f>SUM(H2462:H2465)</f>
        <v>51625</v>
      </c>
      <c r="I2466" s="25"/>
      <c r="J2466" s="15"/>
      <c r="K2466" s="39"/>
    </row>
    <row r="2467" spans="3:11" x14ac:dyDescent="0.25">
      <c r="C2467" s="12" t="s">
        <v>25</v>
      </c>
      <c r="D2467" s="13" t="s">
        <v>26</v>
      </c>
      <c r="E2467" s="14"/>
      <c r="F2467" s="55"/>
      <c r="G2467" s="14"/>
      <c r="H2467" s="14"/>
      <c r="J2467" s="15"/>
      <c r="K2467" s="39"/>
    </row>
    <row r="2468" spans="3:11" x14ac:dyDescent="0.3">
      <c r="C2468" s="63" t="s">
        <v>202</v>
      </c>
      <c r="D2468" s="26" t="s">
        <v>495</v>
      </c>
      <c r="E2468" s="27" t="s">
        <v>28</v>
      </c>
      <c r="F2468" s="59">
        <v>1.2</v>
      </c>
      <c r="G2468" s="19">
        <f>VLOOKUP(D2468,upahbahan,3,FALSE)</f>
        <v>494000</v>
      </c>
      <c r="H2468" s="19">
        <f>F2468*G2468</f>
        <v>592800</v>
      </c>
      <c r="J2468" s="15"/>
      <c r="K2468" s="39"/>
    </row>
    <row r="2469" spans="3:11" x14ac:dyDescent="0.3">
      <c r="C2469" s="21" t="s">
        <v>29</v>
      </c>
      <c r="D2469" s="22"/>
      <c r="E2469" s="22"/>
      <c r="F2469" s="22"/>
      <c r="G2469" s="28"/>
      <c r="H2469" s="19">
        <f>SUM(H2468:H2468)</f>
        <v>592800</v>
      </c>
      <c r="J2469" s="15"/>
      <c r="K2469" s="39"/>
    </row>
    <row r="2470" spans="3:11" x14ac:dyDescent="0.25">
      <c r="C2470" s="12" t="s">
        <v>30</v>
      </c>
      <c r="D2470" s="13" t="s">
        <v>31</v>
      </c>
      <c r="E2470" s="14"/>
      <c r="F2470" s="14"/>
      <c r="G2470" s="14"/>
      <c r="H2470" s="14"/>
      <c r="J2470" s="15"/>
      <c r="K2470" s="39"/>
    </row>
    <row r="2471" spans="3:11" x14ac:dyDescent="0.3">
      <c r="C2471" s="21" t="s">
        <v>32</v>
      </c>
      <c r="D2471" s="22"/>
      <c r="E2471" s="22"/>
      <c r="F2471" s="22"/>
      <c r="G2471" s="28"/>
      <c r="H2471" s="29">
        <v>0</v>
      </c>
      <c r="J2471" s="15"/>
      <c r="K2471" s="39"/>
    </row>
    <row r="2472" spans="3:11" x14ac:dyDescent="0.3">
      <c r="C2472" s="30" t="s">
        <v>33</v>
      </c>
      <c r="D2472" s="31" t="s">
        <v>34</v>
      </c>
      <c r="E2472" s="32"/>
      <c r="F2472" s="32"/>
      <c r="G2472" s="33"/>
      <c r="H2472" s="46">
        <f>H2471+H2469+H2466</f>
        <v>644425</v>
      </c>
      <c r="I2472" s="47"/>
      <c r="J2472" s="15"/>
      <c r="K2472" s="39"/>
    </row>
    <row r="2473" spans="3:11" x14ac:dyDescent="0.3">
      <c r="C2473" s="30" t="s">
        <v>35</v>
      </c>
      <c r="D2473" s="31" t="s">
        <v>36</v>
      </c>
      <c r="E2473" s="32"/>
      <c r="F2473" s="33"/>
      <c r="G2473" s="34">
        <f>$M$9</f>
        <v>0.1</v>
      </c>
      <c r="H2473" s="19">
        <f>H2472*G2473</f>
        <v>64442.5</v>
      </c>
      <c r="I2473" s="47"/>
      <c r="J2473" s="15"/>
      <c r="K2473" s="39"/>
    </row>
    <row r="2474" spans="3:11" x14ac:dyDescent="0.3">
      <c r="C2474" s="30" t="s">
        <v>37</v>
      </c>
      <c r="D2474" s="31" t="s">
        <v>38</v>
      </c>
      <c r="E2474" s="32"/>
      <c r="F2474" s="32"/>
      <c r="G2474" s="33"/>
      <c r="H2474" s="48">
        <f>SUM(H2472:H2473)</f>
        <v>708867.5</v>
      </c>
      <c r="I2474" s="47"/>
      <c r="J2474" s="15"/>
      <c r="K2474" s="39"/>
    </row>
    <row r="2475" spans="3:11" x14ac:dyDescent="0.3">
      <c r="J2475" s="15"/>
      <c r="K2475" s="39"/>
    </row>
    <row r="2476" spans="3:11" x14ac:dyDescent="0.3">
      <c r="C2476" s="5" t="s">
        <v>496</v>
      </c>
      <c r="D2476" s="68" t="s">
        <v>497</v>
      </c>
      <c r="E2476" s="44"/>
      <c r="F2476" s="44"/>
      <c r="G2476" s="44"/>
      <c r="H2476" s="44"/>
      <c r="I2476" s="10">
        <f>ROUNDDOWN(H2491,0)</f>
        <v>762987</v>
      </c>
      <c r="J2476" s="15"/>
      <c r="K2476" s="39"/>
    </row>
    <row r="2477" spans="3:11" ht="27.6" x14ac:dyDescent="0.3">
      <c r="C2477" s="11" t="s">
        <v>9</v>
      </c>
      <c r="D2477" s="11" t="s">
        <v>10</v>
      </c>
      <c r="E2477" s="11" t="s">
        <v>11</v>
      </c>
      <c r="F2477" s="11" t="s">
        <v>12</v>
      </c>
      <c r="G2477" s="11" t="s">
        <v>13</v>
      </c>
      <c r="H2477" s="11" t="s">
        <v>14</v>
      </c>
      <c r="J2477" s="15"/>
      <c r="K2477" s="39"/>
    </row>
    <row r="2478" spans="3:11" x14ac:dyDescent="0.25">
      <c r="C2478" s="12" t="s">
        <v>15</v>
      </c>
      <c r="D2478" s="13" t="s">
        <v>16</v>
      </c>
      <c r="E2478" s="14"/>
      <c r="F2478" s="14"/>
      <c r="G2478" s="14"/>
      <c r="H2478" s="14"/>
      <c r="J2478" s="15"/>
      <c r="K2478" s="39"/>
    </row>
    <row r="2479" spans="3:11" x14ac:dyDescent="0.3">
      <c r="C2479" s="16">
        <v>1</v>
      </c>
      <c r="D2479" s="13" t="s">
        <v>18</v>
      </c>
      <c r="E2479" s="17" t="s">
        <v>19</v>
      </c>
      <c r="F2479" s="18">
        <v>0.11899999999999999</v>
      </c>
      <c r="G2479" s="19">
        <f>VLOOKUP(D2479,upahbahan,3,FALSE)</f>
        <v>100000</v>
      </c>
      <c r="H2479" s="19">
        <f t="shared" ref="H2479:H2482" si="251">F2479*G2479</f>
        <v>11900</v>
      </c>
      <c r="J2479" s="15"/>
      <c r="K2479" s="39"/>
    </row>
    <row r="2480" spans="3:11" x14ac:dyDescent="0.3">
      <c r="C2480" s="16">
        <v>2</v>
      </c>
      <c r="D2480" s="13" t="str">
        <f>D2429</f>
        <v>Kepala tukang</v>
      </c>
      <c r="E2480" s="17" t="s">
        <v>19</v>
      </c>
      <c r="F2480" s="18">
        <v>0.19900000000000001</v>
      </c>
      <c r="G2480" s="19">
        <f>VLOOKUP(D2480,upahbahan,3,FALSE)</f>
        <v>175000</v>
      </c>
      <c r="H2480" s="19">
        <f t="shared" si="251"/>
        <v>34825</v>
      </c>
      <c r="J2480" s="15"/>
      <c r="K2480" s="39"/>
    </row>
    <row r="2481" spans="3:11" x14ac:dyDescent="0.3">
      <c r="C2481" s="16">
        <v>3</v>
      </c>
      <c r="D2481" s="13" t="s">
        <v>22</v>
      </c>
      <c r="E2481" s="17" t="s">
        <v>19</v>
      </c>
      <c r="F2481" s="18">
        <v>0.02</v>
      </c>
      <c r="G2481" s="19">
        <f>VLOOKUP(D2481,upahbahan,3,FALSE)</f>
        <v>175000</v>
      </c>
      <c r="H2481" s="19">
        <f t="shared" si="251"/>
        <v>3500</v>
      </c>
      <c r="J2481" s="15"/>
      <c r="K2481" s="39"/>
    </row>
    <row r="2482" spans="3:11" x14ac:dyDescent="0.3">
      <c r="C2482" s="16">
        <v>4</v>
      </c>
      <c r="D2482" s="13" t="s">
        <v>23</v>
      </c>
      <c r="E2482" s="17" t="s">
        <v>19</v>
      </c>
      <c r="F2482" s="18">
        <v>7.0000000000000001E-3</v>
      </c>
      <c r="G2482" s="19">
        <f>VLOOKUP(D2482,upahbahan,3,FALSE)</f>
        <v>200000</v>
      </c>
      <c r="H2482" s="19">
        <f t="shared" si="251"/>
        <v>1400</v>
      </c>
      <c r="J2482" s="15"/>
      <c r="K2482" s="39"/>
    </row>
    <row r="2483" spans="3:11" x14ac:dyDescent="0.3">
      <c r="C2483" s="21" t="s">
        <v>24</v>
      </c>
      <c r="D2483" s="22"/>
      <c r="E2483" s="22"/>
      <c r="F2483" s="54"/>
      <c r="G2483" s="24"/>
      <c r="H2483" s="19">
        <f>SUM(H2479:H2482)</f>
        <v>51625</v>
      </c>
      <c r="I2483" s="25"/>
      <c r="J2483" s="15"/>
      <c r="K2483" s="39"/>
    </row>
    <row r="2484" spans="3:11" x14ac:dyDescent="0.25">
      <c r="C2484" s="12" t="s">
        <v>25</v>
      </c>
      <c r="D2484" s="13" t="s">
        <v>26</v>
      </c>
      <c r="E2484" s="14"/>
      <c r="F2484" s="55"/>
      <c r="G2484" s="14"/>
      <c r="H2484" s="14"/>
      <c r="J2484" s="15"/>
      <c r="K2484" s="39"/>
    </row>
    <row r="2485" spans="3:11" x14ac:dyDescent="0.3">
      <c r="C2485" s="63" t="s">
        <v>202</v>
      </c>
      <c r="D2485" s="26" t="s">
        <v>498</v>
      </c>
      <c r="E2485" s="27" t="s">
        <v>28</v>
      </c>
      <c r="F2485" s="59">
        <v>1.2</v>
      </c>
      <c r="G2485" s="19">
        <f>VLOOKUP(D2485,upahbahan,3,FALSE)</f>
        <v>535000</v>
      </c>
      <c r="H2485" s="19">
        <f>F2485*G2485</f>
        <v>642000</v>
      </c>
      <c r="J2485" s="15"/>
      <c r="K2485" s="39"/>
    </row>
    <row r="2486" spans="3:11" x14ac:dyDescent="0.3">
      <c r="C2486" s="21" t="s">
        <v>29</v>
      </c>
      <c r="D2486" s="22"/>
      <c r="E2486" s="22"/>
      <c r="F2486" s="22"/>
      <c r="G2486" s="28"/>
      <c r="H2486" s="19">
        <f>SUM(H2485:H2485)</f>
        <v>642000</v>
      </c>
      <c r="J2486" s="15"/>
      <c r="K2486" s="39"/>
    </row>
    <row r="2487" spans="3:11" x14ac:dyDescent="0.25">
      <c r="C2487" s="12" t="s">
        <v>30</v>
      </c>
      <c r="D2487" s="13" t="s">
        <v>31</v>
      </c>
      <c r="E2487" s="14"/>
      <c r="F2487" s="14"/>
      <c r="G2487" s="14"/>
      <c r="H2487" s="14"/>
      <c r="J2487" s="15"/>
      <c r="K2487" s="39"/>
    </row>
    <row r="2488" spans="3:11" x14ac:dyDescent="0.3">
      <c r="C2488" s="21" t="s">
        <v>32</v>
      </c>
      <c r="D2488" s="22"/>
      <c r="E2488" s="22"/>
      <c r="F2488" s="22"/>
      <c r="G2488" s="28"/>
      <c r="H2488" s="29">
        <v>0</v>
      </c>
      <c r="J2488" s="15"/>
      <c r="K2488" s="39"/>
    </row>
    <row r="2489" spans="3:11" x14ac:dyDescent="0.3">
      <c r="C2489" s="30" t="s">
        <v>33</v>
      </c>
      <c r="D2489" s="31" t="s">
        <v>34</v>
      </c>
      <c r="E2489" s="32"/>
      <c r="F2489" s="32"/>
      <c r="G2489" s="33"/>
      <c r="H2489" s="46">
        <f>H2488+H2486+H2483</f>
        <v>693625</v>
      </c>
      <c r="I2489" s="47"/>
      <c r="J2489" s="15"/>
      <c r="K2489" s="39"/>
    </row>
    <row r="2490" spans="3:11" x14ac:dyDescent="0.3">
      <c r="C2490" s="30" t="s">
        <v>35</v>
      </c>
      <c r="D2490" s="31" t="s">
        <v>36</v>
      </c>
      <c r="E2490" s="32"/>
      <c r="F2490" s="33"/>
      <c r="G2490" s="34">
        <f>$M$9</f>
        <v>0.1</v>
      </c>
      <c r="H2490" s="19">
        <f>H2489*G2490</f>
        <v>69362.5</v>
      </c>
      <c r="I2490" s="47"/>
      <c r="J2490" s="15"/>
      <c r="K2490" s="39"/>
    </row>
    <row r="2491" spans="3:11" x14ac:dyDescent="0.3">
      <c r="C2491" s="30" t="s">
        <v>37</v>
      </c>
      <c r="D2491" s="31" t="s">
        <v>38</v>
      </c>
      <c r="E2491" s="32"/>
      <c r="F2491" s="32"/>
      <c r="G2491" s="33"/>
      <c r="H2491" s="48">
        <f>SUM(H2489:H2490)</f>
        <v>762987.5</v>
      </c>
      <c r="I2491" s="47"/>
      <c r="J2491" s="15"/>
      <c r="K2491" s="39"/>
    </row>
    <row r="2492" spans="3:11" x14ac:dyDescent="0.3">
      <c r="J2492" s="15"/>
      <c r="K2492" s="39"/>
    </row>
    <row r="2493" spans="3:11" x14ac:dyDescent="0.3">
      <c r="C2493" s="5" t="s">
        <v>499</v>
      </c>
      <c r="D2493" s="68" t="s">
        <v>500</v>
      </c>
      <c r="E2493" s="44"/>
      <c r="F2493" s="44"/>
      <c r="G2493" s="44"/>
      <c r="H2493" s="44"/>
      <c r="I2493" s="10">
        <f>ROUNDDOWN(H2508,0)</f>
        <v>807867</v>
      </c>
      <c r="J2493" s="15"/>
      <c r="K2493" s="39"/>
    </row>
    <row r="2494" spans="3:11" ht="27.6" x14ac:dyDescent="0.3">
      <c r="C2494" s="11" t="s">
        <v>9</v>
      </c>
      <c r="D2494" s="11" t="s">
        <v>10</v>
      </c>
      <c r="E2494" s="11" t="s">
        <v>11</v>
      </c>
      <c r="F2494" s="11" t="s">
        <v>12</v>
      </c>
      <c r="G2494" s="11" t="s">
        <v>13</v>
      </c>
      <c r="H2494" s="11" t="s">
        <v>14</v>
      </c>
      <c r="J2494" s="15"/>
      <c r="K2494" s="39"/>
    </row>
    <row r="2495" spans="3:11" x14ac:dyDescent="0.25">
      <c r="C2495" s="12" t="s">
        <v>15</v>
      </c>
      <c r="D2495" s="13" t="s">
        <v>16</v>
      </c>
      <c r="E2495" s="14"/>
      <c r="F2495" s="14"/>
      <c r="G2495" s="14"/>
      <c r="H2495" s="14"/>
      <c r="J2495" s="15"/>
      <c r="K2495" s="39"/>
    </row>
    <row r="2496" spans="3:11" x14ac:dyDescent="0.3">
      <c r="C2496" s="16">
        <v>1</v>
      </c>
      <c r="D2496" s="13" t="s">
        <v>18</v>
      </c>
      <c r="E2496" s="17" t="s">
        <v>19</v>
      </c>
      <c r="F2496" s="18">
        <v>0.11899999999999999</v>
      </c>
      <c r="G2496" s="19">
        <f>VLOOKUP(D2496,upahbahan,3,FALSE)</f>
        <v>100000</v>
      </c>
      <c r="H2496" s="19">
        <f t="shared" ref="H2496:H2499" si="252">F2496*G2496</f>
        <v>11900</v>
      </c>
      <c r="J2496" s="15"/>
      <c r="K2496" s="39"/>
    </row>
    <row r="2497" spans="3:11" x14ac:dyDescent="0.3">
      <c r="C2497" s="16">
        <v>2</v>
      </c>
      <c r="D2497" s="13" t="str">
        <f>D2446</f>
        <v>Kepala tukang</v>
      </c>
      <c r="E2497" s="17" t="s">
        <v>19</v>
      </c>
      <c r="F2497" s="18">
        <v>0.19900000000000001</v>
      </c>
      <c r="G2497" s="19">
        <f>VLOOKUP(D2497,upahbahan,3,FALSE)</f>
        <v>175000</v>
      </c>
      <c r="H2497" s="19">
        <f t="shared" si="252"/>
        <v>34825</v>
      </c>
      <c r="J2497" s="15"/>
      <c r="K2497" s="39"/>
    </row>
    <row r="2498" spans="3:11" x14ac:dyDescent="0.3">
      <c r="C2498" s="16">
        <v>3</v>
      </c>
      <c r="D2498" s="13" t="s">
        <v>22</v>
      </c>
      <c r="E2498" s="17" t="s">
        <v>19</v>
      </c>
      <c r="F2498" s="18">
        <v>0.02</v>
      </c>
      <c r="G2498" s="19">
        <f>VLOOKUP(D2498,upahbahan,3,FALSE)</f>
        <v>175000</v>
      </c>
      <c r="H2498" s="19">
        <f t="shared" si="252"/>
        <v>3500</v>
      </c>
      <c r="J2498" s="15"/>
      <c r="K2498" s="39"/>
    </row>
    <row r="2499" spans="3:11" x14ac:dyDescent="0.3">
      <c r="C2499" s="16">
        <v>4</v>
      </c>
      <c r="D2499" s="13" t="s">
        <v>23</v>
      </c>
      <c r="E2499" s="17" t="s">
        <v>19</v>
      </c>
      <c r="F2499" s="18">
        <v>7.0000000000000001E-3</v>
      </c>
      <c r="G2499" s="19">
        <f>VLOOKUP(D2499,upahbahan,3,FALSE)</f>
        <v>200000</v>
      </c>
      <c r="H2499" s="19">
        <f t="shared" si="252"/>
        <v>1400</v>
      </c>
      <c r="J2499" s="15"/>
      <c r="K2499" s="39"/>
    </row>
    <row r="2500" spans="3:11" x14ac:dyDescent="0.3">
      <c r="C2500" s="21" t="s">
        <v>24</v>
      </c>
      <c r="D2500" s="22"/>
      <c r="E2500" s="22"/>
      <c r="F2500" s="54"/>
      <c r="G2500" s="24"/>
      <c r="H2500" s="19">
        <f>SUM(H2496:H2499)</f>
        <v>51625</v>
      </c>
      <c r="I2500" s="25"/>
      <c r="J2500" s="15"/>
      <c r="K2500" s="39"/>
    </row>
    <row r="2501" spans="3:11" x14ac:dyDescent="0.25">
      <c r="C2501" s="12" t="s">
        <v>25</v>
      </c>
      <c r="D2501" s="13" t="s">
        <v>26</v>
      </c>
      <c r="E2501" s="14"/>
      <c r="F2501" s="55"/>
      <c r="G2501" s="14"/>
      <c r="H2501" s="14"/>
      <c r="J2501" s="15"/>
      <c r="K2501" s="39"/>
    </row>
    <row r="2502" spans="3:11" x14ac:dyDescent="0.3">
      <c r="C2502" s="63" t="s">
        <v>202</v>
      </c>
      <c r="D2502" s="26" t="s">
        <v>501</v>
      </c>
      <c r="E2502" s="27" t="s">
        <v>28</v>
      </c>
      <c r="F2502" s="59">
        <v>1.2</v>
      </c>
      <c r="G2502" s="19">
        <f>VLOOKUP(D2502,upahbahan,3,FALSE)</f>
        <v>569000</v>
      </c>
      <c r="H2502" s="19">
        <f>F2502*G2502</f>
        <v>682800</v>
      </c>
      <c r="J2502" s="15"/>
      <c r="K2502" s="39"/>
    </row>
    <row r="2503" spans="3:11" x14ac:dyDescent="0.3">
      <c r="C2503" s="21" t="s">
        <v>29</v>
      </c>
      <c r="D2503" s="22"/>
      <c r="E2503" s="22"/>
      <c r="F2503" s="22"/>
      <c r="G2503" s="28"/>
      <c r="H2503" s="19">
        <f>SUM(H2502:H2502)</f>
        <v>682800</v>
      </c>
      <c r="J2503" s="15"/>
      <c r="K2503" s="39"/>
    </row>
    <row r="2504" spans="3:11" x14ac:dyDescent="0.25">
      <c r="C2504" s="12" t="s">
        <v>30</v>
      </c>
      <c r="D2504" s="13" t="s">
        <v>31</v>
      </c>
      <c r="E2504" s="14"/>
      <c r="F2504" s="14"/>
      <c r="G2504" s="14"/>
      <c r="H2504" s="14"/>
      <c r="J2504" s="15"/>
      <c r="K2504" s="39"/>
    </row>
    <row r="2505" spans="3:11" x14ac:dyDescent="0.3">
      <c r="C2505" s="21" t="s">
        <v>32</v>
      </c>
      <c r="D2505" s="22"/>
      <c r="E2505" s="22"/>
      <c r="F2505" s="22"/>
      <c r="G2505" s="28"/>
      <c r="H2505" s="29">
        <v>0</v>
      </c>
      <c r="J2505" s="15"/>
      <c r="K2505" s="39"/>
    </row>
    <row r="2506" spans="3:11" x14ac:dyDescent="0.3">
      <c r="C2506" s="30" t="s">
        <v>33</v>
      </c>
      <c r="D2506" s="31" t="s">
        <v>34</v>
      </c>
      <c r="E2506" s="32"/>
      <c r="F2506" s="32"/>
      <c r="G2506" s="33"/>
      <c r="H2506" s="46">
        <f>H2505+H2503+H2500</f>
        <v>734425</v>
      </c>
      <c r="I2506" s="47"/>
      <c r="J2506" s="15"/>
      <c r="K2506" s="39"/>
    </row>
    <row r="2507" spans="3:11" x14ac:dyDescent="0.3">
      <c r="C2507" s="30" t="s">
        <v>35</v>
      </c>
      <c r="D2507" s="31" t="s">
        <v>36</v>
      </c>
      <c r="E2507" s="32"/>
      <c r="F2507" s="33"/>
      <c r="G2507" s="34">
        <f>$M$9</f>
        <v>0.1</v>
      </c>
      <c r="H2507" s="19">
        <f>H2506*G2507</f>
        <v>73442.5</v>
      </c>
      <c r="I2507" s="47"/>
      <c r="J2507" s="15"/>
      <c r="K2507" s="39"/>
    </row>
    <row r="2508" spans="3:11" x14ac:dyDescent="0.3">
      <c r="C2508" s="30" t="s">
        <v>37</v>
      </c>
      <c r="D2508" s="31" t="s">
        <v>38</v>
      </c>
      <c r="E2508" s="32"/>
      <c r="F2508" s="32"/>
      <c r="G2508" s="33"/>
      <c r="H2508" s="48">
        <f>SUM(H2506:H2507)</f>
        <v>807867.5</v>
      </c>
      <c r="I2508" s="47"/>
      <c r="J2508" s="15"/>
      <c r="K2508" s="39"/>
    </row>
    <row r="2509" spans="3:11" x14ac:dyDescent="0.3">
      <c r="J2509" s="15"/>
      <c r="K2509" s="39"/>
    </row>
    <row r="2510" spans="3:11" x14ac:dyDescent="0.3">
      <c r="J2510" s="15"/>
      <c r="K2510" s="39"/>
    </row>
    <row r="2511" spans="3:11" x14ac:dyDescent="0.3">
      <c r="C2511" s="5" t="s">
        <v>502</v>
      </c>
      <c r="D2511" s="68" t="s">
        <v>503</v>
      </c>
      <c r="E2511" s="44"/>
      <c r="F2511" s="44"/>
      <c r="G2511" s="44"/>
      <c r="H2511" s="44"/>
      <c r="I2511" s="10">
        <f>ROUNDDOWN(H2529,0)</f>
        <v>441302</v>
      </c>
      <c r="J2511" s="15"/>
      <c r="K2511" s="39"/>
    </row>
    <row r="2512" spans="3:11" ht="27.6" x14ac:dyDescent="0.3">
      <c r="C2512" s="11" t="s">
        <v>9</v>
      </c>
      <c r="D2512" s="11" t="s">
        <v>10</v>
      </c>
      <c r="E2512" s="11" t="s">
        <v>11</v>
      </c>
      <c r="F2512" s="11" t="s">
        <v>12</v>
      </c>
      <c r="G2512" s="11" t="s">
        <v>13</v>
      </c>
      <c r="H2512" s="11" t="s">
        <v>14</v>
      </c>
    </row>
    <row r="2513" spans="3:9" x14ac:dyDescent="0.25">
      <c r="C2513" s="12" t="s">
        <v>15</v>
      </c>
      <c r="D2513" s="13" t="s">
        <v>16</v>
      </c>
      <c r="E2513" s="14"/>
      <c r="F2513" s="14"/>
      <c r="G2513" s="14"/>
      <c r="H2513" s="14"/>
    </row>
    <row r="2514" spans="3:9" x14ac:dyDescent="0.3">
      <c r="C2514" s="16">
        <v>1</v>
      </c>
      <c r="D2514" s="13" t="s">
        <v>18</v>
      </c>
      <c r="E2514" s="17" t="s">
        <v>19</v>
      </c>
      <c r="F2514" s="18">
        <v>3.5999999999999997E-2</v>
      </c>
      <c r="G2514" s="19">
        <f>VLOOKUP(D2514,upahbahan,3,FALSE)</f>
        <v>100000</v>
      </c>
      <c r="H2514" s="19">
        <f t="shared" ref="H2514:H2517" si="253">F2514*G2514</f>
        <v>3599.9999999999995</v>
      </c>
    </row>
    <row r="2515" spans="3:9" x14ac:dyDescent="0.3">
      <c r="C2515" s="16">
        <v>2</v>
      </c>
      <c r="D2515" s="13" t="str">
        <f>D2411</f>
        <v>Tukang listrik</v>
      </c>
      <c r="E2515" s="17" t="s">
        <v>19</v>
      </c>
      <c r="F2515" s="18">
        <v>0.06</v>
      </c>
      <c r="G2515" s="19">
        <f>VLOOKUP(D2515,upahbahan,3,FALSE)</f>
        <v>145000</v>
      </c>
      <c r="H2515" s="19">
        <f t="shared" si="253"/>
        <v>8700</v>
      </c>
    </row>
    <row r="2516" spans="3:9" x14ac:dyDescent="0.3">
      <c r="C2516" s="16">
        <v>3</v>
      </c>
      <c r="D2516" s="13" t="s">
        <v>22</v>
      </c>
      <c r="E2516" s="17" t="s">
        <v>19</v>
      </c>
      <c r="F2516" s="18">
        <v>6.0000000000000001E-3</v>
      </c>
      <c r="G2516" s="19">
        <f>VLOOKUP(D2516,upahbahan,3,FALSE)</f>
        <v>175000</v>
      </c>
      <c r="H2516" s="19">
        <f t="shared" si="253"/>
        <v>1050</v>
      </c>
    </row>
    <row r="2517" spans="3:9" x14ac:dyDescent="0.3">
      <c r="C2517" s="16">
        <v>4</v>
      </c>
      <c r="D2517" s="13" t="s">
        <v>23</v>
      </c>
      <c r="E2517" s="17" t="s">
        <v>19</v>
      </c>
      <c r="F2517" s="18">
        <v>2E-3</v>
      </c>
      <c r="G2517" s="19">
        <f>VLOOKUP(D2517,upahbahan,3,FALSE)</f>
        <v>200000</v>
      </c>
      <c r="H2517" s="19">
        <f t="shared" si="253"/>
        <v>400</v>
      </c>
    </row>
    <row r="2518" spans="3:9" x14ac:dyDescent="0.3">
      <c r="C2518" s="21" t="s">
        <v>24</v>
      </c>
      <c r="D2518" s="22"/>
      <c r="E2518" s="22"/>
      <c r="F2518" s="54"/>
      <c r="G2518" s="24"/>
      <c r="H2518" s="19">
        <f>SUM(H2514:H2517)</f>
        <v>13750</v>
      </c>
      <c r="I2518" s="25"/>
    </row>
    <row r="2519" spans="3:9" x14ac:dyDescent="0.25">
      <c r="C2519" s="12" t="s">
        <v>25</v>
      </c>
      <c r="D2519" s="13" t="s">
        <v>26</v>
      </c>
      <c r="E2519" s="14"/>
      <c r="F2519" s="55"/>
      <c r="G2519" s="14"/>
      <c r="H2519" s="14"/>
    </row>
    <row r="2520" spans="3:9" x14ac:dyDescent="0.3">
      <c r="C2520" s="63" t="s">
        <v>202</v>
      </c>
      <c r="D2520" s="26" t="s">
        <v>504</v>
      </c>
      <c r="E2520" s="27" t="s">
        <v>28</v>
      </c>
      <c r="F2520" s="59">
        <v>1.1000000000000001</v>
      </c>
      <c r="G2520" s="19">
        <f>VLOOKUP(D2520,upahbahan,3,FALSE)</f>
        <v>17667</v>
      </c>
      <c r="H2520" s="19">
        <f t="shared" ref="H2520:H2523" si="254">F2520*G2520</f>
        <v>19433.7</v>
      </c>
    </row>
    <row r="2521" spans="3:9" x14ac:dyDescent="0.3">
      <c r="C2521" s="63" t="s">
        <v>204</v>
      </c>
      <c r="D2521" s="26" t="s">
        <v>505</v>
      </c>
      <c r="E2521" s="27" t="s">
        <v>506</v>
      </c>
      <c r="F2521" s="59">
        <v>1.2</v>
      </c>
      <c r="G2521" s="19">
        <f>VLOOKUP(D2521,upahbahan,3,FALSE)</f>
        <v>300000</v>
      </c>
      <c r="H2521" s="19">
        <f t="shared" si="254"/>
        <v>360000</v>
      </c>
    </row>
    <row r="2522" spans="3:9" x14ac:dyDescent="0.3">
      <c r="C2522" s="63" t="s">
        <v>507</v>
      </c>
      <c r="D2522" s="26" t="s">
        <v>508</v>
      </c>
      <c r="E2522" s="27" t="s">
        <v>506</v>
      </c>
      <c r="F2522" s="59">
        <v>2</v>
      </c>
      <c r="G2522" s="19">
        <f>VLOOKUP(D2522,upahbahan,3,FALSE)</f>
        <v>1000</v>
      </c>
      <c r="H2522" s="19">
        <f t="shared" si="254"/>
        <v>2000</v>
      </c>
    </row>
    <row r="2523" spans="3:9" x14ac:dyDescent="0.3">
      <c r="C2523" s="63" t="s">
        <v>509</v>
      </c>
      <c r="D2523" s="26" t="s">
        <v>510</v>
      </c>
      <c r="E2523" s="27" t="s">
        <v>506</v>
      </c>
      <c r="F2523" s="59">
        <v>1</v>
      </c>
      <c r="G2523" s="19">
        <f>VLOOKUP(D2523,upahbahan,3,FALSE)</f>
        <v>6000</v>
      </c>
      <c r="H2523" s="19">
        <f t="shared" si="254"/>
        <v>6000</v>
      </c>
    </row>
    <row r="2524" spans="3:9" x14ac:dyDescent="0.3">
      <c r="C2524" s="21" t="s">
        <v>29</v>
      </c>
      <c r="D2524" s="22"/>
      <c r="E2524" s="22"/>
      <c r="F2524" s="22"/>
      <c r="G2524" s="28"/>
      <c r="H2524" s="19">
        <f>SUM(H2520:H2523)</f>
        <v>387433.7</v>
      </c>
    </row>
    <row r="2525" spans="3:9" x14ac:dyDescent="0.25">
      <c r="C2525" s="12" t="s">
        <v>30</v>
      </c>
      <c r="D2525" s="13" t="s">
        <v>31</v>
      </c>
      <c r="E2525" s="14"/>
      <c r="F2525" s="14"/>
      <c r="G2525" s="14"/>
      <c r="H2525" s="14"/>
    </row>
    <row r="2526" spans="3:9" x14ac:dyDescent="0.3">
      <c r="C2526" s="21" t="s">
        <v>32</v>
      </c>
      <c r="D2526" s="22"/>
      <c r="E2526" s="22"/>
      <c r="F2526" s="22"/>
      <c r="G2526" s="28"/>
      <c r="H2526" s="29">
        <v>0</v>
      </c>
    </row>
    <row r="2527" spans="3:9" x14ac:dyDescent="0.3">
      <c r="C2527" s="30" t="s">
        <v>33</v>
      </c>
      <c r="D2527" s="31" t="s">
        <v>34</v>
      </c>
      <c r="E2527" s="32"/>
      <c r="F2527" s="32"/>
      <c r="G2527" s="33"/>
      <c r="H2527" s="46">
        <f>H2526+H2524+H2518</f>
        <v>401183.7</v>
      </c>
      <c r="I2527" s="47"/>
    </row>
    <row r="2528" spans="3:9" x14ac:dyDescent="0.3">
      <c r="C2528" s="30" t="s">
        <v>35</v>
      </c>
      <c r="D2528" s="31" t="s">
        <v>36</v>
      </c>
      <c r="E2528" s="32"/>
      <c r="F2528" s="33"/>
      <c r="G2528" s="34">
        <f>$M$9</f>
        <v>0.1</v>
      </c>
      <c r="H2528" s="19">
        <f>H2527*G2528</f>
        <v>40118.370000000003</v>
      </c>
      <c r="I2528" s="47"/>
    </row>
    <row r="2529" spans="3:11" x14ac:dyDescent="0.3">
      <c r="C2529" s="30" t="s">
        <v>37</v>
      </c>
      <c r="D2529" s="31" t="s">
        <v>38</v>
      </c>
      <c r="E2529" s="32"/>
      <c r="F2529" s="32"/>
      <c r="G2529" s="33"/>
      <c r="H2529" s="48">
        <f>SUM(H2527:H2528)</f>
        <v>441302.07</v>
      </c>
      <c r="I2529" s="47"/>
    </row>
    <row r="2531" spans="3:11" x14ac:dyDescent="0.3">
      <c r="C2531" s="40" t="s">
        <v>511</v>
      </c>
      <c r="D2531" s="68" t="s">
        <v>512</v>
      </c>
      <c r="E2531" s="44"/>
      <c r="F2531" s="44"/>
      <c r="G2531" s="44"/>
      <c r="H2531" s="44"/>
      <c r="I2531" s="10">
        <f>ROUNDDOWN(H2546,0)</f>
        <v>968946</v>
      </c>
      <c r="J2531" s="15" t="s">
        <v>513</v>
      </c>
      <c r="K2531" s="39"/>
    </row>
    <row r="2532" spans="3:11" ht="27.6" x14ac:dyDescent="0.3">
      <c r="C2532" s="11" t="s">
        <v>9</v>
      </c>
      <c r="D2532" s="11" t="s">
        <v>10</v>
      </c>
      <c r="E2532" s="11" t="s">
        <v>11</v>
      </c>
      <c r="F2532" s="11" t="s">
        <v>12</v>
      </c>
      <c r="G2532" s="11" t="s">
        <v>13</v>
      </c>
      <c r="H2532" s="11" t="s">
        <v>14</v>
      </c>
    </row>
    <row r="2533" spans="3:11" x14ac:dyDescent="0.25">
      <c r="C2533" s="12" t="s">
        <v>15</v>
      </c>
      <c r="D2533" s="13" t="s">
        <v>16</v>
      </c>
      <c r="E2533" s="14"/>
      <c r="F2533" s="14"/>
      <c r="G2533" s="14"/>
      <c r="H2533" s="14"/>
    </row>
    <row r="2534" spans="3:11" x14ac:dyDescent="0.3">
      <c r="C2534" s="16">
        <v>1</v>
      </c>
      <c r="D2534" s="13" t="s">
        <v>18</v>
      </c>
      <c r="E2534" s="17" t="s">
        <v>19</v>
      </c>
      <c r="F2534" s="18">
        <v>0.17899999999999999</v>
      </c>
      <c r="G2534" s="19">
        <f>VLOOKUP(D2534,upahbahan,3,FALSE)</f>
        <v>100000</v>
      </c>
      <c r="H2534" s="19">
        <f t="shared" ref="H2534:H2537" si="255">F2534*G2534</f>
        <v>17900</v>
      </c>
    </row>
    <row r="2535" spans="3:11" x14ac:dyDescent="0.3">
      <c r="C2535" s="16">
        <v>2</v>
      </c>
      <c r="D2535" s="13" t="s">
        <v>214</v>
      </c>
      <c r="E2535" s="17" t="s">
        <v>19</v>
      </c>
      <c r="F2535" s="18">
        <v>0.29799999999999999</v>
      </c>
      <c r="G2535" s="19">
        <f>VLOOKUP(D2535,upahbahan,3,FALSE)</f>
        <v>145000</v>
      </c>
      <c r="H2535" s="19">
        <f t="shared" si="255"/>
        <v>43210</v>
      </c>
    </row>
    <row r="2536" spans="3:11" x14ac:dyDescent="0.3">
      <c r="C2536" s="16">
        <v>3</v>
      </c>
      <c r="D2536" s="13" t="s">
        <v>22</v>
      </c>
      <c r="E2536" s="17" t="s">
        <v>19</v>
      </c>
      <c r="F2536" s="18">
        <v>0.03</v>
      </c>
      <c r="G2536" s="19">
        <f>VLOOKUP(D2536,upahbahan,3,FALSE)</f>
        <v>175000</v>
      </c>
      <c r="H2536" s="19">
        <f t="shared" si="255"/>
        <v>5250</v>
      </c>
    </row>
    <row r="2537" spans="3:11" x14ac:dyDescent="0.3">
      <c r="C2537" s="16">
        <v>4</v>
      </c>
      <c r="D2537" s="13" t="s">
        <v>23</v>
      </c>
      <c r="E2537" s="17" t="s">
        <v>19</v>
      </c>
      <c r="F2537" s="18">
        <v>0.01</v>
      </c>
      <c r="G2537" s="19">
        <f>VLOOKUP(D2537,upahbahan,3,FALSE)</f>
        <v>200000</v>
      </c>
      <c r="H2537" s="19">
        <f t="shared" si="255"/>
        <v>2000</v>
      </c>
    </row>
    <row r="2538" spans="3:11" x14ac:dyDescent="0.3">
      <c r="C2538" s="21" t="s">
        <v>24</v>
      </c>
      <c r="D2538" s="22"/>
      <c r="E2538" s="22"/>
      <c r="F2538" s="54"/>
      <c r="G2538" s="24"/>
      <c r="H2538" s="19">
        <f>SUM(H2534:H2537)</f>
        <v>68360</v>
      </c>
      <c r="I2538" s="25"/>
    </row>
    <row r="2539" spans="3:11" x14ac:dyDescent="0.25">
      <c r="C2539" s="12" t="s">
        <v>25</v>
      </c>
      <c r="D2539" s="13" t="s">
        <v>26</v>
      </c>
      <c r="E2539" s="14"/>
      <c r="F2539" s="55"/>
      <c r="G2539" s="14"/>
      <c r="H2539" s="14"/>
    </row>
    <row r="2540" spans="3:11" x14ac:dyDescent="0.3">
      <c r="C2540" s="63" t="s">
        <v>202</v>
      </c>
      <c r="D2540" s="26" t="s">
        <v>514</v>
      </c>
      <c r="E2540" s="27" t="s">
        <v>28</v>
      </c>
      <c r="F2540" s="59">
        <v>1.25</v>
      </c>
      <c r="G2540" s="19">
        <f>VLOOKUP(D2540,upahbahan,3,FALSE)</f>
        <v>650000</v>
      </c>
      <c r="H2540" s="19">
        <f t="shared" ref="H2540" si="256">F2540*G2540</f>
        <v>812500</v>
      </c>
    </row>
    <row r="2541" spans="3:11" x14ac:dyDescent="0.3">
      <c r="C2541" s="21" t="s">
        <v>29</v>
      </c>
      <c r="D2541" s="22"/>
      <c r="E2541" s="22"/>
      <c r="F2541" s="22"/>
      <c r="G2541" s="28"/>
      <c r="H2541" s="19">
        <f>SUM(H2540:H2540)</f>
        <v>812500</v>
      </c>
    </row>
    <row r="2542" spans="3:11" x14ac:dyDescent="0.25">
      <c r="C2542" s="12" t="s">
        <v>30</v>
      </c>
      <c r="D2542" s="13" t="s">
        <v>31</v>
      </c>
      <c r="E2542" s="14"/>
      <c r="F2542" s="14"/>
      <c r="G2542" s="14"/>
      <c r="H2542" s="14"/>
    </row>
    <row r="2543" spans="3:11" x14ac:dyDescent="0.3">
      <c r="C2543" s="21" t="s">
        <v>32</v>
      </c>
      <c r="D2543" s="22"/>
      <c r="E2543" s="22"/>
      <c r="F2543" s="22"/>
      <c r="G2543" s="28"/>
      <c r="H2543" s="29">
        <v>0</v>
      </c>
    </row>
    <row r="2544" spans="3:11" x14ac:dyDescent="0.3">
      <c r="C2544" s="30" t="s">
        <v>33</v>
      </c>
      <c r="D2544" s="31" t="s">
        <v>34</v>
      </c>
      <c r="E2544" s="32"/>
      <c r="F2544" s="32"/>
      <c r="G2544" s="33"/>
      <c r="H2544" s="46">
        <f>H2543+H2541+H2538</f>
        <v>880860</v>
      </c>
      <c r="I2544" s="47"/>
    </row>
    <row r="2545" spans="3:11" x14ac:dyDescent="0.3">
      <c r="C2545" s="30" t="s">
        <v>35</v>
      </c>
      <c r="D2545" s="31" t="s">
        <v>36</v>
      </c>
      <c r="E2545" s="32"/>
      <c r="F2545" s="33"/>
      <c r="G2545" s="34">
        <f>$M$9</f>
        <v>0.1</v>
      </c>
      <c r="H2545" s="19">
        <f>H2544*G2545</f>
        <v>88086</v>
      </c>
      <c r="I2545" s="47"/>
    </row>
    <row r="2546" spans="3:11" x14ac:dyDescent="0.3">
      <c r="C2546" s="30" t="s">
        <v>37</v>
      </c>
      <c r="D2546" s="31" t="s">
        <v>38</v>
      </c>
      <c r="E2546" s="32"/>
      <c r="F2546" s="32"/>
      <c r="G2546" s="33"/>
      <c r="H2546" s="48">
        <f>SUM(H2544:H2545)</f>
        <v>968946</v>
      </c>
      <c r="I2546" s="47"/>
    </row>
    <row r="2548" spans="3:11" x14ac:dyDescent="0.3">
      <c r="C2548" s="40" t="s">
        <v>515</v>
      </c>
      <c r="D2548" s="68" t="s">
        <v>516</v>
      </c>
      <c r="E2548" s="44"/>
      <c r="F2548" s="44"/>
      <c r="G2548" s="44"/>
      <c r="H2548" s="44"/>
      <c r="I2548" s="10">
        <f>ROUNDDOWN(H2563,0)</f>
        <v>996446</v>
      </c>
      <c r="J2548" s="15" t="s">
        <v>513</v>
      </c>
      <c r="K2548" s="39"/>
    </row>
    <row r="2549" spans="3:11" ht="27.6" x14ac:dyDescent="0.3">
      <c r="C2549" s="11" t="s">
        <v>9</v>
      </c>
      <c r="D2549" s="11" t="s">
        <v>10</v>
      </c>
      <c r="E2549" s="11" t="s">
        <v>11</v>
      </c>
      <c r="F2549" s="11" t="s">
        <v>12</v>
      </c>
      <c r="G2549" s="11" t="s">
        <v>13</v>
      </c>
      <c r="H2549" s="11" t="s">
        <v>14</v>
      </c>
    </row>
    <row r="2550" spans="3:11" x14ac:dyDescent="0.25">
      <c r="C2550" s="12" t="s">
        <v>15</v>
      </c>
      <c r="D2550" s="13" t="s">
        <v>16</v>
      </c>
      <c r="E2550" s="14"/>
      <c r="F2550" s="14"/>
      <c r="G2550" s="14"/>
      <c r="H2550" s="14"/>
    </row>
    <row r="2551" spans="3:11" x14ac:dyDescent="0.3">
      <c r="C2551" s="16">
        <v>1</v>
      </c>
      <c r="D2551" s="13" t="s">
        <v>18</v>
      </c>
      <c r="E2551" s="17" t="s">
        <v>19</v>
      </c>
      <c r="F2551" s="18">
        <v>0.17899999999999999</v>
      </c>
      <c r="G2551" s="19">
        <f>VLOOKUP(D2551,upahbahan,3,FALSE)</f>
        <v>100000</v>
      </c>
      <c r="H2551" s="19">
        <f t="shared" ref="H2551:H2554" si="257">F2551*G2551</f>
        <v>17900</v>
      </c>
    </row>
    <row r="2552" spans="3:11" x14ac:dyDescent="0.3">
      <c r="C2552" s="16">
        <v>2</v>
      </c>
      <c r="D2552" s="13" t="s">
        <v>214</v>
      </c>
      <c r="E2552" s="17" t="s">
        <v>19</v>
      </c>
      <c r="F2552" s="18">
        <v>0.29799999999999999</v>
      </c>
      <c r="G2552" s="19">
        <f>VLOOKUP(D2552,upahbahan,3,FALSE)</f>
        <v>145000</v>
      </c>
      <c r="H2552" s="19">
        <f t="shared" si="257"/>
        <v>43210</v>
      </c>
    </row>
    <row r="2553" spans="3:11" x14ac:dyDescent="0.3">
      <c r="C2553" s="16">
        <v>3</v>
      </c>
      <c r="D2553" s="13" t="s">
        <v>22</v>
      </c>
      <c r="E2553" s="17" t="s">
        <v>19</v>
      </c>
      <c r="F2553" s="18">
        <v>0.03</v>
      </c>
      <c r="G2553" s="19">
        <f>VLOOKUP(D2553,upahbahan,3,FALSE)</f>
        <v>175000</v>
      </c>
      <c r="H2553" s="19">
        <f t="shared" si="257"/>
        <v>5250</v>
      </c>
    </row>
    <row r="2554" spans="3:11" x14ac:dyDescent="0.3">
      <c r="C2554" s="16">
        <v>4</v>
      </c>
      <c r="D2554" s="13" t="s">
        <v>23</v>
      </c>
      <c r="E2554" s="17" t="s">
        <v>19</v>
      </c>
      <c r="F2554" s="18">
        <v>0.01</v>
      </c>
      <c r="G2554" s="19">
        <f>VLOOKUP(D2554,upahbahan,3,FALSE)</f>
        <v>200000</v>
      </c>
      <c r="H2554" s="19">
        <f t="shared" si="257"/>
        <v>2000</v>
      </c>
    </row>
    <row r="2555" spans="3:11" x14ac:dyDescent="0.3">
      <c r="C2555" s="21" t="s">
        <v>24</v>
      </c>
      <c r="D2555" s="22"/>
      <c r="E2555" s="22"/>
      <c r="F2555" s="54"/>
      <c r="G2555" s="24"/>
      <c r="H2555" s="19">
        <f>SUM(H2551:H2554)</f>
        <v>68360</v>
      </c>
      <c r="I2555" s="25"/>
    </row>
    <row r="2556" spans="3:11" x14ac:dyDescent="0.25">
      <c r="C2556" s="12" t="s">
        <v>25</v>
      </c>
      <c r="D2556" s="13" t="s">
        <v>26</v>
      </c>
      <c r="E2556" s="14"/>
      <c r="F2556" s="55"/>
      <c r="G2556" s="14"/>
      <c r="H2556" s="14"/>
    </row>
    <row r="2557" spans="3:11" x14ac:dyDescent="0.3">
      <c r="C2557" s="63" t="s">
        <v>202</v>
      </c>
      <c r="D2557" s="26" t="s">
        <v>517</v>
      </c>
      <c r="E2557" s="27" t="s">
        <v>28</v>
      </c>
      <c r="F2557" s="59">
        <v>1.25</v>
      </c>
      <c r="G2557" s="19">
        <f>VLOOKUP(D2557,upahbahan,3,FALSE)</f>
        <v>670000</v>
      </c>
      <c r="H2557" s="19">
        <f t="shared" ref="H2557" si="258">F2557*G2557</f>
        <v>837500</v>
      </c>
    </row>
    <row r="2558" spans="3:11" x14ac:dyDescent="0.3">
      <c r="C2558" s="21" t="s">
        <v>29</v>
      </c>
      <c r="D2558" s="22"/>
      <c r="E2558" s="22"/>
      <c r="F2558" s="22"/>
      <c r="G2558" s="28"/>
      <c r="H2558" s="19">
        <f>SUM(H2557:H2557)</f>
        <v>837500</v>
      </c>
    </row>
    <row r="2559" spans="3:11" x14ac:dyDescent="0.25">
      <c r="C2559" s="12" t="s">
        <v>30</v>
      </c>
      <c r="D2559" s="13" t="s">
        <v>31</v>
      </c>
      <c r="E2559" s="14"/>
      <c r="F2559" s="14"/>
      <c r="G2559" s="14"/>
      <c r="H2559" s="14"/>
    </row>
    <row r="2560" spans="3:11" x14ac:dyDescent="0.3">
      <c r="C2560" s="21" t="s">
        <v>32</v>
      </c>
      <c r="D2560" s="22"/>
      <c r="E2560" s="22"/>
      <c r="F2560" s="22"/>
      <c r="G2560" s="28"/>
      <c r="H2560" s="29">
        <v>0</v>
      </c>
    </row>
    <row r="2561" spans="3:11" x14ac:dyDescent="0.3">
      <c r="C2561" s="30" t="s">
        <v>33</v>
      </c>
      <c r="D2561" s="31" t="s">
        <v>34</v>
      </c>
      <c r="E2561" s="32"/>
      <c r="F2561" s="32"/>
      <c r="G2561" s="33"/>
      <c r="H2561" s="46">
        <f>H2560+H2558+H2555</f>
        <v>905860</v>
      </c>
      <c r="I2561" s="47"/>
    </row>
    <row r="2562" spans="3:11" x14ac:dyDescent="0.3">
      <c r="C2562" s="30" t="s">
        <v>35</v>
      </c>
      <c r="D2562" s="31" t="s">
        <v>36</v>
      </c>
      <c r="E2562" s="32"/>
      <c r="F2562" s="33"/>
      <c r="G2562" s="34">
        <f>$M$9</f>
        <v>0.1</v>
      </c>
      <c r="H2562" s="19">
        <f>H2561*G2562</f>
        <v>90586</v>
      </c>
      <c r="I2562" s="47"/>
    </row>
    <row r="2563" spans="3:11" x14ac:dyDescent="0.3">
      <c r="C2563" s="30" t="s">
        <v>37</v>
      </c>
      <c r="D2563" s="31" t="s">
        <v>38</v>
      </c>
      <c r="E2563" s="32"/>
      <c r="F2563" s="32"/>
      <c r="G2563" s="33"/>
      <c r="H2563" s="48">
        <f>SUM(H2561:H2562)</f>
        <v>996446</v>
      </c>
      <c r="I2563" s="47"/>
    </row>
    <row r="2565" spans="3:11" x14ac:dyDescent="0.3">
      <c r="C2565" s="40" t="s">
        <v>518</v>
      </c>
      <c r="D2565" s="68" t="s">
        <v>519</v>
      </c>
      <c r="E2565" s="44"/>
      <c r="F2565" s="44"/>
      <c r="G2565" s="44"/>
      <c r="H2565" s="44"/>
      <c r="I2565" s="10">
        <f>ROUNDDOWN(H2580,0)</f>
        <v>1051446</v>
      </c>
      <c r="J2565" s="15" t="s">
        <v>513</v>
      </c>
      <c r="K2565" s="39"/>
    </row>
    <row r="2566" spans="3:11" ht="27.6" x14ac:dyDescent="0.3">
      <c r="C2566" s="11" t="s">
        <v>9</v>
      </c>
      <c r="D2566" s="11" t="s">
        <v>10</v>
      </c>
      <c r="E2566" s="11" t="s">
        <v>11</v>
      </c>
      <c r="F2566" s="11" t="s">
        <v>12</v>
      </c>
      <c r="G2566" s="11" t="s">
        <v>13</v>
      </c>
      <c r="H2566" s="11" t="s">
        <v>14</v>
      </c>
    </row>
    <row r="2567" spans="3:11" x14ac:dyDescent="0.25">
      <c r="C2567" s="12" t="s">
        <v>15</v>
      </c>
      <c r="D2567" s="13" t="s">
        <v>16</v>
      </c>
      <c r="E2567" s="14"/>
      <c r="F2567" s="14"/>
      <c r="G2567" s="14"/>
      <c r="H2567" s="14"/>
    </row>
    <row r="2568" spans="3:11" x14ac:dyDescent="0.3">
      <c r="C2568" s="16">
        <v>1</v>
      </c>
      <c r="D2568" s="13" t="s">
        <v>18</v>
      </c>
      <c r="E2568" s="17" t="s">
        <v>19</v>
      </c>
      <c r="F2568" s="18">
        <v>0.17899999999999999</v>
      </c>
      <c r="G2568" s="19">
        <f>VLOOKUP(D2568,upahbahan,3,FALSE)</f>
        <v>100000</v>
      </c>
      <c r="H2568" s="19">
        <f t="shared" ref="H2568:H2571" si="259">F2568*G2568</f>
        <v>17900</v>
      </c>
    </row>
    <row r="2569" spans="3:11" x14ac:dyDescent="0.3">
      <c r="C2569" s="16">
        <v>2</v>
      </c>
      <c r="D2569" s="13" t="s">
        <v>214</v>
      </c>
      <c r="E2569" s="17" t="s">
        <v>19</v>
      </c>
      <c r="F2569" s="18">
        <v>0.29799999999999999</v>
      </c>
      <c r="G2569" s="19">
        <f>VLOOKUP(D2569,upahbahan,3,FALSE)</f>
        <v>145000</v>
      </c>
      <c r="H2569" s="19">
        <f t="shared" si="259"/>
        <v>43210</v>
      </c>
    </row>
    <row r="2570" spans="3:11" x14ac:dyDescent="0.3">
      <c r="C2570" s="16">
        <v>3</v>
      </c>
      <c r="D2570" s="13" t="s">
        <v>22</v>
      </c>
      <c r="E2570" s="17" t="s">
        <v>19</v>
      </c>
      <c r="F2570" s="18">
        <v>0.03</v>
      </c>
      <c r="G2570" s="19">
        <f>VLOOKUP(D2570,upahbahan,3,FALSE)</f>
        <v>175000</v>
      </c>
      <c r="H2570" s="19">
        <f t="shared" si="259"/>
        <v>5250</v>
      </c>
    </row>
    <row r="2571" spans="3:11" x14ac:dyDescent="0.3">
      <c r="C2571" s="16">
        <v>4</v>
      </c>
      <c r="D2571" s="13" t="s">
        <v>23</v>
      </c>
      <c r="E2571" s="17" t="s">
        <v>19</v>
      </c>
      <c r="F2571" s="18">
        <v>0.01</v>
      </c>
      <c r="G2571" s="19">
        <f>VLOOKUP(D2571,upahbahan,3,FALSE)</f>
        <v>200000</v>
      </c>
      <c r="H2571" s="19">
        <f t="shared" si="259"/>
        <v>2000</v>
      </c>
    </row>
    <row r="2572" spans="3:11" x14ac:dyDescent="0.3">
      <c r="C2572" s="21" t="s">
        <v>24</v>
      </c>
      <c r="D2572" s="22"/>
      <c r="E2572" s="22"/>
      <c r="F2572" s="54"/>
      <c r="G2572" s="24"/>
      <c r="H2572" s="19">
        <f>SUM(H2568:H2571)</f>
        <v>68360</v>
      </c>
      <c r="I2572" s="25"/>
    </row>
    <row r="2573" spans="3:11" x14ac:dyDescent="0.25">
      <c r="C2573" s="12" t="s">
        <v>25</v>
      </c>
      <c r="D2573" s="13" t="s">
        <v>26</v>
      </c>
      <c r="E2573" s="14"/>
      <c r="F2573" s="55"/>
      <c r="G2573" s="14"/>
      <c r="H2573" s="14"/>
    </row>
    <row r="2574" spans="3:11" x14ac:dyDescent="0.3">
      <c r="C2574" s="63" t="s">
        <v>202</v>
      </c>
      <c r="D2574" s="26" t="s">
        <v>520</v>
      </c>
      <c r="E2574" s="27" t="s">
        <v>28</v>
      </c>
      <c r="F2574" s="59">
        <v>1.25</v>
      </c>
      <c r="G2574" s="19">
        <f>VLOOKUP(D2574,upahbahan,3,FALSE)</f>
        <v>710000</v>
      </c>
      <c r="H2574" s="19">
        <f t="shared" ref="H2574" si="260">F2574*G2574</f>
        <v>887500</v>
      </c>
    </row>
    <row r="2575" spans="3:11" x14ac:dyDescent="0.3">
      <c r="C2575" s="21" t="s">
        <v>29</v>
      </c>
      <c r="D2575" s="22"/>
      <c r="E2575" s="22"/>
      <c r="F2575" s="22"/>
      <c r="G2575" s="28"/>
      <c r="H2575" s="19">
        <f>SUM(H2574:H2574)</f>
        <v>887500</v>
      </c>
    </row>
    <row r="2576" spans="3:11" x14ac:dyDescent="0.25">
      <c r="C2576" s="12" t="s">
        <v>30</v>
      </c>
      <c r="D2576" s="13" t="s">
        <v>31</v>
      </c>
      <c r="E2576" s="14"/>
      <c r="F2576" s="14"/>
      <c r="G2576" s="14"/>
      <c r="H2576" s="14"/>
    </row>
    <row r="2577" spans="3:11" x14ac:dyDescent="0.3">
      <c r="C2577" s="21" t="s">
        <v>32</v>
      </c>
      <c r="D2577" s="22"/>
      <c r="E2577" s="22"/>
      <c r="F2577" s="22"/>
      <c r="G2577" s="28"/>
      <c r="H2577" s="29">
        <v>0</v>
      </c>
    </row>
    <row r="2578" spans="3:11" x14ac:dyDescent="0.3">
      <c r="C2578" s="30" t="s">
        <v>33</v>
      </c>
      <c r="D2578" s="31" t="s">
        <v>34</v>
      </c>
      <c r="E2578" s="32"/>
      <c r="F2578" s="32"/>
      <c r="G2578" s="33"/>
      <c r="H2578" s="46">
        <f>H2577+H2575+H2572</f>
        <v>955860</v>
      </c>
      <c r="I2578" s="47"/>
    </row>
    <row r="2579" spans="3:11" x14ac:dyDescent="0.3">
      <c r="C2579" s="30" t="s">
        <v>35</v>
      </c>
      <c r="D2579" s="31" t="s">
        <v>36</v>
      </c>
      <c r="E2579" s="32"/>
      <c r="F2579" s="33"/>
      <c r="G2579" s="34">
        <f>$M$9</f>
        <v>0.1</v>
      </c>
      <c r="H2579" s="19">
        <f>H2578*G2579</f>
        <v>95586</v>
      </c>
      <c r="I2579" s="47"/>
    </row>
    <row r="2580" spans="3:11" x14ac:dyDescent="0.3">
      <c r="C2580" s="30" t="s">
        <v>37</v>
      </c>
      <c r="D2580" s="31" t="s">
        <v>38</v>
      </c>
      <c r="E2580" s="32"/>
      <c r="F2580" s="32"/>
      <c r="G2580" s="33"/>
      <c r="H2580" s="48">
        <f>SUM(H2578:H2579)</f>
        <v>1051446</v>
      </c>
      <c r="I2580" s="47"/>
    </row>
    <row r="2582" spans="3:11" x14ac:dyDescent="0.3">
      <c r="C2582" s="40" t="s">
        <v>521</v>
      </c>
      <c r="D2582" s="68" t="s">
        <v>522</v>
      </c>
      <c r="E2582" s="44"/>
      <c r="F2582" s="44"/>
      <c r="G2582" s="44"/>
      <c r="H2582" s="44"/>
      <c r="I2582" s="10">
        <f>ROUNDDOWN(H2597,0)</f>
        <v>1106446</v>
      </c>
      <c r="J2582" s="15" t="s">
        <v>513</v>
      </c>
      <c r="K2582" s="39"/>
    </row>
    <row r="2583" spans="3:11" ht="27.6" x14ac:dyDescent="0.3">
      <c r="C2583" s="11" t="s">
        <v>9</v>
      </c>
      <c r="D2583" s="11" t="s">
        <v>10</v>
      </c>
      <c r="E2583" s="11" t="s">
        <v>11</v>
      </c>
      <c r="F2583" s="11" t="s">
        <v>12</v>
      </c>
      <c r="G2583" s="11" t="s">
        <v>13</v>
      </c>
      <c r="H2583" s="11" t="s">
        <v>14</v>
      </c>
    </row>
    <row r="2584" spans="3:11" x14ac:dyDescent="0.25">
      <c r="C2584" s="12" t="s">
        <v>15</v>
      </c>
      <c r="D2584" s="13" t="s">
        <v>16</v>
      </c>
      <c r="E2584" s="14"/>
      <c r="F2584" s="14"/>
      <c r="G2584" s="14"/>
      <c r="H2584" s="14"/>
    </row>
    <row r="2585" spans="3:11" x14ac:dyDescent="0.3">
      <c r="C2585" s="16">
        <v>1</v>
      </c>
      <c r="D2585" s="13" t="s">
        <v>18</v>
      </c>
      <c r="E2585" s="17" t="s">
        <v>19</v>
      </c>
      <c r="F2585" s="18">
        <v>0.17899999999999999</v>
      </c>
      <c r="G2585" s="19">
        <f>VLOOKUP(D2585,upahbahan,3,FALSE)</f>
        <v>100000</v>
      </c>
      <c r="H2585" s="19">
        <f t="shared" ref="H2585:H2588" si="261">F2585*G2585</f>
        <v>17900</v>
      </c>
    </row>
    <row r="2586" spans="3:11" x14ac:dyDescent="0.3">
      <c r="C2586" s="16">
        <v>2</v>
      </c>
      <c r="D2586" s="13" t="s">
        <v>214</v>
      </c>
      <c r="E2586" s="17" t="s">
        <v>19</v>
      </c>
      <c r="F2586" s="18">
        <v>0.29799999999999999</v>
      </c>
      <c r="G2586" s="19">
        <f>VLOOKUP(D2586,upahbahan,3,FALSE)</f>
        <v>145000</v>
      </c>
      <c r="H2586" s="19">
        <f t="shared" si="261"/>
        <v>43210</v>
      </c>
    </row>
    <row r="2587" spans="3:11" x14ac:dyDescent="0.3">
      <c r="C2587" s="16">
        <v>3</v>
      </c>
      <c r="D2587" s="13" t="s">
        <v>22</v>
      </c>
      <c r="E2587" s="17" t="s">
        <v>19</v>
      </c>
      <c r="F2587" s="18">
        <v>0.03</v>
      </c>
      <c r="G2587" s="19">
        <f>VLOOKUP(D2587,upahbahan,3,FALSE)</f>
        <v>175000</v>
      </c>
      <c r="H2587" s="19">
        <f t="shared" si="261"/>
        <v>5250</v>
      </c>
    </row>
    <row r="2588" spans="3:11" x14ac:dyDescent="0.3">
      <c r="C2588" s="16">
        <v>4</v>
      </c>
      <c r="D2588" s="13" t="s">
        <v>23</v>
      </c>
      <c r="E2588" s="17" t="s">
        <v>19</v>
      </c>
      <c r="F2588" s="18">
        <v>0.01</v>
      </c>
      <c r="G2588" s="19">
        <f>VLOOKUP(D2588,upahbahan,3,FALSE)</f>
        <v>200000</v>
      </c>
      <c r="H2588" s="19">
        <f t="shared" si="261"/>
        <v>2000</v>
      </c>
    </row>
    <row r="2589" spans="3:11" x14ac:dyDescent="0.3">
      <c r="C2589" s="21" t="s">
        <v>24</v>
      </c>
      <c r="D2589" s="22"/>
      <c r="E2589" s="22"/>
      <c r="F2589" s="54"/>
      <c r="G2589" s="24"/>
      <c r="H2589" s="19">
        <f>SUM(H2585:H2588)</f>
        <v>68360</v>
      </c>
      <c r="I2589" s="25"/>
    </row>
    <row r="2590" spans="3:11" x14ac:dyDescent="0.25">
      <c r="C2590" s="12" t="s">
        <v>25</v>
      </c>
      <c r="D2590" s="13" t="s">
        <v>26</v>
      </c>
      <c r="E2590" s="14"/>
      <c r="F2590" s="55"/>
      <c r="G2590" s="14"/>
      <c r="H2590" s="14"/>
    </row>
    <row r="2591" spans="3:11" x14ac:dyDescent="0.3">
      <c r="C2591" s="63" t="s">
        <v>202</v>
      </c>
      <c r="D2591" s="26" t="s">
        <v>523</v>
      </c>
      <c r="E2591" s="27" t="s">
        <v>28</v>
      </c>
      <c r="F2591" s="59">
        <v>1.25</v>
      </c>
      <c r="G2591" s="19">
        <f>VLOOKUP(D2591,upahbahan,3,FALSE)</f>
        <v>750000</v>
      </c>
      <c r="H2591" s="19">
        <f t="shared" ref="H2591" si="262">F2591*G2591</f>
        <v>937500</v>
      </c>
    </row>
    <row r="2592" spans="3:11" x14ac:dyDescent="0.3">
      <c r="C2592" s="21" t="s">
        <v>29</v>
      </c>
      <c r="D2592" s="22"/>
      <c r="E2592" s="22"/>
      <c r="F2592" s="22"/>
      <c r="G2592" s="28"/>
      <c r="H2592" s="19">
        <f>SUM(H2591:H2591)</f>
        <v>937500</v>
      </c>
    </row>
    <row r="2593" spans="3:11" x14ac:dyDescent="0.25">
      <c r="C2593" s="12" t="s">
        <v>30</v>
      </c>
      <c r="D2593" s="13" t="s">
        <v>31</v>
      </c>
      <c r="E2593" s="14"/>
      <c r="F2593" s="14"/>
      <c r="G2593" s="14"/>
      <c r="H2593" s="14"/>
    </row>
    <row r="2594" spans="3:11" x14ac:dyDescent="0.3">
      <c r="C2594" s="21" t="s">
        <v>32</v>
      </c>
      <c r="D2594" s="22"/>
      <c r="E2594" s="22"/>
      <c r="F2594" s="22"/>
      <c r="G2594" s="28"/>
      <c r="H2594" s="29">
        <v>0</v>
      </c>
    </row>
    <row r="2595" spans="3:11" x14ac:dyDescent="0.3">
      <c r="C2595" s="30" t="s">
        <v>33</v>
      </c>
      <c r="D2595" s="31" t="s">
        <v>34</v>
      </c>
      <c r="E2595" s="32"/>
      <c r="F2595" s="32"/>
      <c r="G2595" s="33"/>
      <c r="H2595" s="46">
        <f>H2594+H2592+H2589</f>
        <v>1005860</v>
      </c>
      <c r="I2595" s="47"/>
    </row>
    <row r="2596" spans="3:11" x14ac:dyDescent="0.3">
      <c r="C2596" s="30" t="s">
        <v>35</v>
      </c>
      <c r="D2596" s="31" t="s">
        <v>36</v>
      </c>
      <c r="E2596" s="32"/>
      <c r="F2596" s="33"/>
      <c r="G2596" s="34">
        <f>$M$9</f>
        <v>0.1</v>
      </c>
      <c r="H2596" s="19">
        <f>H2595*G2596</f>
        <v>100586</v>
      </c>
      <c r="I2596" s="47"/>
    </row>
    <row r="2597" spans="3:11" x14ac:dyDescent="0.3">
      <c r="C2597" s="30" t="s">
        <v>37</v>
      </c>
      <c r="D2597" s="31" t="s">
        <v>38</v>
      </c>
      <c r="E2597" s="32"/>
      <c r="F2597" s="32"/>
      <c r="G2597" s="33"/>
      <c r="H2597" s="48">
        <f>SUM(H2595:H2596)</f>
        <v>1106446</v>
      </c>
      <c r="I2597" s="47"/>
    </row>
    <row r="2599" spans="3:11" x14ac:dyDescent="0.3">
      <c r="C2599" s="40" t="s">
        <v>524</v>
      </c>
      <c r="D2599" s="68" t="s">
        <v>525</v>
      </c>
      <c r="E2599" s="44"/>
      <c r="F2599" s="44"/>
      <c r="G2599" s="44"/>
      <c r="H2599" s="44"/>
      <c r="I2599" s="10">
        <f>ROUNDDOWN(H2614,0)</f>
        <v>996446</v>
      </c>
      <c r="J2599" s="15" t="s">
        <v>513</v>
      </c>
      <c r="K2599" s="39"/>
    </row>
    <row r="2600" spans="3:11" ht="27.6" x14ac:dyDescent="0.3">
      <c r="C2600" s="11" t="s">
        <v>9</v>
      </c>
      <c r="D2600" s="11" t="s">
        <v>10</v>
      </c>
      <c r="E2600" s="11" t="s">
        <v>11</v>
      </c>
      <c r="F2600" s="11" t="s">
        <v>12</v>
      </c>
      <c r="G2600" s="11" t="s">
        <v>13</v>
      </c>
      <c r="H2600" s="11" t="s">
        <v>14</v>
      </c>
    </row>
    <row r="2601" spans="3:11" x14ac:dyDescent="0.25">
      <c r="C2601" s="12" t="s">
        <v>15</v>
      </c>
      <c r="D2601" s="13" t="s">
        <v>16</v>
      </c>
      <c r="E2601" s="14"/>
      <c r="F2601" s="14"/>
      <c r="G2601" s="14"/>
      <c r="H2601" s="14"/>
    </row>
    <row r="2602" spans="3:11" x14ac:dyDescent="0.3">
      <c r="C2602" s="16">
        <v>1</v>
      </c>
      <c r="D2602" s="13" t="s">
        <v>18</v>
      </c>
      <c r="E2602" s="17" t="s">
        <v>19</v>
      </c>
      <c r="F2602" s="18">
        <v>0.17899999999999999</v>
      </c>
      <c r="G2602" s="19">
        <f>VLOOKUP(D2602,upahbahan,3,FALSE)</f>
        <v>100000</v>
      </c>
      <c r="H2602" s="19">
        <f t="shared" ref="H2602:H2605" si="263">F2602*G2602</f>
        <v>17900</v>
      </c>
    </row>
    <row r="2603" spans="3:11" x14ac:dyDescent="0.3">
      <c r="C2603" s="16">
        <v>2</v>
      </c>
      <c r="D2603" s="13" t="s">
        <v>214</v>
      </c>
      <c r="E2603" s="17" t="s">
        <v>19</v>
      </c>
      <c r="F2603" s="18">
        <v>0.29799999999999999</v>
      </c>
      <c r="G2603" s="19">
        <f>VLOOKUP(D2603,upahbahan,3,FALSE)</f>
        <v>145000</v>
      </c>
      <c r="H2603" s="19">
        <f t="shared" si="263"/>
        <v>43210</v>
      </c>
    </row>
    <row r="2604" spans="3:11" x14ac:dyDescent="0.3">
      <c r="C2604" s="16">
        <v>3</v>
      </c>
      <c r="D2604" s="13" t="s">
        <v>22</v>
      </c>
      <c r="E2604" s="17" t="s">
        <v>19</v>
      </c>
      <c r="F2604" s="18">
        <v>0.03</v>
      </c>
      <c r="G2604" s="19">
        <f>VLOOKUP(D2604,upahbahan,3,FALSE)</f>
        <v>175000</v>
      </c>
      <c r="H2604" s="19">
        <f t="shared" si="263"/>
        <v>5250</v>
      </c>
    </row>
    <row r="2605" spans="3:11" x14ac:dyDescent="0.3">
      <c r="C2605" s="16">
        <v>4</v>
      </c>
      <c r="D2605" s="13" t="s">
        <v>23</v>
      </c>
      <c r="E2605" s="17" t="s">
        <v>19</v>
      </c>
      <c r="F2605" s="18">
        <v>0.01</v>
      </c>
      <c r="G2605" s="19">
        <f>VLOOKUP(D2605,upahbahan,3,FALSE)</f>
        <v>200000</v>
      </c>
      <c r="H2605" s="19">
        <f t="shared" si="263"/>
        <v>2000</v>
      </c>
    </row>
    <row r="2606" spans="3:11" x14ac:dyDescent="0.3">
      <c r="C2606" s="21" t="s">
        <v>24</v>
      </c>
      <c r="D2606" s="22"/>
      <c r="E2606" s="22"/>
      <c r="F2606" s="54"/>
      <c r="G2606" s="24"/>
      <c r="H2606" s="19">
        <f>SUM(H2602:H2605)</f>
        <v>68360</v>
      </c>
      <c r="I2606" s="25"/>
    </row>
    <row r="2607" spans="3:11" x14ac:dyDescent="0.25">
      <c r="C2607" s="12" t="s">
        <v>25</v>
      </c>
      <c r="D2607" s="13" t="s">
        <v>26</v>
      </c>
      <c r="E2607" s="14"/>
      <c r="F2607" s="55"/>
      <c r="G2607" s="14"/>
      <c r="H2607" s="14"/>
    </row>
    <row r="2608" spans="3:11" x14ac:dyDescent="0.3">
      <c r="C2608" s="63" t="s">
        <v>202</v>
      </c>
      <c r="D2608" s="26" t="s">
        <v>526</v>
      </c>
      <c r="E2608" s="27" t="s">
        <v>28</v>
      </c>
      <c r="F2608" s="59">
        <v>1.25</v>
      </c>
      <c r="G2608" s="19">
        <f>VLOOKUP(D2608,upahbahan,3,FALSE)</f>
        <v>670000</v>
      </c>
      <c r="H2608" s="19">
        <f t="shared" ref="H2608" si="264">F2608*G2608</f>
        <v>837500</v>
      </c>
    </row>
    <row r="2609" spans="3:11" x14ac:dyDescent="0.3">
      <c r="C2609" s="21" t="s">
        <v>29</v>
      </c>
      <c r="D2609" s="22"/>
      <c r="E2609" s="22"/>
      <c r="F2609" s="22"/>
      <c r="G2609" s="28"/>
      <c r="H2609" s="19">
        <f>SUM(H2608:H2608)</f>
        <v>837500</v>
      </c>
    </row>
    <row r="2610" spans="3:11" x14ac:dyDescent="0.25">
      <c r="C2610" s="12" t="s">
        <v>30</v>
      </c>
      <c r="D2610" s="13" t="s">
        <v>31</v>
      </c>
      <c r="E2610" s="14"/>
      <c r="F2610" s="14"/>
      <c r="G2610" s="14"/>
      <c r="H2610" s="14"/>
    </row>
    <row r="2611" spans="3:11" x14ac:dyDescent="0.3">
      <c r="C2611" s="21" t="s">
        <v>32</v>
      </c>
      <c r="D2611" s="22"/>
      <c r="E2611" s="22"/>
      <c r="F2611" s="22"/>
      <c r="G2611" s="28"/>
      <c r="H2611" s="29">
        <v>0</v>
      </c>
    </row>
    <row r="2612" spans="3:11" x14ac:dyDescent="0.3">
      <c r="C2612" s="30" t="s">
        <v>33</v>
      </c>
      <c r="D2612" s="31" t="s">
        <v>34</v>
      </c>
      <c r="E2612" s="32"/>
      <c r="F2612" s="32"/>
      <c r="G2612" s="33"/>
      <c r="H2612" s="46">
        <f>H2611+H2609+H2606</f>
        <v>905860</v>
      </c>
      <c r="I2612" s="47"/>
    </row>
    <row r="2613" spans="3:11" x14ac:dyDescent="0.3">
      <c r="C2613" s="30" t="s">
        <v>35</v>
      </c>
      <c r="D2613" s="31" t="s">
        <v>36</v>
      </c>
      <c r="E2613" s="32"/>
      <c r="F2613" s="33"/>
      <c r="G2613" s="34">
        <f>$M$9</f>
        <v>0.1</v>
      </c>
      <c r="H2613" s="19">
        <f>H2612*G2613</f>
        <v>90586</v>
      </c>
      <c r="I2613" s="47"/>
    </row>
    <row r="2614" spans="3:11" x14ac:dyDescent="0.3">
      <c r="C2614" s="30" t="s">
        <v>37</v>
      </c>
      <c r="D2614" s="31" t="s">
        <v>38</v>
      </c>
      <c r="E2614" s="32"/>
      <c r="F2614" s="32"/>
      <c r="G2614" s="33"/>
      <c r="H2614" s="48">
        <f>SUM(H2612:H2613)</f>
        <v>996446</v>
      </c>
      <c r="I2614" s="47"/>
    </row>
    <row r="2617" spans="3:11" x14ac:dyDescent="0.3">
      <c r="C2617" s="40" t="s">
        <v>527</v>
      </c>
      <c r="D2617" s="68" t="s">
        <v>528</v>
      </c>
      <c r="E2617" s="44"/>
      <c r="F2617" s="44"/>
      <c r="G2617" s="44"/>
      <c r="H2617" s="44"/>
      <c r="I2617" s="10">
        <f>ROUNDDOWN(H2632,0)</f>
        <v>1051446</v>
      </c>
      <c r="J2617" s="15" t="s">
        <v>513</v>
      </c>
      <c r="K2617" s="39"/>
    </row>
    <row r="2618" spans="3:11" ht="27.6" x14ac:dyDescent="0.3">
      <c r="C2618" s="11" t="s">
        <v>9</v>
      </c>
      <c r="D2618" s="11" t="s">
        <v>10</v>
      </c>
      <c r="E2618" s="11" t="s">
        <v>11</v>
      </c>
      <c r="F2618" s="11" t="s">
        <v>12</v>
      </c>
      <c r="G2618" s="11" t="s">
        <v>13</v>
      </c>
      <c r="H2618" s="11" t="s">
        <v>14</v>
      </c>
    </row>
    <row r="2619" spans="3:11" x14ac:dyDescent="0.25">
      <c r="C2619" s="12" t="s">
        <v>15</v>
      </c>
      <c r="D2619" s="13" t="s">
        <v>16</v>
      </c>
      <c r="E2619" s="14"/>
      <c r="F2619" s="14"/>
      <c r="G2619" s="14"/>
      <c r="H2619" s="14"/>
    </row>
    <row r="2620" spans="3:11" x14ac:dyDescent="0.3">
      <c r="C2620" s="16">
        <v>1</v>
      </c>
      <c r="D2620" s="13" t="s">
        <v>18</v>
      </c>
      <c r="E2620" s="17" t="s">
        <v>19</v>
      </c>
      <c r="F2620" s="18">
        <v>0.17899999999999999</v>
      </c>
      <c r="G2620" s="19">
        <f>VLOOKUP(D2620,upahbahan,3,FALSE)</f>
        <v>100000</v>
      </c>
      <c r="H2620" s="19">
        <f t="shared" ref="H2620:H2623" si="265">F2620*G2620</f>
        <v>17900</v>
      </c>
    </row>
    <row r="2621" spans="3:11" x14ac:dyDescent="0.3">
      <c r="C2621" s="16">
        <v>2</v>
      </c>
      <c r="D2621" s="13" t="s">
        <v>214</v>
      </c>
      <c r="E2621" s="17" t="s">
        <v>19</v>
      </c>
      <c r="F2621" s="18">
        <v>0.29799999999999999</v>
      </c>
      <c r="G2621" s="19">
        <f>VLOOKUP(D2621,upahbahan,3,FALSE)</f>
        <v>145000</v>
      </c>
      <c r="H2621" s="19">
        <f t="shared" si="265"/>
        <v>43210</v>
      </c>
    </row>
    <row r="2622" spans="3:11" x14ac:dyDescent="0.3">
      <c r="C2622" s="16">
        <v>3</v>
      </c>
      <c r="D2622" s="13" t="s">
        <v>22</v>
      </c>
      <c r="E2622" s="17" t="s">
        <v>19</v>
      </c>
      <c r="F2622" s="18">
        <v>0.03</v>
      </c>
      <c r="G2622" s="19">
        <f>VLOOKUP(D2622,upahbahan,3,FALSE)</f>
        <v>175000</v>
      </c>
      <c r="H2622" s="19">
        <f t="shared" si="265"/>
        <v>5250</v>
      </c>
    </row>
    <row r="2623" spans="3:11" x14ac:dyDescent="0.3">
      <c r="C2623" s="16">
        <v>4</v>
      </c>
      <c r="D2623" s="13" t="s">
        <v>23</v>
      </c>
      <c r="E2623" s="17" t="s">
        <v>19</v>
      </c>
      <c r="F2623" s="18">
        <v>0.01</v>
      </c>
      <c r="G2623" s="19">
        <f>VLOOKUP(D2623,upahbahan,3,FALSE)</f>
        <v>200000</v>
      </c>
      <c r="H2623" s="19">
        <f t="shared" si="265"/>
        <v>2000</v>
      </c>
    </row>
    <row r="2624" spans="3:11" x14ac:dyDescent="0.3">
      <c r="C2624" s="21" t="s">
        <v>24</v>
      </c>
      <c r="D2624" s="22"/>
      <c r="E2624" s="22"/>
      <c r="F2624" s="54"/>
      <c r="G2624" s="24"/>
      <c r="H2624" s="19">
        <f>SUM(H2620:H2623)</f>
        <v>68360</v>
      </c>
      <c r="I2624" s="25"/>
    </row>
    <row r="2625" spans="3:11" x14ac:dyDescent="0.25">
      <c r="C2625" s="12" t="s">
        <v>25</v>
      </c>
      <c r="D2625" s="13" t="s">
        <v>26</v>
      </c>
      <c r="E2625" s="14"/>
      <c r="F2625" s="55"/>
      <c r="G2625" s="14"/>
      <c r="H2625" s="14"/>
    </row>
    <row r="2626" spans="3:11" x14ac:dyDescent="0.3">
      <c r="C2626" s="63" t="s">
        <v>202</v>
      </c>
      <c r="D2626" s="26" t="s">
        <v>529</v>
      </c>
      <c r="E2626" s="27" t="s">
        <v>28</v>
      </c>
      <c r="F2626" s="59">
        <v>1.25</v>
      </c>
      <c r="G2626" s="19">
        <f>VLOOKUP(D2626,upahbahan,3,FALSE)</f>
        <v>710000</v>
      </c>
      <c r="H2626" s="19">
        <f t="shared" ref="H2626" si="266">F2626*G2626</f>
        <v>887500</v>
      </c>
    </row>
    <row r="2627" spans="3:11" x14ac:dyDescent="0.3">
      <c r="C2627" s="21" t="s">
        <v>29</v>
      </c>
      <c r="D2627" s="22"/>
      <c r="E2627" s="22"/>
      <c r="F2627" s="22"/>
      <c r="G2627" s="28"/>
      <c r="H2627" s="19">
        <f>SUM(H2626:H2626)</f>
        <v>887500</v>
      </c>
    </row>
    <row r="2628" spans="3:11" x14ac:dyDescent="0.25">
      <c r="C2628" s="12" t="s">
        <v>30</v>
      </c>
      <c r="D2628" s="13" t="s">
        <v>31</v>
      </c>
      <c r="E2628" s="14"/>
      <c r="F2628" s="14"/>
      <c r="G2628" s="14"/>
      <c r="H2628" s="14"/>
    </row>
    <row r="2629" spans="3:11" x14ac:dyDescent="0.3">
      <c r="C2629" s="21" t="s">
        <v>32</v>
      </c>
      <c r="D2629" s="22"/>
      <c r="E2629" s="22"/>
      <c r="F2629" s="22"/>
      <c r="G2629" s="28"/>
      <c r="H2629" s="29">
        <v>0</v>
      </c>
    </row>
    <row r="2630" spans="3:11" x14ac:dyDescent="0.3">
      <c r="C2630" s="30" t="s">
        <v>33</v>
      </c>
      <c r="D2630" s="31" t="s">
        <v>34</v>
      </c>
      <c r="E2630" s="32"/>
      <c r="F2630" s="32"/>
      <c r="G2630" s="33"/>
      <c r="H2630" s="46">
        <f>H2629+H2627+H2624</f>
        <v>955860</v>
      </c>
      <c r="I2630" s="47"/>
    </row>
    <row r="2631" spans="3:11" x14ac:dyDescent="0.3">
      <c r="C2631" s="30" t="s">
        <v>35</v>
      </c>
      <c r="D2631" s="31" t="s">
        <v>36</v>
      </c>
      <c r="E2631" s="32"/>
      <c r="F2631" s="33"/>
      <c r="G2631" s="34">
        <f>$M$9</f>
        <v>0.1</v>
      </c>
      <c r="H2631" s="19">
        <f>H2630*G2631</f>
        <v>95586</v>
      </c>
      <c r="I2631" s="47"/>
    </row>
    <row r="2632" spans="3:11" x14ac:dyDescent="0.3">
      <c r="C2632" s="30" t="s">
        <v>37</v>
      </c>
      <c r="D2632" s="31" t="s">
        <v>38</v>
      </c>
      <c r="E2632" s="32"/>
      <c r="F2632" s="32"/>
      <c r="G2632" s="33"/>
      <c r="H2632" s="48">
        <f>SUM(H2630:H2631)</f>
        <v>1051446</v>
      </c>
      <c r="I2632" s="47"/>
    </row>
    <row r="2634" spans="3:11" x14ac:dyDescent="0.3">
      <c r="C2634" s="40" t="s">
        <v>530</v>
      </c>
      <c r="D2634" s="68" t="s">
        <v>531</v>
      </c>
      <c r="E2634" s="44"/>
      <c r="F2634" s="44"/>
      <c r="G2634" s="44"/>
      <c r="H2634" s="44"/>
      <c r="I2634" s="10">
        <f>ROUNDDOWN(H2649,0)</f>
        <v>831446</v>
      </c>
      <c r="J2634" s="15" t="s">
        <v>513</v>
      </c>
      <c r="K2634" s="39"/>
    </row>
    <row r="2635" spans="3:11" ht="27.6" x14ac:dyDescent="0.3">
      <c r="C2635" s="11" t="s">
        <v>9</v>
      </c>
      <c r="D2635" s="11" t="s">
        <v>10</v>
      </c>
      <c r="E2635" s="11" t="s">
        <v>11</v>
      </c>
      <c r="F2635" s="11" t="s">
        <v>12</v>
      </c>
      <c r="G2635" s="11" t="s">
        <v>13</v>
      </c>
      <c r="H2635" s="11" t="s">
        <v>14</v>
      </c>
    </row>
    <row r="2636" spans="3:11" x14ac:dyDescent="0.25">
      <c r="C2636" s="12" t="s">
        <v>15</v>
      </c>
      <c r="D2636" s="13" t="s">
        <v>16</v>
      </c>
      <c r="E2636" s="14"/>
      <c r="F2636" s="14"/>
      <c r="G2636" s="14"/>
      <c r="H2636" s="14"/>
    </row>
    <row r="2637" spans="3:11" x14ac:dyDescent="0.3">
      <c r="C2637" s="16">
        <v>1</v>
      </c>
      <c r="D2637" s="13" t="s">
        <v>18</v>
      </c>
      <c r="E2637" s="17" t="s">
        <v>19</v>
      </c>
      <c r="F2637" s="18">
        <v>0.17899999999999999</v>
      </c>
      <c r="G2637" s="19">
        <f>VLOOKUP(D2637,upahbahan,3,FALSE)</f>
        <v>100000</v>
      </c>
      <c r="H2637" s="19">
        <f t="shared" ref="H2637:H2640" si="267">F2637*G2637</f>
        <v>17900</v>
      </c>
    </row>
    <row r="2638" spans="3:11" x14ac:dyDescent="0.3">
      <c r="C2638" s="16">
        <v>2</v>
      </c>
      <c r="D2638" s="13" t="s">
        <v>214</v>
      </c>
      <c r="E2638" s="17" t="s">
        <v>19</v>
      </c>
      <c r="F2638" s="18">
        <v>0.29799999999999999</v>
      </c>
      <c r="G2638" s="19">
        <f>VLOOKUP(D2638,upahbahan,3,FALSE)</f>
        <v>145000</v>
      </c>
      <c r="H2638" s="19">
        <f t="shared" si="267"/>
        <v>43210</v>
      </c>
    </row>
    <row r="2639" spans="3:11" x14ac:dyDescent="0.3">
      <c r="C2639" s="16">
        <v>3</v>
      </c>
      <c r="D2639" s="13" t="s">
        <v>22</v>
      </c>
      <c r="E2639" s="17" t="s">
        <v>19</v>
      </c>
      <c r="F2639" s="18">
        <v>0.03</v>
      </c>
      <c r="G2639" s="19">
        <f>VLOOKUP(D2639,upahbahan,3,FALSE)</f>
        <v>175000</v>
      </c>
      <c r="H2639" s="19">
        <f t="shared" si="267"/>
        <v>5250</v>
      </c>
    </row>
    <row r="2640" spans="3:11" x14ac:dyDescent="0.3">
      <c r="C2640" s="16">
        <v>4</v>
      </c>
      <c r="D2640" s="13" t="s">
        <v>23</v>
      </c>
      <c r="E2640" s="17" t="s">
        <v>19</v>
      </c>
      <c r="F2640" s="18">
        <v>0.01</v>
      </c>
      <c r="G2640" s="19">
        <f>VLOOKUP(D2640,upahbahan,3,FALSE)</f>
        <v>200000</v>
      </c>
      <c r="H2640" s="19">
        <f t="shared" si="267"/>
        <v>2000</v>
      </c>
    </row>
    <row r="2641" spans="3:11" x14ac:dyDescent="0.3">
      <c r="C2641" s="21" t="s">
        <v>24</v>
      </c>
      <c r="D2641" s="22"/>
      <c r="E2641" s="22"/>
      <c r="F2641" s="54"/>
      <c r="G2641" s="24"/>
      <c r="H2641" s="19">
        <f>SUM(H2637:H2640)</f>
        <v>68360</v>
      </c>
      <c r="I2641" s="25"/>
    </row>
    <row r="2642" spans="3:11" x14ac:dyDescent="0.25">
      <c r="C2642" s="12" t="s">
        <v>25</v>
      </c>
      <c r="D2642" s="13" t="s">
        <v>26</v>
      </c>
      <c r="E2642" s="14"/>
      <c r="F2642" s="55"/>
      <c r="G2642" s="14"/>
      <c r="H2642" s="14"/>
    </row>
    <row r="2643" spans="3:11" x14ac:dyDescent="0.3">
      <c r="C2643" s="63" t="s">
        <v>202</v>
      </c>
      <c r="D2643" s="26" t="s">
        <v>532</v>
      </c>
      <c r="E2643" s="27" t="s">
        <v>28</v>
      </c>
      <c r="F2643" s="59">
        <v>1.25</v>
      </c>
      <c r="G2643" s="19">
        <f>VLOOKUP(D2643,upahbahan,3,FALSE)</f>
        <v>550000</v>
      </c>
      <c r="H2643" s="19">
        <f t="shared" ref="H2643" si="268">F2643*G2643</f>
        <v>687500</v>
      </c>
    </row>
    <row r="2644" spans="3:11" x14ac:dyDescent="0.3">
      <c r="C2644" s="21" t="s">
        <v>29</v>
      </c>
      <c r="D2644" s="22"/>
      <c r="E2644" s="22"/>
      <c r="F2644" s="22"/>
      <c r="G2644" s="28"/>
      <c r="H2644" s="19">
        <f>SUM(H2643:H2643)</f>
        <v>687500</v>
      </c>
    </row>
    <row r="2645" spans="3:11" x14ac:dyDescent="0.25">
      <c r="C2645" s="12" t="s">
        <v>30</v>
      </c>
      <c r="D2645" s="13" t="s">
        <v>31</v>
      </c>
      <c r="E2645" s="14"/>
      <c r="F2645" s="14"/>
      <c r="G2645" s="14"/>
      <c r="H2645" s="14"/>
    </row>
    <row r="2646" spans="3:11" x14ac:dyDescent="0.3">
      <c r="C2646" s="21" t="s">
        <v>32</v>
      </c>
      <c r="D2646" s="22"/>
      <c r="E2646" s="22"/>
      <c r="F2646" s="22"/>
      <c r="G2646" s="28"/>
      <c r="H2646" s="29">
        <v>0</v>
      </c>
    </row>
    <row r="2647" spans="3:11" x14ac:dyDescent="0.3">
      <c r="C2647" s="30" t="s">
        <v>33</v>
      </c>
      <c r="D2647" s="31" t="s">
        <v>34</v>
      </c>
      <c r="E2647" s="32"/>
      <c r="F2647" s="32"/>
      <c r="G2647" s="33"/>
      <c r="H2647" s="46">
        <f>H2646+H2644+H2641</f>
        <v>755860</v>
      </c>
      <c r="I2647" s="47"/>
    </row>
    <row r="2648" spans="3:11" x14ac:dyDescent="0.3">
      <c r="C2648" s="30" t="s">
        <v>35</v>
      </c>
      <c r="D2648" s="31" t="s">
        <v>36</v>
      </c>
      <c r="E2648" s="32"/>
      <c r="F2648" s="33"/>
      <c r="G2648" s="34">
        <f>$M$9</f>
        <v>0.1</v>
      </c>
      <c r="H2648" s="19">
        <f>H2647*G2648</f>
        <v>75586</v>
      </c>
      <c r="I2648" s="47"/>
    </row>
    <row r="2649" spans="3:11" x14ac:dyDescent="0.3">
      <c r="C2649" s="30" t="s">
        <v>37</v>
      </c>
      <c r="D2649" s="31" t="s">
        <v>38</v>
      </c>
      <c r="E2649" s="32"/>
      <c r="F2649" s="32"/>
      <c r="G2649" s="33"/>
      <c r="H2649" s="48">
        <f>SUM(H2647:H2648)</f>
        <v>831446</v>
      </c>
      <c r="I2649" s="47"/>
    </row>
    <row r="2651" spans="3:11" x14ac:dyDescent="0.3">
      <c r="C2651" s="40" t="s">
        <v>533</v>
      </c>
      <c r="D2651" s="68" t="s">
        <v>534</v>
      </c>
      <c r="E2651" s="44"/>
      <c r="F2651" s="44"/>
      <c r="G2651" s="44"/>
      <c r="H2651" s="44"/>
      <c r="I2651" s="10">
        <f>ROUNDDOWN(H2666,0)</f>
        <v>858946</v>
      </c>
      <c r="J2651" s="15" t="s">
        <v>513</v>
      </c>
      <c r="K2651" s="39"/>
    </row>
    <row r="2652" spans="3:11" ht="27.6" x14ac:dyDescent="0.3">
      <c r="C2652" s="11" t="s">
        <v>9</v>
      </c>
      <c r="D2652" s="11" t="s">
        <v>10</v>
      </c>
      <c r="E2652" s="11" t="s">
        <v>11</v>
      </c>
      <c r="F2652" s="11" t="s">
        <v>12</v>
      </c>
      <c r="G2652" s="11" t="s">
        <v>13</v>
      </c>
      <c r="H2652" s="11" t="s">
        <v>14</v>
      </c>
    </row>
    <row r="2653" spans="3:11" x14ac:dyDescent="0.25">
      <c r="C2653" s="12" t="s">
        <v>15</v>
      </c>
      <c r="D2653" s="13" t="s">
        <v>16</v>
      </c>
      <c r="E2653" s="14"/>
      <c r="F2653" s="14"/>
      <c r="G2653" s="14"/>
      <c r="H2653" s="14"/>
    </row>
    <row r="2654" spans="3:11" x14ac:dyDescent="0.3">
      <c r="C2654" s="16">
        <v>1</v>
      </c>
      <c r="D2654" s="13" t="s">
        <v>18</v>
      </c>
      <c r="E2654" s="17" t="s">
        <v>19</v>
      </c>
      <c r="F2654" s="18">
        <v>0.17899999999999999</v>
      </c>
      <c r="G2654" s="19">
        <f>VLOOKUP(D2654,upahbahan,3,FALSE)</f>
        <v>100000</v>
      </c>
      <c r="H2654" s="19">
        <f t="shared" ref="H2654:H2657" si="269">F2654*G2654</f>
        <v>17900</v>
      </c>
    </row>
    <row r="2655" spans="3:11" x14ac:dyDescent="0.3">
      <c r="C2655" s="16">
        <v>2</v>
      </c>
      <c r="D2655" s="13" t="s">
        <v>214</v>
      </c>
      <c r="E2655" s="17" t="s">
        <v>19</v>
      </c>
      <c r="F2655" s="18">
        <v>0.29799999999999999</v>
      </c>
      <c r="G2655" s="19">
        <f>VLOOKUP(D2655,upahbahan,3,FALSE)</f>
        <v>145000</v>
      </c>
      <c r="H2655" s="19">
        <f t="shared" si="269"/>
        <v>43210</v>
      </c>
    </row>
    <row r="2656" spans="3:11" x14ac:dyDescent="0.3">
      <c r="C2656" s="16">
        <v>3</v>
      </c>
      <c r="D2656" s="13" t="s">
        <v>22</v>
      </c>
      <c r="E2656" s="17" t="s">
        <v>19</v>
      </c>
      <c r="F2656" s="18">
        <v>0.03</v>
      </c>
      <c r="G2656" s="19">
        <f>VLOOKUP(D2656,upahbahan,3,FALSE)</f>
        <v>175000</v>
      </c>
      <c r="H2656" s="19">
        <f t="shared" si="269"/>
        <v>5250</v>
      </c>
    </row>
    <row r="2657" spans="3:11" x14ac:dyDescent="0.3">
      <c r="C2657" s="16">
        <v>4</v>
      </c>
      <c r="D2657" s="13" t="s">
        <v>23</v>
      </c>
      <c r="E2657" s="17" t="s">
        <v>19</v>
      </c>
      <c r="F2657" s="18">
        <v>0.01</v>
      </c>
      <c r="G2657" s="19">
        <f>VLOOKUP(D2657,upahbahan,3,FALSE)</f>
        <v>200000</v>
      </c>
      <c r="H2657" s="19">
        <f t="shared" si="269"/>
        <v>2000</v>
      </c>
    </row>
    <row r="2658" spans="3:11" x14ac:dyDescent="0.3">
      <c r="C2658" s="21" t="s">
        <v>24</v>
      </c>
      <c r="D2658" s="22"/>
      <c r="E2658" s="22"/>
      <c r="F2658" s="54"/>
      <c r="G2658" s="24"/>
      <c r="H2658" s="19">
        <f>SUM(H2654:H2657)</f>
        <v>68360</v>
      </c>
      <c r="I2658" s="25"/>
    </row>
    <row r="2659" spans="3:11" x14ac:dyDescent="0.25">
      <c r="C2659" s="12" t="s">
        <v>25</v>
      </c>
      <c r="D2659" s="13" t="s">
        <v>26</v>
      </c>
      <c r="E2659" s="14"/>
      <c r="F2659" s="55"/>
      <c r="G2659" s="14"/>
      <c r="H2659" s="14"/>
    </row>
    <row r="2660" spans="3:11" ht="69" x14ac:dyDescent="0.3">
      <c r="C2660" s="63" t="s">
        <v>202</v>
      </c>
      <c r="D2660" s="13" t="s">
        <v>535</v>
      </c>
      <c r="E2660" s="27" t="s">
        <v>28</v>
      </c>
      <c r="F2660" s="59">
        <v>1.25</v>
      </c>
      <c r="G2660" s="19">
        <f>VLOOKUP(D2660,upahbahan,3,FALSE)</f>
        <v>570000</v>
      </c>
      <c r="H2660" s="19">
        <f t="shared" ref="H2660" si="270">F2660*G2660</f>
        <v>712500</v>
      </c>
    </row>
    <row r="2661" spans="3:11" x14ac:dyDescent="0.3">
      <c r="C2661" s="21" t="s">
        <v>29</v>
      </c>
      <c r="D2661" s="22"/>
      <c r="E2661" s="22"/>
      <c r="F2661" s="22"/>
      <c r="G2661" s="28"/>
      <c r="H2661" s="19">
        <f>SUM(H2660:H2660)</f>
        <v>712500</v>
      </c>
    </row>
    <row r="2662" spans="3:11" x14ac:dyDescent="0.25">
      <c r="C2662" s="12" t="s">
        <v>30</v>
      </c>
      <c r="D2662" s="13" t="s">
        <v>31</v>
      </c>
      <c r="E2662" s="14"/>
      <c r="F2662" s="14"/>
      <c r="G2662" s="14"/>
      <c r="H2662" s="14"/>
    </row>
    <row r="2663" spans="3:11" x14ac:dyDescent="0.3">
      <c r="C2663" s="21" t="s">
        <v>32</v>
      </c>
      <c r="D2663" s="22"/>
      <c r="E2663" s="22"/>
      <c r="F2663" s="22"/>
      <c r="G2663" s="28"/>
      <c r="H2663" s="29">
        <v>0</v>
      </c>
    </row>
    <row r="2664" spans="3:11" x14ac:dyDescent="0.3">
      <c r="C2664" s="30" t="s">
        <v>33</v>
      </c>
      <c r="D2664" s="31" t="s">
        <v>34</v>
      </c>
      <c r="E2664" s="32"/>
      <c r="F2664" s="32"/>
      <c r="G2664" s="33"/>
      <c r="H2664" s="46">
        <f>H2663+H2661+H2658</f>
        <v>780860</v>
      </c>
      <c r="I2664" s="47"/>
    </row>
    <row r="2665" spans="3:11" x14ac:dyDescent="0.3">
      <c r="C2665" s="30" t="s">
        <v>35</v>
      </c>
      <c r="D2665" s="31" t="s">
        <v>36</v>
      </c>
      <c r="E2665" s="32"/>
      <c r="F2665" s="33"/>
      <c r="G2665" s="34">
        <f>$M$9</f>
        <v>0.1</v>
      </c>
      <c r="H2665" s="19">
        <f>H2664*G2665</f>
        <v>78086</v>
      </c>
      <c r="I2665" s="47"/>
    </row>
    <row r="2666" spans="3:11" x14ac:dyDescent="0.3">
      <c r="C2666" s="30" t="s">
        <v>37</v>
      </c>
      <c r="D2666" s="31" t="s">
        <v>38</v>
      </c>
      <c r="E2666" s="32"/>
      <c r="F2666" s="32"/>
      <c r="G2666" s="33"/>
      <c r="H2666" s="48">
        <f>SUM(H2664:H2665)</f>
        <v>858946</v>
      </c>
      <c r="I2666" s="47"/>
    </row>
    <row r="2668" spans="3:11" x14ac:dyDescent="0.3">
      <c r="C2668" s="40" t="s">
        <v>536</v>
      </c>
      <c r="D2668" s="68" t="s">
        <v>537</v>
      </c>
      <c r="E2668" s="44"/>
      <c r="F2668" s="44"/>
      <c r="G2668" s="44"/>
      <c r="H2668" s="44"/>
      <c r="I2668" s="10">
        <f>ROUNDDOWN(H2683,0)</f>
        <v>886446</v>
      </c>
      <c r="J2668" s="15" t="s">
        <v>513</v>
      </c>
      <c r="K2668" s="39"/>
    </row>
    <row r="2669" spans="3:11" ht="27.6" x14ac:dyDescent="0.3">
      <c r="C2669" s="11" t="s">
        <v>9</v>
      </c>
      <c r="D2669" s="11" t="s">
        <v>10</v>
      </c>
      <c r="E2669" s="11" t="s">
        <v>11</v>
      </c>
      <c r="F2669" s="11" t="s">
        <v>12</v>
      </c>
      <c r="G2669" s="11" t="s">
        <v>13</v>
      </c>
      <c r="H2669" s="11" t="s">
        <v>14</v>
      </c>
    </row>
    <row r="2670" spans="3:11" x14ac:dyDescent="0.25">
      <c r="C2670" s="12" t="s">
        <v>15</v>
      </c>
      <c r="D2670" s="13" t="s">
        <v>16</v>
      </c>
      <c r="E2670" s="14"/>
      <c r="F2670" s="14"/>
      <c r="G2670" s="14"/>
      <c r="H2670" s="14"/>
    </row>
    <row r="2671" spans="3:11" x14ac:dyDescent="0.3">
      <c r="C2671" s="16">
        <v>1</v>
      </c>
      <c r="D2671" s="13" t="s">
        <v>18</v>
      </c>
      <c r="E2671" s="17" t="s">
        <v>19</v>
      </c>
      <c r="F2671" s="18">
        <v>0.17899999999999999</v>
      </c>
      <c r="G2671" s="19">
        <f>VLOOKUP(D2671,upahbahan,3,FALSE)</f>
        <v>100000</v>
      </c>
      <c r="H2671" s="19">
        <f t="shared" ref="H2671:H2674" si="271">F2671*G2671</f>
        <v>17900</v>
      </c>
    </row>
    <row r="2672" spans="3:11" x14ac:dyDescent="0.3">
      <c r="C2672" s="16">
        <v>2</v>
      </c>
      <c r="D2672" s="13" t="s">
        <v>214</v>
      </c>
      <c r="E2672" s="17" t="s">
        <v>19</v>
      </c>
      <c r="F2672" s="18">
        <v>0.29799999999999999</v>
      </c>
      <c r="G2672" s="19">
        <f>VLOOKUP(D2672,upahbahan,3,FALSE)</f>
        <v>145000</v>
      </c>
      <c r="H2672" s="19">
        <f t="shared" si="271"/>
        <v>43210</v>
      </c>
    </row>
    <row r="2673" spans="3:11" x14ac:dyDescent="0.3">
      <c r="C2673" s="16">
        <v>3</v>
      </c>
      <c r="D2673" s="13" t="s">
        <v>22</v>
      </c>
      <c r="E2673" s="17" t="s">
        <v>19</v>
      </c>
      <c r="F2673" s="18">
        <v>0.03</v>
      </c>
      <c r="G2673" s="19">
        <f>VLOOKUP(D2673,upahbahan,3,FALSE)</f>
        <v>175000</v>
      </c>
      <c r="H2673" s="19">
        <f t="shared" si="271"/>
        <v>5250</v>
      </c>
    </row>
    <row r="2674" spans="3:11" x14ac:dyDescent="0.3">
      <c r="C2674" s="16">
        <v>4</v>
      </c>
      <c r="D2674" s="13" t="s">
        <v>23</v>
      </c>
      <c r="E2674" s="17" t="s">
        <v>19</v>
      </c>
      <c r="F2674" s="18">
        <v>0.01</v>
      </c>
      <c r="G2674" s="19">
        <f>VLOOKUP(D2674,upahbahan,3,FALSE)</f>
        <v>200000</v>
      </c>
      <c r="H2674" s="19">
        <f t="shared" si="271"/>
        <v>2000</v>
      </c>
    </row>
    <row r="2675" spans="3:11" x14ac:dyDescent="0.3">
      <c r="C2675" s="21" t="s">
        <v>24</v>
      </c>
      <c r="D2675" s="22"/>
      <c r="E2675" s="22"/>
      <c r="F2675" s="54"/>
      <c r="G2675" s="24"/>
      <c r="H2675" s="19">
        <f>SUM(H2671:H2674)</f>
        <v>68360</v>
      </c>
      <c r="I2675" s="25"/>
    </row>
    <row r="2676" spans="3:11" x14ac:dyDescent="0.25">
      <c r="C2676" s="12" t="s">
        <v>25</v>
      </c>
      <c r="D2676" s="13" t="s">
        <v>26</v>
      </c>
      <c r="E2676" s="14"/>
      <c r="F2676" s="55"/>
      <c r="G2676" s="14"/>
      <c r="H2676" s="14"/>
    </row>
    <row r="2677" spans="3:11" ht="55.2" x14ac:dyDescent="0.3">
      <c r="C2677" s="63" t="s">
        <v>202</v>
      </c>
      <c r="D2677" s="13" t="s">
        <v>538</v>
      </c>
      <c r="E2677" s="27" t="s">
        <v>28</v>
      </c>
      <c r="F2677" s="59">
        <v>1.25</v>
      </c>
      <c r="G2677" s="19">
        <f>VLOOKUP(D2677,upahbahan,3,FALSE)</f>
        <v>590000</v>
      </c>
      <c r="H2677" s="19">
        <f t="shared" ref="H2677" si="272">F2677*G2677</f>
        <v>737500</v>
      </c>
    </row>
    <row r="2678" spans="3:11" x14ac:dyDescent="0.3">
      <c r="C2678" s="21" t="s">
        <v>29</v>
      </c>
      <c r="D2678" s="22"/>
      <c r="E2678" s="22"/>
      <c r="F2678" s="22"/>
      <c r="G2678" s="28"/>
      <c r="H2678" s="19">
        <f>SUM(H2677:H2677)</f>
        <v>737500</v>
      </c>
    </row>
    <row r="2679" spans="3:11" x14ac:dyDescent="0.25">
      <c r="C2679" s="12" t="s">
        <v>30</v>
      </c>
      <c r="D2679" s="13" t="s">
        <v>31</v>
      </c>
      <c r="E2679" s="14"/>
      <c r="F2679" s="14"/>
      <c r="G2679" s="14"/>
      <c r="H2679" s="14"/>
    </row>
    <row r="2680" spans="3:11" x14ac:dyDescent="0.3">
      <c r="C2680" s="21" t="s">
        <v>32</v>
      </c>
      <c r="D2680" s="22"/>
      <c r="E2680" s="22"/>
      <c r="F2680" s="22"/>
      <c r="G2680" s="28"/>
      <c r="H2680" s="29">
        <v>0</v>
      </c>
    </row>
    <row r="2681" spans="3:11" x14ac:dyDescent="0.3">
      <c r="C2681" s="30" t="s">
        <v>33</v>
      </c>
      <c r="D2681" s="31" t="s">
        <v>34</v>
      </c>
      <c r="E2681" s="32"/>
      <c r="F2681" s="32"/>
      <c r="G2681" s="33"/>
      <c r="H2681" s="46">
        <f>H2680+H2678+H2675</f>
        <v>805860</v>
      </c>
      <c r="I2681" s="47"/>
    </row>
    <row r="2682" spans="3:11" x14ac:dyDescent="0.3">
      <c r="C2682" s="30" t="s">
        <v>35</v>
      </c>
      <c r="D2682" s="31" t="s">
        <v>36</v>
      </c>
      <c r="E2682" s="32"/>
      <c r="F2682" s="33"/>
      <c r="G2682" s="34">
        <f>$M$9</f>
        <v>0.1</v>
      </c>
      <c r="H2682" s="19">
        <f>H2681*G2682</f>
        <v>80586</v>
      </c>
      <c r="I2682" s="47"/>
    </row>
    <row r="2683" spans="3:11" x14ac:dyDescent="0.3">
      <c r="C2683" s="30" t="s">
        <v>37</v>
      </c>
      <c r="D2683" s="31" t="s">
        <v>38</v>
      </c>
      <c r="E2683" s="32"/>
      <c r="F2683" s="32"/>
      <c r="G2683" s="33"/>
      <c r="H2683" s="48">
        <f>SUM(H2681:H2682)</f>
        <v>886446</v>
      </c>
      <c r="I2683" s="47"/>
    </row>
    <row r="2685" spans="3:11" x14ac:dyDescent="0.3">
      <c r="C2685" s="40" t="s">
        <v>539</v>
      </c>
      <c r="D2685" s="68" t="s">
        <v>540</v>
      </c>
      <c r="E2685" s="44"/>
      <c r="F2685" s="44"/>
      <c r="G2685" s="44"/>
      <c r="H2685" s="44"/>
      <c r="I2685" s="10">
        <f>ROUNDDOWN(H2700,0)</f>
        <v>900196</v>
      </c>
      <c r="J2685" s="15" t="s">
        <v>513</v>
      </c>
      <c r="K2685" s="39"/>
    </row>
    <row r="2686" spans="3:11" ht="27.6" x14ac:dyDescent="0.3">
      <c r="C2686" s="11" t="s">
        <v>9</v>
      </c>
      <c r="D2686" s="11" t="s">
        <v>10</v>
      </c>
      <c r="E2686" s="11" t="s">
        <v>11</v>
      </c>
      <c r="F2686" s="11" t="s">
        <v>12</v>
      </c>
      <c r="G2686" s="11" t="s">
        <v>13</v>
      </c>
      <c r="H2686" s="11" t="s">
        <v>14</v>
      </c>
    </row>
    <row r="2687" spans="3:11" x14ac:dyDescent="0.25">
      <c r="C2687" s="12" t="s">
        <v>15</v>
      </c>
      <c r="D2687" s="13" t="s">
        <v>16</v>
      </c>
      <c r="E2687" s="14"/>
      <c r="F2687" s="14"/>
      <c r="G2687" s="14"/>
      <c r="H2687" s="14"/>
    </row>
    <row r="2688" spans="3:11" x14ac:dyDescent="0.3">
      <c r="C2688" s="16">
        <v>1</v>
      </c>
      <c r="D2688" s="13" t="s">
        <v>18</v>
      </c>
      <c r="E2688" s="17" t="s">
        <v>19</v>
      </c>
      <c r="F2688" s="18">
        <v>0.17899999999999999</v>
      </c>
      <c r="G2688" s="19">
        <f>VLOOKUP(D2688,upahbahan,3,FALSE)</f>
        <v>100000</v>
      </c>
      <c r="H2688" s="19">
        <f t="shared" ref="H2688:H2691" si="273">F2688*G2688</f>
        <v>17900</v>
      </c>
    </row>
    <row r="2689" spans="3:11" x14ac:dyDescent="0.3">
      <c r="C2689" s="16">
        <v>2</v>
      </c>
      <c r="D2689" s="13" t="s">
        <v>214</v>
      </c>
      <c r="E2689" s="17" t="s">
        <v>19</v>
      </c>
      <c r="F2689" s="18">
        <v>0.29799999999999999</v>
      </c>
      <c r="G2689" s="19">
        <f>VLOOKUP(D2689,upahbahan,3,FALSE)</f>
        <v>145000</v>
      </c>
      <c r="H2689" s="19">
        <f t="shared" si="273"/>
        <v>43210</v>
      </c>
    </row>
    <row r="2690" spans="3:11" x14ac:dyDescent="0.3">
      <c r="C2690" s="16">
        <v>3</v>
      </c>
      <c r="D2690" s="13" t="s">
        <v>22</v>
      </c>
      <c r="E2690" s="17" t="s">
        <v>19</v>
      </c>
      <c r="F2690" s="18">
        <v>0.03</v>
      </c>
      <c r="G2690" s="19">
        <f>VLOOKUP(D2690,upahbahan,3,FALSE)</f>
        <v>175000</v>
      </c>
      <c r="H2690" s="19">
        <f t="shared" si="273"/>
        <v>5250</v>
      </c>
    </row>
    <row r="2691" spans="3:11" x14ac:dyDescent="0.3">
      <c r="C2691" s="16">
        <v>4</v>
      </c>
      <c r="D2691" s="13" t="s">
        <v>23</v>
      </c>
      <c r="E2691" s="17" t="s">
        <v>19</v>
      </c>
      <c r="F2691" s="18">
        <v>0.01</v>
      </c>
      <c r="G2691" s="19">
        <f>VLOOKUP(D2691,upahbahan,3,FALSE)</f>
        <v>200000</v>
      </c>
      <c r="H2691" s="19">
        <f t="shared" si="273"/>
        <v>2000</v>
      </c>
    </row>
    <row r="2692" spans="3:11" x14ac:dyDescent="0.3">
      <c r="C2692" s="21" t="s">
        <v>24</v>
      </c>
      <c r="D2692" s="22"/>
      <c r="E2692" s="22"/>
      <c r="F2692" s="54"/>
      <c r="G2692" s="24"/>
      <c r="H2692" s="19">
        <f>SUM(H2688:H2691)</f>
        <v>68360</v>
      </c>
      <c r="I2692" s="25"/>
    </row>
    <row r="2693" spans="3:11" x14ac:dyDescent="0.25">
      <c r="C2693" s="12" t="s">
        <v>25</v>
      </c>
      <c r="D2693" s="13" t="s">
        <v>26</v>
      </c>
      <c r="E2693" s="14"/>
      <c r="F2693" s="55"/>
      <c r="G2693" s="14"/>
      <c r="H2693" s="14"/>
    </row>
    <row r="2694" spans="3:11" ht="27.6" x14ac:dyDescent="0.3">
      <c r="C2694" s="63" t="s">
        <v>202</v>
      </c>
      <c r="D2694" s="13" t="s">
        <v>541</v>
      </c>
      <c r="E2694" s="27" t="s">
        <v>28</v>
      </c>
      <c r="F2694" s="59">
        <v>1.25</v>
      </c>
      <c r="G2694" s="19">
        <f>VLOOKUP(D2694,upahbahan,3,FALSE)</f>
        <v>600000</v>
      </c>
      <c r="H2694" s="19">
        <f t="shared" ref="H2694" si="274">F2694*G2694</f>
        <v>750000</v>
      </c>
    </row>
    <row r="2695" spans="3:11" x14ac:dyDescent="0.3">
      <c r="C2695" s="21" t="s">
        <v>29</v>
      </c>
      <c r="D2695" s="22"/>
      <c r="E2695" s="22"/>
      <c r="F2695" s="22"/>
      <c r="G2695" s="28"/>
      <c r="H2695" s="19">
        <f>SUM(H2694:H2694)</f>
        <v>750000</v>
      </c>
    </row>
    <row r="2696" spans="3:11" x14ac:dyDescent="0.25">
      <c r="C2696" s="12" t="s">
        <v>30</v>
      </c>
      <c r="D2696" s="13" t="s">
        <v>31</v>
      </c>
      <c r="E2696" s="14"/>
      <c r="F2696" s="14"/>
      <c r="G2696" s="14"/>
      <c r="H2696" s="14"/>
    </row>
    <row r="2697" spans="3:11" x14ac:dyDescent="0.3">
      <c r="C2697" s="21" t="s">
        <v>32</v>
      </c>
      <c r="D2697" s="22"/>
      <c r="E2697" s="22"/>
      <c r="F2697" s="22"/>
      <c r="G2697" s="28"/>
      <c r="H2697" s="29">
        <v>0</v>
      </c>
    </row>
    <row r="2698" spans="3:11" x14ac:dyDescent="0.3">
      <c r="C2698" s="30" t="s">
        <v>33</v>
      </c>
      <c r="D2698" s="31" t="s">
        <v>34</v>
      </c>
      <c r="E2698" s="32"/>
      <c r="F2698" s="32"/>
      <c r="G2698" s="33"/>
      <c r="H2698" s="46">
        <f>H2697+H2695+H2692</f>
        <v>818360</v>
      </c>
      <c r="I2698" s="47"/>
    </row>
    <row r="2699" spans="3:11" x14ac:dyDescent="0.3">
      <c r="C2699" s="30" t="s">
        <v>35</v>
      </c>
      <c r="D2699" s="31" t="s">
        <v>36</v>
      </c>
      <c r="E2699" s="32"/>
      <c r="F2699" s="33"/>
      <c r="G2699" s="34">
        <f>$M$9</f>
        <v>0.1</v>
      </c>
      <c r="H2699" s="19">
        <f>H2698*G2699</f>
        <v>81836</v>
      </c>
      <c r="I2699" s="47"/>
    </row>
    <row r="2700" spans="3:11" x14ac:dyDescent="0.3">
      <c r="C2700" s="30" t="s">
        <v>37</v>
      </c>
      <c r="D2700" s="31" t="s">
        <v>38</v>
      </c>
      <c r="E2700" s="32"/>
      <c r="F2700" s="32"/>
      <c r="G2700" s="33"/>
      <c r="H2700" s="48">
        <f>SUM(H2698:H2699)</f>
        <v>900196</v>
      </c>
      <c r="I2700" s="47"/>
    </row>
    <row r="2702" spans="3:11" x14ac:dyDescent="0.3">
      <c r="C2702" s="40" t="s">
        <v>542</v>
      </c>
      <c r="D2702" s="68" t="s">
        <v>543</v>
      </c>
      <c r="E2702" s="44"/>
      <c r="F2702" s="44"/>
      <c r="G2702" s="44"/>
      <c r="H2702" s="44"/>
      <c r="I2702" s="10">
        <f>ROUNDDOWN(H2717,0)</f>
        <v>941446</v>
      </c>
      <c r="J2702" s="15" t="s">
        <v>513</v>
      </c>
      <c r="K2702" s="39"/>
    </row>
    <row r="2703" spans="3:11" ht="27.6" x14ac:dyDescent="0.3">
      <c r="C2703" s="11" t="s">
        <v>9</v>
      </c>
      <c r="D2703" s="11" t="s">
        <v>10</v>
      </c>
      <c r="E2703" s="11" t="s">
        <v>11</v>
      </c>
      <c r="F2703" s="11" t="s">
        <v>12</v>
      </c>
      <c r="G2703" s="11" t="s">
        <v>13</v>
      </c>
      <c r="H2703" s="11" t="s">
        <v>14</v>
      </c>
    </row>
    <row r="2704" spans="3:11" x14ac:dyDescent="0.25">
      <c r="C2704" s="12" t="s">
        <v>15</v>
      </c>
      <c r="D2704" s="13" t="s">
        <v>16</v>
      </c>
      <c r="E2704" s="14"/>
      <c r="F2704" s="14"/>
      <c r="G2704" s="14"/>
      <c r="H2704" s="14"/>
    </row>
    <row r="2705" spans="3:11" x14ac:dyDescent="0.3">
      <c r="C2705" s="16">
        <v>1</v>
      </c>
      <c r="D2705" s="13" t="s">
        <v>18</v>
      </c>
      <c r="E2705" s="17" t="s">
        <v>19</v>
      </c>
      <c r="F2705" s="18">
        <v>0.17899999999999999</v>
      </c>
      <c r="G2705" s="19">
        <f>VLOOKUP(D2705,upahbahan,3,FALSE)</f>
        <v>100000</v>
      </c>
      <c r="H2705" s="19">
        <f t="shared" ref="H2705:H2708" si="275">F2705*G2705</f>
        <v>17900</v>
      </c>
    </row>
    <row r="2706" spans="3:11" x14ac:dyDescent="0.3">
      <c r="C2706" s="16">
        <v>2</v>
      </c>
      <c r="D2706" s="13" t="s">
        <v>214</v>
      </c>
      <c r="E2706" s="17" t="s">
        <v>19</v>
      </c>
      <c r="F2706" s="18">
        <v>0.29799999999999999</v>
      </c>
      <c r="G2706" s="19">
        <f>VLOOKUP(D2706,upahbahan,3,FALSE)</f>
        <v>145000</v>
      </c>
      <c r="H2706" s="19">
        <f t="shared" si="275"/>
        <v>43210</v>
      </c>
    </row>
    <row r="2707" spans="3:11" x14ac:dyDescent="0.3">
      <c r="C2707" s="16">
        <v>3</v>
      </c>
      <c r="D2707" s="13" t="s">
        <v>22</v>
      </c>
      <c r="E2707" s="17" t="s">
        <v>19</v>
      </c>
      <c r="F2707" s="18">
        <v>0.03</v>
      </c>
      <c r="G2707" s="19">
        <f>VLOOKUP(D2707,upahbahan,3,FALSE)</f>
        <v>175000</v>
      </c>
      <c r="H2707" s="19">
        <f t="shared" si="275"/>
        <v>5250</v>
      </c>
    </row>
    <row r="2708" spans="3:11" x14ac:dyDescent="0.3">
      <c r="C2708" s="16">
        <v>4</v>
      </c>
      <c r="D2708" s="13" t="s">
        <v>23</v>
      </c>
      <c r="E2708" s="17" t="s">
        <v>19</v>
      </c>
      <c r="F2708" s="18">
        <v>0.01</v>
      </c>
      <c r="G2708" s="19">
        <f>VLOOKUP(D2708,upahbahan,3,FALSE)</f>
        <v>200000</v>
      </c>
      <c r="H2708" s="19">
        <f t="shared" si="275"/>
        <v>2000</v>
      </c>
    </row>
    <row r="2709" spans="3:11" x14ac:dyDescent="0.3">
      <c r="C2709" s="21" t="s">
        <v>24</v>
      </c>
      <c r="D2709" s="22"/>
      <c r="E2709" s="22"/>
      <c r="F2709" s="54"/>
      <c r="G2709" s="24"/>
      <c r="H2709" s="19">
        <f>SUM(H2705:H2708)</f>
        <v>68360</v>
      </c>
      <c r="I2709" s="25"/>
    </row>
    <row r="2710" spans="3:11" x14ac:dyDescent="0.25">
      <c r="C2710" s="12" t="s">
        <v>25</v>
      </c>
      <c r="D2710" s="13" t="s">
        <v>26</v>
      </c>
      <c r="E2710" s="14"/>
      <c r="F2710" s="55"/>
      <c r="G2710" s="14"/>
      <c r="H2710" s="14"/>
    </row>
    <row r="2711" spans="3:11" ht="27.6" x14ac:dyDescent="0.3">
      <c r="C2711" s="63" t="s">
        <v>202</v>
      </c>
      <c r="D2711" s="13" t="s">
        <v>544</v>
      </c>
      <c r="E2711" s="27" t="s">
        <v>28</v>
      </c>
      <c r="F2711" s="59">
        <v>1.25</v>
      </c>
      <c r="G2711" s="19">
        <f>VLOOKUP(D2711,upahbahan,3,FALSE)</f>
        <v>630000</v>
      </c>
      <c r="H2711" s="19">
        <f t="shared" ref="H2711" si="276">F2711*G2711</f>
        <v>787500</v>
      </c>
    </row>
    <row r="2712" spans="3:11" x14ac:dyDescent="0.3">
      <c r="C2712" s="21" t="s">
        <v>29</v>
      </c>
      <c r="D2712" s="22"/>
      <c r="E2712" s="22"/>
      <c r="F2712" s="22"/>
      <c r="G2712" s="28"/>
      <c r="H2712" s="19">
        <f>SUM(H2711:H2711)</f>
        <v>787500</v>
      </c>
    </row>
    <row r="2713" spans="3:11" x14ac:dyDescent="0.25">
      <c r="C2713" s="12" t="s">
        <v>30</v>
      </c>
      <c r="D2713" s="13" t="s">
        <v>31</v>
      </c>
      <c r="E2713" s="14"/>
      <c r="F2713" s="14"/>
      <c r="G2713" s="14"/>
      <c r="H2713" s="14"/>
    </row>
    <row r="2714" spans="3:11" x14ac:dyDescent="0.3">
      <c r="C2714" s="21" t="s">
        <v>32</v>
      </c>
      <c r="D2714" s="22"/>
      <c r="E2714" s="22"/>
      <c r="F2714" s="22"/>
      <c r="G2714" s="28"/>
      <c r="H2714" s="29">
        <v>0</v>
      </c>
    </row>
    <row r="2715" spans="3:11" x14ac:dyDescent="0.3">
      <c r="C2715" s="30" t="s">
        <v>33</v>
      </c>
      <c r="D2715" s="31" t="s">
        <v>34</v>
      </c>
      <c r="E2715" s="32"/>
      <c r="F2715" s="32"/>
      <c r="G2715" s="33"/>
      <c r="H2715" s="46">
        <f>H2714+H2712+H2709</f>
        <v>855860</v>
      </c>
      <c r="I2715" s="47"/>
    </row>
    <row r="2716" spans="3:11" x14ac:dyDescent="0.3">
      <c r="C2716" s="30" t="s">
        <v>35</v>
      </c>
      <c r="D2716" s="31" t="s">
        <v>36</v>
      </c>
      <c r="E2716" s="32"/>
      <c r="F2716" s="33"/>
      <c r="G2716" s="34">
        <f>$M$9</f>
        <v>0.1</v>
      </c>
      <c r="H2716" s="19">
        <f>H2715*G2716</f>
        <v>85586</v>
      </c>
      <c r="I2716" s="47"/>
    </row>
    <row r="2717" spans="3:11" x14ac:dyDescent="0.3">
      <c r="C2717" s="30" t="s">
        <v>37</v>
      </c>
      <c r="D2717" s="31" t="s">
        <v>38</v>
      </c>
      <c r="E2717" s="32"/>
      <c r="F2717" s="32"/>
      <c r="G2717" s="33"/>
      <c r="H2717" s="48">
        <f>SUM(H2715:H2716)</f>
        <v>941446</v>
      </c>
      <c r="I2717" s="47"/>
    </row>
    <row r="2719" spans="3:11" x14ac:dyDescent="0.3">
      <c r="C2719" s="40" t="s">
        <v>545</v>
      </c>
      <c r="D2719" s="68" t="s">
        <v>546</v>
      </c>
      <c r="E2719" s="44"/>
      <c r="F2719" s="44"/>
      <c r="G2719" s="44"/>
      <c r="H2719" s="44"/>
      <c r="I2719" s="10">
        <f>ROUNDDOWN(H2734,0)</f>
        <v>968946</v>
      </c>
      <c r="J2719" s="15" t="s">
        <v>513</v>
      </c>
      <c r="K2719" s="39"/>
    </row>
    <row r="2720" spans="3:11" ht="27.6" x14ac:dyDescent="0.3">
      <c r="C2720" s="11" t="s">
        <v>9</v>
      </c>
      <c r="D2720" s="11" t="s">
        <v>10</v>
      </c>
      <c r="E2720" s="11" t="s">
        <v>11</v>
      </c>
      <c r="F2720" s="11" t="s">
        <v>12</v>
      </c>
      <c r="G2720" s="11" t="s">
        <v>13</v>
      </c>
      <c r="H2720" s="11" t="s">
        <v>14</v>
      </c>
    </row>
    <row r="2721" spans="3:11" x14ac:dyDescent="0.25">
      <c r="C2721" s="12" t="s">
        <v>15</v>
      </c>
      <c r="D2721" s="13" t="s">
        <v>16</v>
      </c>
      <c r="E2721" s="14"/>
      <c r="F2721" s="14"/>
      <c r="G2721" s="14"/>
      <c r="H2721" s="14"/>
    </row>
    <row r="2722" spans="3:11" x14ac:dyDescent="0.3">
      <c r="C2722" s="16">
        <v>1</v>
      </c>
      <c r="D2722" s="13" t="s">
        <v>18</v>
      </c>
      <c r="E2722" s="17" t="s">
        <v>19</v>
      </c>
      <c r="F2722" s="18">
        <v>0.17899999999999999</v>
      </c>
      <c r="G2722" s="19">
        <f>VLOOKUP(D2722,upahbahan,3,FALSE)</f>
        <v>100000</v>
      </c>
      <c r="H2722" s="19">
        <f t="shared" ref="H2722:H2725" si="277">F2722*G2722</f>
        <v>17900</v>
      </c>
    </row>
    <row r="2723" spans="3:11" x14ac:dyDescent="0.3">
      <c r="C2723" s="16">
        <v>2</v>
      </c>
      <c r="D2723" s="13" t="s">
        <v>214</v>
      </c>
      <c r="E2723" s="17" t="s">
        <v>19</v>
      </c>
      <c r="F2723" s="18">
        <v>0.29799999999999999</v>
      </c>
      <c r="G2723" s="19">
        <f>VLOOKUP(D2723,upahbahan,3,FALSE)</f>
        <v>145000</v>
      </c>
      <c r="H2723" s="19">
        <f t="shared" si="277"/>
        <v>43210</v>
      </c>
    </row>
    <row r="2724" spans="3:11" x14ac:dyDescent="0.3">
      <c r="C2724" s="16">
        <v>3</v>
      </c>
      <c r="D2724" s="13" t="s">
        <v>22</v>
      </c>
      <c r="E2724" s="17" t="s">
        <v>19</v>
      </c>
      <c r="F2724" s="18">
        <v>0.03</v>
      </c>
      <c r="G2724" s="19">
        <f>VLOOKUP(D2724,upahbahan,3,FALSE)</f>
        <v>175000</v>
      </c>
      <c r="H2724" s="19">
        <f t="shared" si="277"/>
        <v>5250</v>
      </c>
    </row>
    <row r="2725" spans="3:11" x14ac:dyDescent="0.3">
      <c r="C2725" s="16">
        <v>4</v>
      </c>
      <c r="D2725" s="13" t="s">
        <v>23</v>
      </c>
      <c r="E2725" s="17" t="s">
        <v>19</v>
      </c>
      <c r="F2725" s="18">
        <v>0.01</v>
      </c>
      <c r="G2725" s="19">
        <f>VLOOKUP(D2725,upahbahan,3,FALSE)</f>
        <v>200000</v>
      </c>
      <c r="H2725" s="19">
        <f t="shared" si="277"/>
        <v>2000</v>
      </c>
    </row>
    <row r="2726" spans="3:11" x14ac:dyDescent="0.3">
      <c r="C2726" s="21" t="s">
        <v>24</v>
      </c>
      <c r="D2726" s="22"/>
      <c r="E2726" s="22"/>
      <c r="F2726" s="54"/>
      <c r="G2726" s="24"/>
      <c r="H2726" s="19">
        <f>SUM(H2722:H2725)</f>
        <v>68360</v>
      </c>
      <c r="I2726" s="25"/>
    </row>
    <row r="2727" spans="3:11" x14ac:dyDescent="0.25">
      <c r="C2727" s="12" t="s">
        <v>25</v>
      </c>
      <c r="D2727" s="13" t="s">
        <v>26</v>
      </c>
      <c r="E2727" s="14"/>
      <c r="F2727" s="55"/>
      <c r="G2727" s="14"/>
      <c r="H2727" s="14"/>
    </row>
    <row r="2728" spans="3:11" ht="55.2" x14ac:dyDescent="0.3">
      <c r="C2728" s="63" t="s">
        <v>202</v>
      </c>
      <c r="D2728" s="13" t="s">
        <v>547</v>
      </c>
      <c r="E2728" s="27" t="s">
        <v>28</v>
      </c>
      <c r="F2728" s="59">
        <v>1.25</v>
      </c>
      <c r="G2728" s="19">
        <f>VLOOKUP(D2728,upahbahan,3,FALSE)</f>
        <v>650000</v>
      </c>
      <c r="H2728" s="19">
        <f t="shared" ref="H2728" si="278">F2728*G2728</f>
        <v>812500</v>
      </c>
    </row>
    <row r="2729" spans="3:11" x14ac:dyDescent="0.3">
      <c r="C2729" s="21" t="s">
        <v>29</v>
      </c>
      <c r="D2729" s="22"/>
      <c r="E2729" s="22"/>
      <c r="F2729" s="22"/>
      <c r="G2729" s="28"/>
      <c r="H2729" s="19">
        <f>SUM(H2728:H2728)</f>
        <v>812500</v>
      </c>
    </row>
    <row r="2730" spans="3:11" x14ac:dyDescent="0.25">
      <c r="C2730" s="12" t="s">
        <v>30</v>
      </c>
      <c r="D2730" s="13" t="s">
        <v>31</v>
      </c>
      <c r="E2730" s="14"/>
      <c r="F2730" s="14"/>
      <c r="G2730" s="14"/>
      <c r="H2730" s="14"/>
    </row>
    <row r="2731" spans="3:11" x14ac:dyDescent="0.3">
      <c r="C2731" s="21" t="s">
        <v>32</v>
      </c>
      <c r="D2731" s="22"/>
      <c r="E2731" s="22"/>
      <c r="F2731" s="22"/>
      <c r="G2731" s="28"/>
      <c r="H2731" s="29">
        <v>0</v>
      </c>
    </row>
    <row r="2732" spans="3:11" x14ac:dyDescent="0.3">
      <c r="C2732" s="30" t="s">
        <v>33</v>
      </c>
      <c r="D2732" s="31" t="s">
        <v>34</v>
      </c>
      <c r="E2732" s="32"/>
      <c r="F2732" s="32"/>
      <c r="G2732" s="33"/>
      <c r="H2732" s="46">
        <f>H2731+H2729+H2726</f>
        <v>880860</v>
      </c>
      <c r="I2732" s="47"/>
    </row>
    <row r="2733" spans="3:11" x14ac:dyDescent="0.3">
      <c r="C2733" s="30" t="s">
        <v>35</v>
      </c>
      <c r="D2733" s="31" t="s">
        <v>36</v>
      </c>
      <c r="E2733" s="32"/>
      <c r="F2733" s="33"/>
      <c r="G2733" s="34">
        <f>$M$9</f>
        <v>0.1</v>
      </c>
      <c r="H2733" s="19">
        <f>H2732*G2733</f>
        <v>88086</v>
      </c>
      <c r="I2733" s="47"/>
    </row>
    <row r="2734" spans="3:11" x14ac:dyDescent="0.3">
      <c r="C2734" s="30" t="s">
        <v>37</v>
      </c>
      <c r="D2734" s="31" t="s">
        <v>38</v>
      </c>
      <c r="E2734" s="32"/>
      <c r="F2734" s="32"/>
      <c r="G2734" s="33"/>
      <c r="H2734" s="48">
        <f>SUM(H2732:H2733)</f>
        <v>968946</v>
      </c>
      <c r="I2734" s="47"/>
    </row>
    <row r="2736" spans="3:11" x14ac:dyDescent="0.3">
      <c r="C2736" s="40" t="s">
        <v>548</v>
      </c>
      <c r="D2736" s="68" t="s">
        <v>549</v>
      </c>
      <c r="E2736" s="44"/>
      <c r="F2736" s="44"/>
      <c r="G2736" s="44"/>
      <c r="H2736" s="44"/>
      <c r="I2736" s="10">
        <f>ROUNDDOWN(H2751,0)</f>
        <v>625196</v>
      </c>
      <c r="J2736" s="15" t="s">
        <v>513</v>
      </c>
      <c r="K2736" s="39"/>
    </row>
    <row r="2737" spans="3:9" ht="27.6" x14ac:dyDescent="0.3">
      <c r="C2737" s="11" t="s">
        <v>9</v>
      </c>
      <c r="D2737" s="11" t="s">
        <v>10</v>
      </c>
      <c r="E2737" s="11" t="s">
        <v>11</v>
      </c>
      <c r="F2737" s="11" t="s">
        <v>12</v>
      </c>
      <c r="G2737" s="11" t="s">
        <v>13</v>
      </c>
      <c r="H2737" s="11" t="s">
        <v>14</v>
      </c>
    </row>
    <row r="2738" spans="3:9" x14ac:dyDescent="0.25">
      <c r="C2738" s="12" t="s">
        <v>15</v>
      </c>
      <c r="D2738" s="13" t="s">
        <v>16</v>
      </c>
      <c r="E2738" s="14"/>
      <c r="F2738" s="14"/>
      <c r="G2738" s="14"/>
      <c r="H2738" s="14"/>
    </row>
    <row r="2739" spans="3:9" x14ac:dyDescent="0.3">
      <c r="C2739" s="16">
        <v>1</v>
      </c>
      <c r="D2739" s="13" t="s">
        <v>18</v>
      </c>
      <c r="E2739" s="17" t="s">
        <v>19</v>
      </c>
      <c r="F2739" s="18">
        <v>0.17899999999999999</v>
      </c>
      <c r="G2739" s="19">
        <f>VLOOKUP(D2739,upahbahan,3,FALSE)</f>
        <v>100000</v>
      </c>
      <c r="H2739" s="19">
        <f t="shared" ref="H2739:H2742" si="279">F2739*G2739</f>
        <v>17900</v>
      </c>
    </row>
    <row r="2740" spans="3:9" x14ac:dyDescent="0.3">
      <c r="C2740" s="16">
        <v>2</v>
      </c>
      <c r="D2740" s="13" t="s">
        <v>214</v>
      </c>
      <c r="E2740" s="17" t="s">
        <v>19</v>
      </c>
      <c r="F2740" s="18">
        <v>0.29799999999999999</v>
      </c>
      <c r="G2740" s="19">
        <f>VLOOKUP(D2740,upahbahan,3,FALSE)</f>
        <v>145000</v>
      </c>
      <c r="H2740" s="19">
        <f t="shared" si="279"/>
        <v>43210</v>
      </c>
    </row>
    <row r="2741" spans="3:9" x14ac:dyDescent="0.3">
      <c r="C2741" s="16">
        <v>3</v>
      </c>
      <c r="D2741" s="13" t="s">
        <v>22</v>
      </c>
      <c r="E2741" s="17" t="s">
        <v>19</v>
      </c>
      <c r="F2741" s="18">
        <v>0.03</v>
      </c>
      <c r="G2741" s="19">
        <f>VLOOKUP(D2741,upahbahan,3,FALSE)</f>
        <v>175000</v>
      </c>
      <c r="H2741" s="19">
        <f t="shared" si="279"/>
        <v>5250</v>
      </c>
    </row>
    <row r="2742" spans="3:9" x14ac:dyDescent="0.3">
      <c r="C2742" s="16">
        <v>4</v>
      </c>
      <c r="D2742" s="13" t="s">
        <v>23</v>
      </c>
      <c r="E2742" s="17" t="s">
        <v>19</v>
      </c>
      <c r="F2742" s="18">
        <v>0.01</v>
      </c>
      <c r="G2742" s="19">
        <f>VLOOKUP(D2742,upahbahan,3,FALSE)</f>
        <v>200000</v>
      </c>
      <c r="H2742" s="19">
        <f t="shared" si="279"/>
        <v>2000</v>
      </c>
    </row>
    <row r="2743" spans="3:9" x14ac:dyDescent="0.3">
      <c r="C2743" s="21" t="s">
        <v>24</v>
      </c>
      <c r="D2743" s="22"/>
      <c r="E2743" s="22"/>
      <c r="F2743" s="54"/>
      <c r="G2743" s="24"/>
      <c r="H2743" s="19">
        <f>SUM(H2739:H2742)</f>
        <v>68360</v>
      </c>
      <c r="I2743" s="25"/>
    </row>
    <row r="2744" spans="3:9" x14ac:dyDescent="0.25">
      <c r="C2744" s="12" t="s">
        <v>25</v>
      </c>
      <c r="D2744" s="13" t="s">
        <v>26</v>
      </c>
      <c r="E2744" s="14"/>
      <c r="F2744" s="55"/>
      <c r="G2744" s="14"/>
      <c r="H2744" s="14"/>
    </row>
    <row r="2745" spans="3:9" ht="55.2" x14ac:dyDescent="0.3">
      <c r="C2745" s="63" t="s">
        <v>202</v>
      </c>
      <c r="D2745" s="13" t="s">
        <v>550</v>
      </c>
      <c r="E2745" s="27" t="s">
        <v>28</v>
      </c>
      <c r="F2745" s="59">
        <v>1.25</v>
      </c>
      <c r="G2745" s="19">
        <f>VLOOKUP(D2745,upahbahan,3,FALSE)</f>
        <v>400000</v>
      </c>
      <c r="H2745" s="19">
        <f t="shared" ref="H2745" si="280">F2745*G2745</f>
        <v>500000</v>
      </c>
    </row>
    <row r="2746" spans="3:9" x14ac:dyDescent="0.3">
      <c r="C2746" s="21" t="s">
        <v>29</v>
      </c>
      <c r="D2746" s="22"/>
      <c r="E2746" s="22"/>
      <c r="F2746" s="22"/>
      <c r="G2746" s="28"/>
      <c r="H2746" s="19">
        <f>SUM(H2745:H2745)</f>
        <v>500000</v>
      </c>
    </row>
    <row r="2747" spans="3:9" x14ac:dyDescent="0.25">
      <c r="C2747" s="12" t="s">
        <v>30</v>
      </c>
      <c r="D2747" s="13" t="s">
        <v>31</v>
      </c>
      <c r="E2747" s="14"/>
      <c r="F2747" s="14"/>
      <c r="G2747" s="14"/>
      <c r="H2747" s="14"/>
    </row>
    <row r="2748" spans="3:9" x14ac:dyDescent="0.3">
      <c r="C2748" s="21" t="s">
        <v>32</v>
      </c>
      <c r="D2748" s="22"/>
      <c r="E2748" s="22"/>
      <c r="F2748" s="22"/>
      <c r="G2748" s="28"/>
      <c r="H2748" s="29">
        <v>0</v>
      </c>
    </row>
    <row r="2749" spans="3:9" x14ac:dyDescent="0.3">
      <c r="C2749" s="30" t="s">
        <v>33</v>
      </c>
      <c r="D2749" s="31" t="s">
        <v>34</v>
      </c>
      <c r="E2749" s="32"/>
      <c r="F2749" s="32"/>
      <c r="G2749" s="33"/>
      <c r="H2749" s="46">
        <f>H2748+H2746+H2743</f>
        <v>568360</v>
      </c>
      <c r="I2749" s="47"/>
    </row>
    <row r="2750" spans="3:9" x14ac:dyDescent="0.3">
      <c r="C2750" s="30" t="s">
        <v>35</v>
      </c>
      <c r="D2750" s="31" t="s">
        <v>36</v>
      </c>
      <c r="E2750" s="32"/>
      <c r="F2750" s="33"/>
      <c r="G2750" s="34">
        <f>$M$9</f>
        <v>0.1</v>
      </c>
      <c r="H2750" s="19">
        <f>H2749*G2750</f>
        <v>56836</v>
      </c>
      <c r="I2750" s="47"/>
    </row>
    <row r="2751" spans="3:9" x14ac:dyDescent="0.3">
      <c r="C2751" s="30" t="s">
        <v>37</v>
      </c>
      <c r="D2751" s="31" t="s">
        <v>38</v>
      </c>
      <c r="E2751" s="32"/>
      <c r="F2751" s="32"/>
      <c r="G2751" s="33"/>
      <c r="H2751" s="48">
        <f>SUM(H2749:H2750)</f>
        <v>625196</v>
      </c>
      <c r="I2751" s="47"/>
    </row>
    <row r="2753" spans="3:11" x14ac:dyDescent="0.3">
      <c r="C2753" s="40" t="s">
        <v>551</v>
      </c>
      <c r="D2753" s="68" t="s">
        <v>552</v>
      </c>
      <c r="E2753" s="44"/>
      <c r="F2753" s="44"/>
      <c r="G2753" s="44"/>
      <c r="H2753" s="44"/>
      <c r="I2753" s="10">
        <f>ROUNDDOWN(H2768,0)</f>
        <v>666446</v>
      </c>
      <c r="J2753" s="15" t="s">
        <v>513</v>
      </c>
      <c r="K2753" s="39"/>
    </row>
    <row r="2754" spans="3:11" ht="27.6" x14ac:dyDescent="0.3">
      <c r="C2754" s="11" t="s">
        <v>9</v>
      </c>
      <c r="D2754" s="11" t="s">
        <v>10</v>
      </c>
      <c r="E2754" s="11" t="s">
        <v>11</v>
      </c>
      <c r="F2754" s="11" t="s">
        <v>12</v>
      </c>
      <c r="G2754" s="11" t="s">
        <v>13</v>
      </c>
      <c r="H2754" s="11" t="s">
        <v>14</v>
      </c>
    </row>
    <row r="2755" spans="3:11" x14ac:dyDescent="0.25">
      <c r="C2755" s="12" t="s">
        <v>15</v>
      </c>
      <c r="D2755" s="13" t="s">
        <v>16</v>
      </c>
      <c r="E2755" s="14"/>
      <c r="F2755" s="14"/>
      <c r="G2755" s="14"/>
      <c r="H2755" s="14"/>
    </row>
    <row r="2756" spans="3:11" x14ac:dyDescent="0.3">
      <c r="C2756" s="16">
        <v>1</v>
      </c>
      <c r="D2756" s="13" t="s">
        <v>18</v>
      </c>
      <c r="E2756" s="17" t="s">
        <v>19</v>
      </c>
      <c r="F2756" s="18">
        <v>0.17899999999999999</v>
      </c>
      <c r="G2756" s="19">
        <f>VLOOKUP(D2756,upahbahan,3,FALSE)</f>
        <v>100000</v>
      </c>
      <c r="H2756" s="19">
        <f t="shared" ref="H2756:H2759" si="281">F2756*G2756</f>
        <v>17900</v>
      </c>
    </row>
    <row r="2757" spans="3:11" x14ac:dyDescent="0.3">
      <c r="C2757" s="16">
        <v>2</v>
      </c>
      <c r="D2757" s="13" t="s">
        <v>214</v>
      </c>
      <c r="E2757" s="17" t="s">
        <v>19</v>
      </c>
      <c r="F2757" s="18">
        <v>0.29799999999999999</v>
      </c>
      <c r="G2757" s="19">
        <f>VLOOKUP(D2757,upahbahan,3,FALSE)</f>
        <v>145000</v>
      </c>
      <c r="H2757" s="19">
        <f t="shared" si="281"/>
        <v>43210</v>
      </c>
    </row>
    <row r="2758" spans="3:11" x14ac:dyDescent="0.3">
      <c r="C2758" s="16">
        <v>3</v>
      </c>
      <c r="D2758" s="13" t="s">
        <v>22</v>
      </c>
      <c r="E2758" s="17" t="s">
        <v>19</v>
      </c>
      <c r="F2758" s="18">
        <v>0.03</v>
      </c>
      <c r="G2758" s="19">
        <f>VLOOKUP(D2758,upahbahan,3,FALSE)</f>
        <v>175000</v>
      </c>
      <c r="H2758" s="19">
        <f t="shared" si="281"/>
        <v>5250</v>
      </c>
    </row>
    <row r="2759" spans="3:11" x14ac:dyDescent="0.3">
      <c r="C2759" s="16">
        <v>4</v>
      </c>
      <c r="D2759" s="13" t="s">
        <v>23</v>
      </c>
      <c r="E2759" s="17" t="s">
        <v>19</v>
      </c>
      <c r="F2759" s="18">
        <v>0.01</v>
      </c>
      <c r="G2759" s="19">
        <f>VLOOKUP(D2759,upahbahan,3,FALSE)</f>
        <v>200000</v>
      </c>
      <c r="H2759" s="19">
        <f t="shared" si="281"/>
        <v>2000</v>
      </c>
    </row>
    <row r="2760" spans="3:11" x14ac:dyDescent="0.3">
      <c r="C2760" s="21" t="s">
        <v>24</v>
      </c>
      <c r="D2760" s="22"/>
      <c r="E2760" s="22"/>
      <c r="F2760" s="54"/>
      <c r="G2760" s="24"/>
      <c r="H2760" s="19">
        <f>SUM(H2756:H2759)</f>
        <v>68360</v>
      </c>
      <c r="I2760" s="25"/>
    </row>
    <row r="2761" spans="3:11" x14ac:dyDescent="0.25">
      <c r="C2761" s="12" t="s">
        <v>25</v>
      </c>
      <c r="D2761" s="13" t="s">
        <v>26</v>
      </c>
      <c r="E2761" s="14"/>
      <c r="F2761" s="55"/>
      <c r="G2761" s="14"/>
      <c r="H2761" s="14"/>
    </row>
    <row r="2762" spans="3:11" ht="69" x14ac:dyDescent="0.3">
      <c r="C2762" s="63" t="s">
        <v>202</v>
      </c>
      <c r="D2762" s="13" t="s">
        <v>553</v>
      </c>
      <c r="E2762" s="27" t="s">
        <v>28</v>
      </c>
      <c r="F2762" s="59">
        <v>1.25</v>
      </c>
      <c r="G2762" s="19">
        <f>VLOOKUP(D2762,upahbahan,3,FALSE)</f>
        <v>430000</v>
      </c>
      <c r="H2762" s="19">
        <f t="shared" ref="H2762" si="282">F2762*G2762</f>
        <v>537500</v>
      </c>
    </row>
    <row r="2763" spans="3:11" x14ac:dyDescent="0.3">
      <c r="C2763" s="21" t="s">
        <v>29</v>
      </c>
      <c r="D2763" s="22"/>
      <c r="E2763" s="22"/>
      <c r="F2763" s="22"/>
      <c r="G2763" s="28"/>
      <c r="H2763" s="19">
        <f>SUM(H2762:H2762)</f>
        <v>537500</v>
      </c>
    </row>
    <row r="2764" spans="3:11" x14ac:dyDescent="0.25">
      <c r="C2764" s="12" t="s">
        <v>30</v>
      </c>
      <c r="D2764" s="13" t="s">
        <v>31</v>
      </c>
      <c r="E2764" s="14"/>
      <c r="F2764" s="14"/>
      <c r="G2764" s="14"/>
      <c r="H2764" s="14"/>
    </row>
    <row r="2765" spans="3:11" x14ac:dyDescent="0.3">
      <c r="C2765" s="21" t="s">
        <v>32</v>
      </c>
      <c r="D2765" s="22"/>
      <c r="E2765" s="22"/>
      <c r="F2765" s="22"/>
      <c r="G2765" s="28"/>
      <c r="H2765" s="29">
        <v>0</v>
      </c>
    </row>
    <row r="2766" spans="3:11" x14ac:dyDescent="0.3">
      <c r="C2766" s="30" t="s">
        <v>33</v>
      </c>
      <c r="D2766" s="31" t="s">
        <v>34</v>
      </c>
      <c r="E2766" s="32"/>
      <c r="F2766" s="32"/>
      <c r="G2766" s="33"/>
      <c r="H2766" s="46">
        <f>H2765+H2763+H2760</f>
        <v>605860</v>
      </c>
      <c r="I2766" s="47"/>
    </row>
    <row r="2767" spans="3:11" x14ac:dyDescent="0.3">
      <c r="C2767" s="30" t="s">
        <v>35</v>
      </c>
      <c r="D2767" s="31" t="s">
        <v>36</v>
      </c>
      <c r="E2767" s="32"/>
      <c r="F2767" s="33"/>
      <c r="G2767" s="34">
        <f>$M$9</f>
        <v>0.1</v>
      </c>
      <c r="H2767" s="19">
        <f>H2766*G2767</f>
        <v>60586</v>
      </c>
      <c r="I2767" s="47"/>
    </row>
    <row r="2768" spans="3:11" x14ac:dyDescent="0.3">
      <c r="C2768" s="30" t="s">
        <v>37</v>
      </c>
      <c r="D2768" s="31" t="s">
        <v>38</v>
      </c>
      <c r="E2768" s="32"/>
      <c r="F2768" s="32"/>
      <c r="G2768" s="33"/>
      <c r="H2768" s="48">
        <f>SUM(H2766:H2767)</f>
        <v>666446</v>
      </c>
      <c r="I2768" s="47"/>
    </row>
    <row r="2770" spans="3:11" x14ac:dyDescent="0.3">
      <c r="C2770" s="40" t="s">
        <v>554</v>
      </c>
      <c r="D2770" s="68" t="s">
        <v>555</v>
      </c>
      <c r="E2770" s="44"/>
      <c r="F2770" s="44"/>
      <c r="G2770" s="44"/>
      <c r="H2770" s="44"/>
      <c r="I2770" s="10">
        <f>ROUNDDOWN(H2785,0)</f>
        <v>693946</v>
      </c>
      <c r="J2770" s="15" t="s">
        <v>513</v>
      </c>
      <c r="K2770" s="39"/>
    </row>
    <row r="2771" spans="3:11" ht="27.6" x14ac:dyDescent="0.3">
      <c r="C2771" s="11" t="s">
        <v>9</v>
      </c>
      <c r="D2771" s="11" t="s">
        <v>10</v>
      </c>
      <c r="E2771" s="11" t="s">
        <v>11</v>
      </c>
      <c r="F2771" s="11" t="s">
        <v>12</v>
      </c>
      <c r="G2771" s="11" t="s">
        <v>13</v>
      </c>
      <c r="H2771" s="11" t="s">
        <v>14</v>
      </c>
    </row>
    <row r="2772" spans="3:11" x14ac:dyDescent="0.25">
      <c r="C2772" s="12" t="s">
        <v>15</v>
      </c>
      <c r="D2772" s="13" t="s">
        <v>16</v>
      </c>
      <c r="E2772" s="14"/>
      <c r="F2772" s="14"/>
      <c r="G2772" s="14"/>
      <c r="H2772" s="14"/>
    </row>
    <row r="2773" spans="3:11" x14ac:dyDescent="0.3">
      <c r="C2773" s="16">
        <v>1</v>
      </c>
      <c r="D2773" s="13" t="s">
        <v>18</v>
      </c>
      <c r="E2773" s="17" t="s">
        <v>19</v>
      </c>
      <c r="F2773" s="18">
        <v>0.17899999999999999</v>
      </c>
      <c r="G2773" s="19">
        <f>VLOOKUP(D2773,upahbahan,3,FALSE)</f>
        <v>100000</v>
      </c>
      <c r="H2773" s="19">
        <f t="shared" ref="H2773:H2776" si="283">F2773*G2773</f>
        <v>17900</v>
      </c>
    </row>
    <row r="2774" spans="3:11" x14ac:dyDescent="0.3">
      <c r="C2774" s="16">
        <v>2</v>
      </c>
      <c r="D2774" s="13" t="s">
        <v>214</v>
      </c>
      <c r="E2774" s="17" t="s">
        <v>19</v>
      </c>
      <c r="F2774" s="18">
        <v>0.29799999999999999</v>
      </c>
      <c r="G2774" s="19">
        <f>VLOOKUP(D2774,upahbahan,3,FALSE)</f>
        <v>145000</v>
      </c>
      <c r="H2774" s="19">
        <f t="shared" si="283"/>
        <v>43210</v>
      </c>
    </row>
    <row r="2775" spans="3:11" x14ac:dyDescent="0.3">
      <c r="C2775" s="16">
        <v>3</v>
      </c>
      <c r="D2775" s="13" t="s">
        <v>22</v>
      </c>
      <c r="E2775" s="17" t="s">
        <v>19</v>
      </c>
      <c r="F2775" s="18">
        <v>0.03</v>
      </c>
      <c r="G2775" s="19">
        <f>VLOOKUP(D2775,upahbahan,3,FALSE)</f>
        <v>175000</v>
      </c>
      <c r="H2775" s="19">
        <f t="shared" si="283"/>
        <v>5250</v>
      </c>
    </row>
    <row r="2776" spans="3:11" x14ac:dyDescent="0.3">
      <c r="C2776" s="16">
        <v>4</v>
      </c>
      <c r="D2776" s="13" t="s">
        <v>23</v>
      </c>
      <c r="E2776" s="17" t="s">
        <v>19</v>
      </c>
      <c r="F2776" s="18">
        <v>0.01</v>
      </c>
      <c r="G2776" s="19">
        <f>VLOOKUP(D2776,upahbahan,3,FALSE)</f>
        <v>200000</v>
      </c>
      <c r="H2776" s="19">
        <f t="shared" si="283"/>
        <v>2000</v>
      </c>
    </row>
    <row r="2777" spans="3:11" x14ac:dyDescent="0.3">
      <c r="C2777" s="21" t="s">
        <v>24</v>
      </c>
      <c r="D2777" s="22"/>
      <c r="E2777" s="22"/>
      <c r="F2777" s="54"/>
      <c r="G2777" s="24"/>
      <c r="H2777" s="19">
        <f>SUM(H2773:H2776)</f>
        <v>68360</v>
      </c>
      <c r="I2777" s="25"/>
    </row>
    <row r="2778" spans="3:11" x14ac:dyDescent="0.25">
      <c r="C2778" s="12" t="s">
        <v>25</v>
      </c>
      <c r="D2778" s="13" t="s">
        <v>26</v>
      </c>
      <c r="E2778" s="14"/>
      <c r="F2778" s="55"/>
      <c r="G2778" s="14"/>
      <c r="H2778" s="14"/>
    </row>
    <row r="2779" spans="3:11" ht="55.2" x14ac:dyDescent="0.3">
      <c r="C2779" s="63" t="s">
        <v>202</v>
      </c>
      <c r="D2779" s="13" t="s">
        <v>556</v>
      </c>
      <c r="E2779" s="27" t="s">
        <v>28</v>
      </c>
      <c r="F2779" s="59">
        <v>1.25</v>
      </c>
      <c r="G2779" s="19">
        <f>VLOOKUP(D2779,upahbahan,3,FALSE)</f>
        <v>450000</v>
      </c>
      <c r="H2779" s="19">
        <f t="shared" ref="H2779" si="284">F2779*G2779</f>
        <v>562500</v>
      </c>
    </row>
    <row r="2780" spans="3:11" x14ac:dyDescent="0.3">
      <c r="C2780" s="21" t="s">
        <v>29</v>
      </c>
      <c r="D2780" s="22"/>
      <c r="E2780" s="22"/>
      <c r="F2780" s="22"/>
      <c r="G2780" s="28"/>
      <c r="H2780" s="19">
        <f>SUM(H2779:H2779)</f>
        <v>562500</v>
      </c>
    </row>
    <row r="2781" spans="3:11" x14ac:dyDescent="0.25">
      <c r="C2781" s="12" t="s">
        <v>30</v>
      </c>
      <c r="D2781" s="13" t="s">
        <v>31</v>
      </c>
      <c r="E2781" s="14"/>
      <c r="F2781" s="14"/>
      <c r="G2781" s="14"/>
      <c r="H2781" s="14"/>
    </row>
    <row r="2782" spans="3:11" x14ac:dyDescent="0.3">
      <c r="C2782" s="21" t="s">
        <v>32</v>
      </c>
      <c r="D2782" s="22"/>
      <c r="E2782" s="22"/>
      <c r="F2782" s="22"/>
      <c r="G2782" s="28"/>
      <c r="H2782" s="29">
        <v>0</v>
      </c>
    </row>
    <row r="2783" spans="3:11" x14ac:dyDescent="0.3">
      <c r="C2783" s="30" t="s">
        <v>33</v>
      </c>
      <c r="D2783" s="31" t="s">
        <v>34</v>
      </c>
      <c r="E2783" s="32"/>
      <c r="F2783" s="32"/>
      <c r="G2783" s="33"/>
      <c r="H2783" s="46">
        <f>H2782+H2780+H2777</f>
        <v>630860</v>
      </c>
      <c r="I2783" s="47"/>
    </row>
    <row r="2784" spans="3:11" x14ac:dyDescent="0.3">
      <c r="C2784" s="30" t="s">
        <v>35</v>
      </c>
      <c r="D2784" s="31" t="s">
        <v>36</v>
      </c>
      <c r="E2784" s="32"/>
      <c r="F2784" s="33"/>
      <c r="G2784" s="34">
        <f>$M$9</f>
        <v>0.1</v>
      </c>
      <c r="H2784" s="19">
        <f>H2783*G2784</f>
        <v>63086</v>
      </c>
      <c r="I2784" s="47"/>
    </row>
    <row r="2785" spans="3:11" x14ac:dyDescent="0.3">
      <c r="C2785" s="30" t="s">
        <v>37</v>
      </c>
      <c r="D2785" s="31" t="s">
        <v>38</v>
      </c>
      <c r="E2785" s="32"/>
      <c r="F2785" s="32"/>
      <c r="G2785" s="33"/>
      <c r="H2785" s="48">
        <f>SUM(H2783:H2784)</f>
        <v>693946</v>
      </c>
      <c r="I2785" s="47"/>
    </row>
    <row r="2787" spans="3:11" x14ac:dyDescent="0.3">
      <c r="C2787" s="40" t="s">
        <v>557</v>
      </c>
      <c r="D2787" s="68" t="s">
        <v>558</v>
      </c>
      <c r="E2787" s="44"/>
      <c r="F2787" s="44"/>
      <c r="G2787" s="44"/>
      <c r="H2787" s="44"/>
      <c r="I2787" s="10">
        <f>ROUNDDOWN(H2802,0)</f>
        <v>721446</v>
      </c>
      <c r="J2787" s="15" t="s">
        <v>513</v>
      </c>
      <c r="K2787" s="39"/>
    </row>
    <row r="2788" spans="3:11" ht="27.6" x14ac:dyDescent="0.3">
      <c r="C2788" s="11" t="s">
        <v>9</v>
      </c>
      <c r="D2788" s="11" t="s">
        <v>10</v>
      </c>
      <c r="E2788" s="11" t="s">
        <v>11</v>
      </c>
      <c r="F2788" s="11" t="s">
        <v>12</v>
      </c>
      <c r="G2788" s="11" t="s">
        <v>13</v>
      </c>
      <c r="H2788" s="11" t="s">
        <v>14</v>
      </c>
    </row>
    <row r="2789" spans="3:11" x14ac:dyDescent="0.25">
      <c r="C2789" s="12" t="s">
        <v>15</v>
      </c>
      <c r="D2789" s="13" t="s">
        <v>16</v>
      </c>
      <c r="E2789" s="14"/>
      <c r="F2789" s="14"/>
      <c r="G2789" s="14"/>
      <c r="H2789" s="14"/>
    </row>
    <row r="2790" spans="3:11" x14ac:dyDescent="0.3">
      <c r="C2790" s="16">
        <v>1</v>
      </c>
      <c r="D2790" s="13" t="s">
        <v>18</v>
      </c>
      <c r="E2790" s="17" t="s">
        <v>19</v>
      </c>
      <c r="F2790" s="18">
        <v>0.17899999999999999</v>
      </c>
      <c r="G2790" s="19">
        <f>VLOOKUP(D2790,upahbahan,3,FALSE)</f>
        <v>100000</v>
      </c>
      <c r="H2790" s="19">
        <f t="shared" ref="H2790:H2793" si="285">F2790*G2790</f>
        <v>17900</v>
      </c>
    </row>
    <row r="2791" spans="3:11" x14ac:dyDescent="0.3">
      <c r="C2791" s="16">
        <v>2</v>
      </c>
      <c r="D2791" s="13" t="s">
        <v>214</v>
      </c>
      <c r="E2791" s="17" t="s">
        <v>19</v>
      </c>
      <c r="F2791" s="18">
        <v>0.29799999999999999</v>
      </c>
      <c r="G2791" s="19">
        <f>VLOOKUP(D2791,upahbahan,3,FALSE)</f>
        <v>145000</v>
      </c>
      <c r="H2791" s="19">
        <f t="shared" si="285"/>
        <v>43210</v>
      </c>
    </row>
    <row r="2792" spans="3:11" x14ac:dyDescent="0.3">
      <c r="C2792" s="16">
        <v>3</v>
      </c>
      <c r="D2792" s="13" t="s">
        <v>22</v>
      </c>
      <c r="E2792" s="17" t="s">
        <v>19</v>
      </c>
      <c r="F2792" s="18">
        <v>0.03</v>
      </c>
      <c r="G2792" s="19">
        <f>VLOOKUP(D2792,upahbahan,3,FALSE)</f>
        <v>175000</v>
      </c>
      <c r="H2792" s="19">
        <f t="shared" si="285"/>
        <v>5250</v>
      </c>
    </row>
    <row r="2793" spans="3:11" x14ac:dyDescent="0.3">
      <c r="C2793" s="16">
        <v>4</v>
      </c>
      <c r="D2793" s="13" t="s">
        <v>23</v>
      </c>
      <c r="E2793" s="17" t="s">
        <v>19</v>
      </c>
      <c r="F2793" s="18">
        <v>0.01</v>
      </c>
      <c r="G2793" s="19">
        <f>VLOOKUP(D2793,upahbahan,3,FALSE)</f>
        <v>200000</v>
      </c>
      <c r="H2793" s="19">
        <f t="shared" si="285"/>
        <v>2000</v>
      </c>
    </row>
    <row r="2794" spans="3:11" x14ac:dyDescent="0.3">
      <c r="C2794" s="21" t="s">
        <v>24</v>
      </c>
      <c r="D2794" s="22"/>
      <c r="E2794" s="22"/>
      <c r="F2794" s="54"/>
      <c r="G2794" s="24"/>
      <c r="H2794" s="19">
        <f>SUM(H2790:H2793)</f>
        <v>68360</v>
      </c>
      <c r="I2794" s="25"/>
    </row>
    <row r="2795" spans="3:11" x14ac:dyDescent="0.25">
      <c r="C2795" s="12" t="s">
        <v>25</v>
      </c>
      <c r="D2795" s="13" t="s">
        <v>26</v>
      </c>
      <c r="E2795" s="14"/>
      <c r="F2795" s="55"/>
      <c r="G2795" s="14"/>
      <c r="H2795" s="14"/>
    </row>
    <row r="2796" spans="3:11" ht="55.2" x14ac:dyDescent="0.3">
      <c r="C2796" s="63" t="s">
        <v>202</v>
      </c>
      <c r="D2796" s="13" t="s">
        <v>559</v>
      </c>
      <c r="E2796" s="27" t="s">
        <v>28</v>
      </c>
      <c r="F2796" s="59">
        <v>1.25</v>
      </c>
      <c r="G2796" s="19">
        <f>VLOOKUP(D2796,upahbahan,3,FALSE)</f>
        <v>470000</v>
      </c>
      <c r="H2796" s="19">
        <f t="shared" ref="H2796" si="286">F2796*G2796</f>
        <v>587500</v>
      </c>
    </row>
    <row r="2797" spans="3:11" x14ac:dyDescent="0.3">
      <c r="C2797" s="21" t="s">
        <v>29</v>
      </c>
      <c r="D2797" s="22"/>
      <c r="E2797" s="22"/>
      <c r="F2797" s="22"/>
      <c r="G2797" s="28"/>
      <c r="H2797" s="19">
        <f>SUM(H2796:H2796)</f>
        <v>587500</v>
      </c>
    </row>
    <row r="2798" spans="3:11" x14ac:dyDescent="0.25">
      <c r="C2798" s="12" t="s">
        <v>30</v>
      </c>
      <c r="D2798" s="13" t="s">
        <v>31</v>
      </c>
      <c r="E2798" s="14"/>
      <c r="F2798" s="14"/>
      <c r="G2798" s="14"/>
      <c r="H2798" s="14"/>
    </row>
    <row r="2799" spans="3:11" x14ac:dyDescent="0.3">
      <c r="C2799" s="21" t="s">
        <v>32</v>
      </c>
      <c r="D2799" s="22"/>
      <c r="E2799" s="22"/>
      <c r="F2799" s="22"/>
      <c r="G2799" s="28"/>
      <c r="H2799" s="29">
        <v>0</v>
      </c>
    </row>
    <row r="2800" spans="3:11" x14ac:dyDescent="0.3">
      <c r="C2800" s="30" t="s">
        <v>33</v>
      </c>
      <c r="D2800" s="31" t="s">
        <v>34</v>
      </c>
      <c r="E2800" s="32"/>
      <c r="F2800" s="32"/>
      <c r="G2800" s="33"/>
      <c r="H2800" s="46">
        <f>H2799+H2797+H2794</f>
        <v>655860</v>
      </c>
      <c r="I2800" s="47"/>
    </row>
    <row r="2801" spans="3:11" x14ac:dyDescent="0.3">
      <c r="C2801" s="30" t="s">
        <v>35</v>
      </c>
      <c r="D2801" s="31" t="s">
        <v>36</v>
      </c>
      <c r="E2801" s="32"/>
      <c r="F2801" s="33"/>
      <c r="G2801" s="34">
        <f>$M$9</f>
        <v>0.1</v>
      </c>
      <c r="H2801" s="19">
        <f>H2800*G2801</f>
        <v>65586</v>
      </c>
      <c r="I2801" s="47"/>
    </row>
    <row r="2802" spans="3:11" x14ac:dyDescent="0.3">
      <c r="C2802" s="30" t="s">
        <v>37</v>
      </c>
      <c r="D2802" s="31" t="s">
        <v>38</v>
      </c>
      <c r="E2802" s="32"/>
      <c r="F2802" s="32"/>
      <c r="G2802" s="33"/>
      <c r="H2802" s="48">
        <f>SUM(H2800:H2801)</f>
        <v>721446</v>
      </c>
      <c r="I2802" s="47"/>
    </row>
    <row r="2804" spans="3:11" x14ac:dyDescent="0.3">
      <c r="C2804" s="40" t="s">
        <v>560</v>
      </c>
      <c r="D2804" s="68" t="s">
        <v>561</v>
      </c>
      <c r="E2804" s="44"/>
      <c r="F2804" s="44"/>
      <c r="G2804" s="44"/>
      <c r="H2804" s="44"/>
      <c r="I2804" s="10">
        <f>ROUNDDOWN(H2819,0)</f>
        <v>748946</v>
      </c>
      <c r="J2804" s="15" t="s">
        <v>513</v>
      </c>
      <c r="K2804" s="39"/>
    </row>
    <row r="2805" spans="3:11" ht="27.6" x14ac:dyDescent="0.3">
      <c r="C2805" s="11" t="s">
        <v>9</v>
      </c>
      <c r="D2805" s="11" t="s">
        <v>10</v>
      </c>
      <c r="E2805" s="11" t="s">
        <v>11</v>
      </c>
      <c r="F2805" s="11" t="s">
        <v>12</v>
      </c>
      <c r="G2805" s="11" t="s">
        <v>13</v>
      </c>
      <c r="H2805" s="11" t="s">
        <v>14</v>
      </c>
    </row>
    <row r="2806" spans="3:11" x14ac:dyDescent="0.25">
      <c r="C2806" s="12" t="s">
        <v>15</v>
      </c>
      <c r="D2806" s="13" t="s">
        <v>16</v>
      </c>
      <c r="E2806" s="14"/>
      <c r="F2806" s="14"/>
      <c r="G2806" s="14"/>
      <c r="H2806" s="14"/>
    </row>
    <row r="2807" spans="3:11" x14ac:dyDescent="0.3">
      <c r="C2807" s="16">
        <v>1</v>
      </c>
      <c r="D2807" s="13" t="s">
        <v>18</v>
      </c>
      <c r="E2807" s="17" t="s">
        <v>19</v>
      </c>
      <c r="F2807" s="18">
        <v>0.17899999999999999</v>
      </c>
      <c r="G2807" s="19">
        <f>VLOOKUP(D2807,upahbahan,3,FALSE)</f>
        <v>100000</v>
      </c>
      <c r="H2807" s="19">
        <f t="shared" ref="H2807:H2810" si="287">F2807*G2807</f>
        <v>17900</v>
      </c>
    </row>
    <row r="2808" spans="3:11" x14ac:dyDescent="0.3">
      <c r="C2808" s="16">
        <v>2</v>
      </c>
      <c r="D2808" s="13" t="s">
        <v>214</v>
      </c>
      <c r="E2808" s="17" t="s">
        <v>19</v>
      </c>
      <c r="F2808" s="18">
        <v>0.29799999999999999</v>
      </c>
      <c r="G2808" s="19">
        <f>VLOOKUP(D2808,upahbahan,3,FALSE)</f>
        <v>145000</v>
      </c>
      <c r="H2808" s="19">
        <f t="shared" si="287"/>
        <v>43210</v>
      </c>
    </row>
    <row r="2809" spans="3:11" x14ac:dyDescent="0.3">
      <c r="C2809" s="16">
        <v>3</v>
      </c>
      <c r="D2809" s="13" t="s">
        <v>22</v>
      </c>
      <c r="E2809" s="17" t="s">
        <v>19</v>
      </c>
      <c r="F2809" s="18">
        <v>0.03</v>
      </c>
      <c r="G2809" s="19">
        <f>VLOOKUP(D2809,upahbahan,3,FALSE)</f>
        <v>175000</v>
      </c>
      <c r="H2809" s="19">
        <f t="shared" si="287"/>
        <v>5250</v>
      </c>
    </row>
    <row r="2810" spans="3:11" x14ac:dyDescent="0.3">
      <c r="C2810" s="16">
        <v>4</v>
      </c>
      <c r="D2810" s="13" t="s">
        <v>23</v>
      </c>
      <c r="E2810" s="17" t="s">
        <v>19</v>
      </c>
      <c r="F2810" s="18">
        <v>0.01</v>
      </c>
      <c r="G2810" s="19">
        <f>VLOOKUP(D2810,upahbahan,3,FALSE)</f>
        <v>200000</v>
      </c>
      <c r="H2810" s="19">
        <f t="shared" si="287"/>
        <v>2000</v>
      </c>
    </row>
    <row r="2811" spans="3:11" x14ac:dyDescent="0.3">
      <c r="C2811" s="21" t="s">
        <v>24</v>
      </c>
      <c r="D2811" s="22"/>
      <c r="E2811" s="22"/>
      <c r="F2811" s="54"/>
      <c r="G2811" s="24"/>
      <c r="H2811" s="19">
        <f>SUM(H2807:H2810)</f>
        <v>68360</v>
      </c>
      <c r="I2811" s="25"/>
    </row>
    <row r="2812" spans="3:11" x14ac:dyDescent="0.25">
      <c r="C2812" s="12" t="s">
        <v>25</v>
      </c>
      <c r="D2812" s="13" t="s">
        <v>26</v>
      </c>
      <c r="E2812" s="14"/>
      <c r="F2812" s="55"/>
      <c r="G2812" s="14"/>
      <c r="H2812" s="14"/>
    </row>
    <row r="2813" spans="3:11" ht="69" x14ac:dyDescent="0.3">
      <c r="C2813" s="63" t="s">
        <v>202</v>
      </c>
      <c r="D2813" s="13" t="s">
        <v>562</v>
      </c>
      <c r="E2813" s="27" t="s">
        <v>28</v>
      </c>
      <c r="F2813" s="59">
        <v>1.25</v>
      </c>
      <c r="G2813" s="19">
        <f>VLOOKUP(D2813,upahbahan,3,FALSE)</f>
        <v>490000</v>
      </c>
      <c r="H2813" s="19">
        <f t="shared" ref="H2813" si="288">F2813*G2813</f>
        <v>612500</v>
      </c>
    </row>
    <row r="2814" spans="3:11" x14ac:dyDescent="0.3">
      <c r="C2814" s="21" t="s">
        <v>29</v>
      </c>
      <c r="D2814" s="22"/>
      <c r="E2814" s="22"/>
      <c r="F2814" s="22"/>
      <c r="G2814" s="28"/>
      <c r="H2814" s="19">
        <f>SUM(H2813:H2813)</f>
        <v>612500</v>
      </c>
    </row>
    <row r="2815" spans="3:11" x14ac:dyDescent="0.25">
      <c r="C2815" s="12" t="s">
        <v>30</v>
      </c>
      <c r="D2815" s="13" t="s">
        <v>31</v>
      </c>
      <c r="E2815" s="14"/>
      <c r="F2815" s="14"/>
      <c r="G2815" s="14"/>
      <c r="H2815" s="14"/>
    </row>
    <row r="2816" spans="3:11" x14ac:dyDescent="0.3">
      <c r="C2816" s="21" t="s">
        <v>32</v>
      </c>
      <c r="D2816" s="22"/>
      <c r="E2816" s="22"/>
      <c r="F2816" s="22"/>
      <c r="G2816" s="28"/>
      <c r="H2816" s="29">
        <v>0</v>
      </c>
    </row>
    <row r="2817" spans="3:11" x14ac:dyDescent="0.3">
      <c r="C2817" s="30" t="s">
        <v>33</v>
      </c>
      <c r="D2817" s="31" t="s">
        <v>34</v>
      </c>
      <c r="E2817" s="32"/>
      <c r="F2817" s="32"/>
      <c r="G2817" s="33"/>
      <c r="H2817" s="46">
        <f>H2816+H2814+H2811</f>
        <v>680860</v>
      </c>
      <c r="I2817" s="47"/>
    </row>
    <row r="2818" spans="3:11" x14ac:dyDescent="0.3">
      <c r="C2818" s="30" t="s">
        <v>35</v>
      </c>
      <c r="D2818" s="31" t="s">
        <v>36</v>
      </c>
      <c r="E2818" s="32"/>
      <c r="F2818" s="33"/>
      <c r="G2818" s="34">
        <f>$M$9</f>
        <v>0.1</v>
      </c>
      <c r="H2818" s="19">
        <f>H2817*G2818</f>
        <v>68086</v>
      </c>
      <c r="I2818" s="47"/>
    </row>
    <row r="2819" spans="3:11" x14ac:dyDescent="0.3">
      <c r="C2819" s="30" t="s">
        <v>37</v>
      </c>
      <c r="D2819" s="31" t="s">
        <v>38</v>
      </c>
      <c r="E2819" s="32"/>
      <c r="F2819" s="32"/>
      <c r="G2819" s="33"/>
      <c r="H2819" s="48">
        <f>SUM(H2817:H2818)</f>
        <v>748946</v>
      </c>
      <c r="I2819" s="47"/>
    </row>
    <row r="2821" spans="3:11" x14ac:dyDescent="0.3">
      <c r="C2821" s="40" t="s">
        <v>563</v>
      </c>
      <c r="D2821" s="68" t="s">
        <v>564</v>
      </c>
      <c r="E2821" s="44"/>
      <c r="F2821" s="44"/>
      <c r="G2821" s="44"/>
      <c r="H2821" s="44"/>
      <c r="I2821" s="10">
        <f>ROUNDDOWN(H2836,0)</f>
        <v>776446</v>
      </c>
      <c r="J2821" s="15" t="s">
        <v>513</v>
      </c>
      <c r="K2821" s="39"/>
    </row>
    <row r="2822" spans="3:11" ht="27.6" x14ac:dyDescent="0.3">
      <c r="C2822" s="11" t="s">
        <v>9</v>
      </c>
      <c r="D2822" s="11" t="s">
        <v>10</v>
      </c>
      <c r="E2822" s="11" t="s">
        <v>11</v>
      </c>
      <c r="F2822" s="11" t="s">
        <v>12</v>
      </c>
      <c r="G2822" s="11" t="s">
        <v>13</v>
      </c>
      <c r="H2822" s="11" t="s">
        <v>14</v>
      </c>
    </row>
    <row r="2823" spans="3:11" x14ac:dyDescent="0.25">
      <c r="C2823" s="12" t="s">
        <v>15</v>
      </c>
      <c r="D2823" s="13" t="s">
        <v>16</v>
      </c>
      <c r="E2823" s="14"/>
      <c r="F2823" s="14"/>
      <c r="G2823" s="14"/>
      <c r="H2823" s="14"/>
    </row>
    <row r="2824" spans="3:11" x14ac:dyDescent="0.3">
      <c r="C2824" s="16">
        <v>1</v>
      </c>
      <c r="D2824" s="13" t="s">
        <v>18</v>
      </c>
      <c r="E2824" s="17" t="s">
        <v>19</v>
      </c>
      <c r="F2824" s="18">
        <v>0.17899999999999999</v>
      </c>
      <c r="G2824" s="19">
        <f>VLOOKUP(D2824,upahbahan,3,FALSE)</f>
        <v>100000</v>
      </c>
      <c r="H2824" s="19">
        <f t="shared" ref="H2824:H2827" si="289">F2824*G2824</f>
        <v>17900</v>
      </c>
    </row>
    <row r="2825" spans="3:11" x14ac:dyDescent="0.3">
      <c r="C2825" s="16">
        <v>2</v>
      </c>
      <c r="D2825" s="13" t="s">
        <v>214</v>
      </c>
      <c r="E2825" s="17" t="s">
        <v>19</v>
      </c>
      <c r="F2825" s="18">
        <v>0.29799999999999999</v>
      </c>
      <c r="G2825" s="19">
        <f>VLOOKUP(D2825,upahbahan,3,FALSE)</f>
        <v>145000</v>
      </c>
      <c r="H2825" s="19">
        <f t="shared" si="289"/>
        <v>43210</v>
      </c>
    </row>
    <row r="2826" spans="3:11" x14ac:dyDescent="0.3">
      <c r="C2826" s="16">
        <v>3</v>
      </c>
      <c r="D2826" s="13" t="s">
        <v>22</v>
      </c>
      <c r="E2826" s="17" t="s">
        <v>19</v>
      </c>
      <c r="F2826" s="18">
        <v>0.03</v>
      </c>
      <c r="G2826" s="19">
        <f>VLOOKUP(D2826,upahbahan,3,FALSE)</f>
        <v>175000</v>
      </c>
      <c r="H2826" s="19">
        <f t="shared" si="289"/>
        <v>5250</v>
      </c>
    </row>
    <row r="2827" spans="3:11" x14ac:dyDescent="0.3">
      <c r="C2827" s="16">
        <v>4</v>
      </c>
      <c r="D2827" s="13" t="s">
        <v>23</v>
      </c>
      <c r="E2827" s="17" t="s">
        <v>19</v>
      </c>
      <c r="F2827" s="18">
        <v>0.01</v>
      </c>
      <c r="G2827" s="19">
        <f>VLOOKUP(D2827,upahbahan,3,FALSE)</f>
        <v>200000</v>
      </c>
      <c r="H2827" s="19">
        <f t="shared" si="289"/>
        <v>2000</v>
      </c>
    </row>
    <row r="2828" spans="3:11" x14ac:dyDescent="0.3">
      <c r="C2828" s="21" t="s">
        <v>24</v>
      </c>
      <c r="D2828" s="22"/>
      <c r="E2828" s="22"/>
      <c r="F2828" s="54"/>
      <c r="G2828" s="24"/>
      <c r="H2828" s="19">
        <f>SUM(H2824:H2827)</f>
        <v>68360</v>
      </c>
      <c r="I2828" s="25"/>
    </row>
    <row r="2829" spans="3:11" x14ac:dyDescent="0.25">
      <c r="C2829" s="12" t="s">
        <v>25</v>
      </c>
      <c r="D2829" s="13" t="s">
        <v>26</v>
      </c>
      <c r="E2829" s="14"/>
      <c r="F2829" s="55"/>
      <c r="G2829" s="14"/>
      <c r="H2829" s="14"/>
    </row>
    <row r="2830" spans="3:11" ht="27.6" x14ac:dyDescent="0.3">
      <c r="C2830" s="63" t="s">
        <v>202</v>
      </c>
      <c r="D2830" s="13" t="s">
        <v>565</v>
      </c>
      <c r="E2830" s="27" t="s">
        <v>28</v>
      </c>
      <c r="F2830" s="59">
        <v>1.25</v>
      </c>
      <c r="G2830" s="19">
        <f>VLOOKUP(D2830,upahbahan,3,FALSE)</f>
        <v>510000</v>
      </c>
      <c r="H2830" s="19">
        <f t="shared" ref="H2830" si="290">F2830*G2830</f>
        <v>637500</v>
      </c>
    </row>
    <row r="2831" spans="3:11" x14ac:dyDescent="0.3">
      <c r="C2831" s="21" t="s">
        <v>29</v>
      </c>
      <c r="D2831" s="22"/>
      <c r="E2831" s="22"/>
      <c r="F2831" s="22"/>
      <c r="G2831" s="28"/>
      <c r="H2831" s="19">
        <f>SUM(H2830:H2830)</f>
        <v>637500</v>
      </c>
    </row>
    <row r="2832" spans="3:11" x14ac:dyDescent="0.25">
      <c r="C2832" s="12" t="s">
        <v>30</v>
      </c>
      <c r="D2832" s="13" t="s">
        <v>31</v>
      </c>
      <c r="E2832" s="14"/>
      <c r="F2832" s="14"/>
      <c r="G2832" s="14"/>
      <c r="H2832" s="14"/>
    </row>
    <row r="2833" spans="3:11" x14ac:dyDescent="0.3">
      <c r="C2833" s="21" t="s">
        <v>32</v>
      </c>
      <c r="D2833" s="22"/>
      <c r="E2833" s="22"/>
      <c r="F2833" s="22"/>
      <c r="G2833" s="28"/>
      <c r="H2833" s="29">
        <v>0</v>
      </c>
    </row>
    <row r="2834" spans="3:11" x14ac:dyDescent="0.3">
      <c r="C2834" s="30" t="s">
        <v>33</v>
      </c>
      <c r="D2834" s="31" t="s">
        <v>34</v>
      </c>
      <c r="E2834" s="32"/>
      <c r="F2834" s="32"/>
      <c r="G2834" s="33"/>
      <c r="H2834" s="46">
        <f>H2833+H2831+H2828</f>
        <v>705860</v>
      </c>
      <c r="I2834" s="47"/>
    </row>
    <row r="2835" spans="3:11" x14ac:dyDescent="0.3">
      <c r="C2835" s="30" t="s">
        <v>35</v>
      </c>
      <c r="D2835" s="31" t="s">
        <v>36</v>
      </c>
      <c r="E2835" s="32"/>
      <c r="F2835" s="33"/>
      <c r="G2835" s="34">
        <f>$M$9</f>
        <v>0.1</v>
      </c>
      <c r="H2835" s="19">
        <f>H2834*G2835</f>
        <v>70586</v>
      </c>
      <c r="I2835" s="47"/>
    </row>
    <row r="2836" spans="3:11" x14ac:dyDescent="0.3">
      <c r="C2836" s="30" t="s">
        <v>37</v>
      </c>
      <c r="D2836" s="31" t="s">
        <v>38</v>
      </c>
      <c r="E2836" s="32"/>
      <c r="F2836" s="32"/>
      <c r="G2836" s="33"/>
      <c r="H2836" s="48">
        <f>SUM(H2834:H2835)</f>
        <v>776446</v>
      </c>
      <c r="I2836" s="47"/>
    </row>
    <row r="2838" spans="3:11" x14ac:dyDescent="0.3">
      <c r="C2838" s="40" t="s">
        <v>566</v>
      </c>
      <c r="D2838" s="68" t="s">
        <v>567</v>
      </c>
      <c r="E2838" s="44"/>
      <c r="F2838" s="44"/>
      <c r="G2838" s="44"/>
      <c r="H2838" s="44"/>
      <c r="I2838" s="10">
        <f>ROUNDDOWN(H2853,0)</f>
        <v>531470</v>
      </c>
      <c r="J2838" s="15" t="s">
        <v>513</v>
      </c>
      <c r="K2838" s="39"/>
    </row>
    <row r="2839" spans="3:11" ht="27.6" x14ac:dyDescent="0.3">
      <c r="C2839" s="11" t="s">
        <v>9</v>
      </c>
      <c r="D2839" s="11" t="s">
        <v>10</v>
      </c>
      <c r="E2839" s="11" t="s">
        <v>11</v>
      </c>
      <c r="F2839" s="11" t="s">
        <v>12</v>
      </c>
      <c r="G2839" s="11" t="s">
        <v>13</v>
      </c>
      <c r="H2839" s="11" t="s">
        <v>14</v>
      </c>
    </row>
    <row r="2840" spans="3:11" x14ac:dyDescent="0.25">
      <c r="C2840" s="12" t="s">
        <v>15</v>
      </c>
      <c r="D2840" s="13" t="s">
        <v>16</v>
      </c>
      <c r="E2840" s="14"/>
      <c r="F2840" s="14"/>
      <c r="G2840" s="14"/>
      <c r="H2840" s="14"/>
    </row>
    <row r="2841" spans="3:11" x14ac:dyDescent="0.3">
      <c r="C2841" s="16">
        <v>1</v>
      </c>
      <c r="D2841" s="13" t="s">
        <v>18</v>
      </c>
      <c r="E2841" s="17" t="s">
        <v>19</v>
      </c>
      <c r="F2841" s="18">
        <v>0.11899999999999999</v>
      </c>
      <c r="G2841" s="19">
        <f>VLOOKUP(D2841,upahbahan,3,FALSE)</f>
        <v>100000</v>
      </c>
      <c r="H2841" s="19">
        <f t="shared" ref="H2841:H2844" si="291">F2841*G2841</f>
        <v>11900</v>
      </c>
    </row>
    <row r="2842" spans="3:11" x14ac:dyDescent="0.3">
      <c r="C2842" s="16">
        <v>2</v>
      </c>
      <c r="D2842" s="13" t="s">
        <v>214</v>
      </c>
      <c r="E2842" s="17" t="s">
        <v>19</v>
      </c>
      <c r="F2842" s="18">
        <v>0.19900000000000001</v>
      </c>
      <c r="G2842" s="19">
        <f>VLOOKUP(D2842,upahbahan,3,FALSE)</f>
        <v>145000</v>
      </c>
      <c r="H2842" s="19">
        <f t="shared" si="291"/>
        <v>28855</v>
      </c>
    </row>
    <row r="2843" spans="3:11" x14ac:dyDescent="0.3">
      <c r="C2843" s="16">
        <v>3</v>
      </c>
      <c r="D2843" s="13" t="s">
        <v>22</v>
      </c>
      <c r="E2843" s="17" t="s">
        <v>19</v>
      </c>
      <c r="F2843" s="18">
        <v>0.02</v>
      </c>
      <c r="G2843" s="19">
        <f>VLOOKUP(D2843,upahbahan,3,FALSE)</f>
        <v>175000</v>
      </c>
      <c r="H2843" s="19">
        <f t="shared" si="291"/>
        <v>3500</v>
      </c>
    </row>
    <row r="2844" spans="3:11" x14ac:dyDescent="0.3">
      <c r="C2844" s="16">
        <v>4</v>
      </c>
      <c r="D2844" s="13" t="s">
        <v>23</v>
      </c>
      <c r="E2844" s="17" t="s">
        <v>19</v>
      </c>
      <c r="F2844" s="18">
        <v>7.0000000000000001E-3</v>
      </c>
      <c r="G2844" s="19">
        <f>VLOOKUP(D2844,upahbahan,3,FALSE)</f>
        <v>200000</v>
      </c>
      <c r="H2844" s="19">
        <f t="shared" si="291"/>
        <v>1400</v>
      </c>
    </row>
    <row r="2845" spans="3:11" x14ac:dyDescent="0.3">
      <c r="C2845" s="21" t="s">
        <v>24</v>
      </c>
      <c r="D2845" s="22"/>
      <c r="E2845" s="22"/>
      <c r="F2845" s="54"/>
      <c r="G2845" s="24"/>
      <c r="H2845" s="19">
        <f>SUM(H2841:H2844)</f>
        <v>45655</v>
      </c>
      <c r="I2845" s="25"/>
    </row>
    <row r="2846" spans="3:11" x14ac:dyDescent="0.25">
      <c r="C2846" s="12" t="s">
        <v>25</v>
      </c>
      <c r="D2846" s="13" t="s">
        <v>26</v>
      </c>
      <c r="E2846" s="14"/>
      <c r="F2846" s="55"/>
      <c r="G2846" s="14"/>
      <c r="H2846" s="14"/>
    </row>
    <row r="2847" spans="3:11" ht="27.6" x14ac:dyDescent="0.3">
      <c r="C2847" s="63" t="s">
        <v>202</v>
      </c>
      <c r="D2847" s="13" t="s">
        <v>568</v>
      </c>
      <c r="E2847" s="27" t="s">
        <v>28</v>
      </c>
      <c r="F2847" s="59">
        <v>1.25</v>
      </c>
      <c r="G2847" s="19">
        <f>VLOOKUP(D2847,upahbahan,3,FALSE)</f>
        <v>350000</v>
      </c>
      <c r="H2847" s="19">
        <f t="shared" ref="H2847" si="292">F2847*G2847</f>
        <v>437500</v>
      </c>
    </row>
    <row r="2848" spans="3:11" x14ac:dyDescent="0.3">
      <c r="C2848" s="21" t="s">
        <v>29</v>
      </c>
      <c r="D2848" s="22"/>
      <c r="E2848" s="22"/>
      <c r="F2848" s="22"/>
      <c r="G2848" s="28"/>
      <c r="H2848" s="19">
        <f>SUM(H2847:H2847)</f>
        <v>437500</v>
      </c>
    </row>
    <row r="2849" spans="3:11" x14ac:dyDescent="0.25">
      <c r="C2849" s="12" t="s">
        <v>30</v>
      </c>
      <c r="D2849" s="13" t="s">
        <v>31</v>
      </c>
      <c r="E2849" s="14"/>
      <c r="F2849" s="14"/>
      <c r="G2849" s="14"/>
      <c r="H2849" s="14"/>
    </row>
    <row r="2850" spans="3:11" x14ac:dyDescent="0.3">
      <c r="C2850" s="21" t="s">
        <v>32</v>
      </c>
      <c r="D2850" s="22"/>
      <c r="E2850" s="22"/>
      <c r="F2850" s="22"/>
      <c r="G2850" s="28"/>
      <c r="H2850" s="29">
        <v>0</v>
      </c>
    </row>
    <row r="2851" spans="3:11" x14ac:dyDescent="0.3">
      <c r="C2851" s="30" t="s">
        <v>33</v>
      </c>
      <c r="D2851" s="31" t="s">
        <v>34</v>
      </c>
      <c r="E2851" s="32"/>
      <c r="F2851" s="32"/>
      <c r="G2851" s="33"/>
      <c r="H2851" s="46">
        <f>H2850+H2848+H2845</f>
        <v>483155</v>
      </c>
      <c r="I2851" s="47"/>
    </row>
    <row r="2852" spans="3:11" x14ac:dyDescent="0.3">
      <c r="C2852" s="30" t="s">
        <v>35</v>
      </c>
      <c r="D2852" s="31" t="s">
        <v>36</v>
      </c>
      <c r="E2852" s="32"/>
      <c r="F2852" s="33"/>
      <c r="G2852" s="34">
        <f>$M$9</f>
        <v>0.1</v>
      </c>
      <c r="H2852" s="19">
        <f>H2851*G2852</f>
        <v>48315.5</v>
      </c>
      <c r="I2852" s="47"/>
    </row>
    <row r="2853" spans="3:11" x14ac:dyDescent="0.3">
      <c r="C2853" s="30" t="s">
        <v>37</v>
      </c>
      <c r="D2853" s="31" t="s">
        <v>38</v>
      </c>
      <c r="E2853" s="32"/>
      <c r="F2853" s="32"/>
      <c r="G2853" s="33"/>
      <c r="H2853" s="48">
        <f>SUM(H2851:H2852)</f>
        <v>531470.5</v>
      </c>
      <c r="I2853" s="47"/>
    </row>
    <row r="2855" spans="3:11" x14ac:dyDescent="0.3">
      <c r="C2855" s="40" t="s">
        <v>569</v>
      </c>
      <c r="D2855" s="68" t="s">
        <v>570</v>
      </c>
      <c r="E2855" s="44"/>
      <c r="F2855" s="44"/>
      <c r="G2855" s="44"/>
      <c r="H2855" s="44"/>
      <c r="I2855" s="10">
        <f>ROUNDDOWN(H2870,0)</f>
        <v>558970</v>
      </c>
      <c r="J2855" s="15" t="s">
        <v>513</v>
      </c>
      <c r="K2855" s="39"/>
    </row>
    <row r="2856" spans="3:11" ht="27.6" x14ac:dyDescent="0.3">
      <c r="C2856" s="11" t="s">
        <v>9</v>
      </c>
      <c r="D2856" s="11" t="s">
        <v>10</v>
      </c>
      <c r="E2856" s="11" t="s">
        <v>11</v>
      </c>
      <c r="F2856" s="11" t="s">
        <v>12</v>
      </c>
      <c r="G2856" s="11" t="s">
        <v>13</v>
      </c>
      <c r="H2856" s="11" t="s">
        <v>14</v>
      </c>
    </row>
    <row r="2857" spans="3:11" x14ac:dyDescent="0.25">
      <c r="C2857" s="12" t="s">
        <v>15</v>
      </c>
      <c r="D2857" s="13" t="s">
        <v>16</v>
      </c>
      <c r="E2857" s="14"/>
      <c r="F2857" s="14"/>
      <c r="G2857" s="14"/>
      <c r="H2857" s="14"/>
    </row>
    <row r="2858" spans="3:11" x14ac:dyDescent="0.3">
      <c r="C2858" s="16">
        <v>1</v>
      </c>
      <c r="D2858" s="13" t="s">
        <v>18</v>
      </c>
      <c r="E2858" s="17" t="s">
        <v>19</v>
      </c>
      <c r="F2858" s="18">
        <v>0.11899999999999999</v>
      </c>
      <c r="G2858" s="19">
        <f>VLOOKUP(D2858,upahbahan,3,FALSE)</f>
        <v>100000</v>
      </c>
      <c r="H2858" s="19">
        <f t="shared" ref="H2858:H2861" si="293">F2858*G2858</f>
        <v>11900</v>
      </c>
    </row>
    <row r="2859" spans="3:11" x14ac:dyDescent="0.3">
      <c r="C2859" s="16">
        <v>2</v>
      </c>
      <c r="D2859" s="13" t="s">
        <v>214</v>
      </c>
      <c r="E2859" s="17" t="s">
        <v>19</v>
      </c>
      <c r="F2859" s="18">
        <v>0.19900000000000001</v>
      </c>
      <c r="G2859" s="19">
        <f>VLOOKUP(D2859,upahbahan,3,FALSE)</f>
        <v>145000</v>
      </c>
      <c r="H2859" s="19">
        <f t="shared" si="293"/>
        <v>28855</v>
      </c>
    </row>
    <row r="2860" spans="3:11" x14ac:dyDescent="0.3">
      <c r="C2860" s="16">
        <v>3</v>
      </c>
      <c r="D2860" s="13" t="s">
        <v>22</v>
      </c>
      <c r="E2860" s="17" t="s">
        <v>19</v>
      </c>
      <c r="F2860" s="18">
        <v>0.02</v>
      </c>
      <c r="G2860" s="19">
        <f>VLOOKUP(D2860,upahbahan,3,FALSE)</f>
        <v>175000</v>
      </c>
      <c r="H2860" s="19">
        <f t="shared" si="293"/>
        <v>3500</v>
      </c>
    </row>
    <row r="2861" spans="3:11" x14ac:dyDescent="0.3">
      <c r="C2861" s="16">
        <v>4</v>
      </c>
      <c r="D2861" s="13" t="s">
        <v>23</v>
      </c>
      <c r="E2861" s="17" t="s">
        <v>19</v>
      </c>
      <c r="F2861" s="18">
        <v>7.0000000000000001E-3</v>
      </c>
      <c r="G2861" s="19">
        <f>VLOOKUP(D2861,upahbahan,3,FALSE)</f>
        <v>200000</v>
      </c>
      <c r="H2861" s="19">
        <f t="shared" si="293"/>
        <v>1400</v>
      </c>
    </row>
    <row r="2862" spans="3:11" x14ac:dyDescent="0.3">
      <c r="C2862" s="21" t="s">
        <v>24</v>
      </c>
      <c r="D2862" s="22"/>
      <c r="E2862" s="22"/>
      <c r="F2862" s="54"/>
      <c r="G2862" s="24"/>
      <c r="H2862" s="19">
        <f>SUM(H2858:H2861)</f>
        <v>45655</v>
      </c>
      <c r="I2862" s="25"/>
    </row>
    <row r="2863" spans="3:11" x14ac:dyDescent="0.25">
      <c r="C2863" s="12" t="s">
        <v>25</v>
      </c>
      <c r="D2863" s="13" t="s">
        <v>26</v>
      </c>
      <c r="E2863" s="14"/>
      <c r="F2863" s="55"/>
      <c r="G2863" s="14"/>
      <c r="H2863" s="14"/>
    </row>
    <row r="2864" spans="3:11" ht="27.6" x14ac:dyDescent="0.3">
      <c r="C2864" s="63" t="s">
        <v>202</v>
      </c>
      <c r="D2864" s="13" t="s">
        <v>571</v>
      </c>
      <c r="E2864" s="27" t="s">
        <v>28</v>
      </c>
      <c r="F2864" s="59">
        <v>1.25</v>
      </c>
      <c r="G2864" s="19">
        <f>VLOOKUP(D2864,upahbahan,3,FALSE)</f>
        <v>370000</v>
      </c>
      <c r="H2864" s="19">
        <f t="shared" ref="H2864" si="294">F2864*G2864</f>
        <v>462500</v>
      </c>
    </row>
    <row r="2865" spans="3:11" x14ac:dyDescent="0.3">
      <c r="C2865" s="21" t="s">
        <v>29</v>
      </c>
      <c r="D2865" s="22"/>
      <c r="E2865" s="22"/>
      <c r="F2865" s="22"/>
      <c r="G2865" s="28"/>
      <c r="H2865" s="19">
        <f>SUM(H2864:H2864)</f>
        <v>462500</v>
      </c>
    </row>
    <row r="2866" spans="3:11" x14ac:dyDescent="0.25">
      <c r="C2866" s="12" t="s">
        <v>30</v>
      </c>
      <c r="D2866" s="13" t="s">
        <v>31</v>
      </c>
      <c r="E2866" s="14"/>
      <c r="F2866" s="14"/>
      <c r="G2866" s="14"/>
      <c r="H2866" s="14"/>
    </row>
    <row r="2867" spans="3:11" x14ac:dyDescent="0.3">
      <c r="C2867" s="21" t="s">
        <v>32</v>
      </c>
      <c r="D2867" s="22"/>
      <c r="E2867" s="22"/>
      <c r="F2867" s="22"/>
      <c r="G2867" s="28"/>
      <c r="H2867" s="29">
        <v>0</v>
      </c>
    </row>
    <row r="2868" spans="3:11" x14ac:dyDescent="0.3">
      <c r="C2868" s="30" t="s">
        <v>33</v>
      </c>
      <c r="D2868" s="31" t="s">
        <v>34</v>
      </c>
      <c r="E2868" s="32"/>
      <c r="F2868" s="32"/>
      <c r="G2868" s="33"/>
      <c r="H2868" s="46">
        <f>H2867+H2865+H2862</f>
        <v>508155</v>
      </c>
      <c r="I2868" s="47"/>
    </row>
    <row r="2869" spans="3:11" x14ac:dyDescent="0.3">
      <c r="C2869" s="30" t="s">
        <v>35</v>
      </c>
      <c r="D2869" s="31" t="s">
        <v>36</v>
      </c>
      <c r="E2869" s="32"/>
      <c r="F2869" s="33"/>
      <c r="G2869" s="34">
        <f>$M$9</f>
        <v>0.1</v>
      </c>
      <c r="H2869" s="19">
        <f>H2868*G2869</f>
        <v>50815.5</v>
      </c>
      <c r="I2869" s="47"/>
    </row>
    <row r="2870" spans="3:11" x14ac:dyDescent="0.3">
      <c r="C2870" s="30" t="s">
        <v>37</v>
      </c>
      <c r="D2870" s="31" t="s">
        <v>38</v>
      </c>
      <c r="E2870" s="32"/>
      <c r="F2870" s="32"/>
      <c r="G2870" s="33"/>
      <c r="H2870" s="48">
        <f>SUM(H2868:H2869)</f>
        <v>558970.5</v>
      </c>
      <c r="I2870" s="47"/>
    </row>
    <row r="2872" spans="3:11" x14ac:dyDescent="0.3">
      <c r="C2872" s="40" t="s">
        <v>572</v>
      </c>
      <c r="D2872" s="68" t="s">
        <v>573</v>
      </c>
      <c r="E2872" s="44"/>
      <c r="F2872" s="44"/>
      <c r="G2872" s="44"/>
      <c r="H2872" s="44"/>
      <c r="I2872" s="10">
        <f>ROUNDDOWN(H2887,0)</f>
        <v>586470</v>
      </c>
      <c r="J2872" s="15" t="s">
        <v>513</v>
      </c>
      <c r="K2872" s="39"/>
    </row>
    <row r="2873" spans="3:11" ht="27.6" x14ac:dyDescent="0.3">
      <c r="C2873" s="11" t="s">
        <v>9</v>
      </c>
      <c r="D2873" s="11" t="s">
        <v>10</v>
      </c>
      <c r="E2873" s="11" t="s">
        <v>11</v>
      </c>
      <c r="F2873" s="11" t="s">
        <v>12</v>
      </c>
      <c r="G2873" s="11" t="s">
        <v>13</v>
      </c>
      <c r="H2873" s="11" t="s">
        <v>14</v>
      </c>
    </row>
    <row r="2874" spans="3:11" x14ac:dyDescent="0.25">
      <c r="C2874" s="12" t="s">
        <v>15</v>
      </c>
      <c r="D2874" s="13" t="s">
        <v>16</v>
      </c>
      <c r="E2874" s="14"/>
      <c r="F2874" s="14"/>
      <c r="G2874" s="14"/>
      <c r="H2874" s="14"/>
    </row>
    <row r="2875" spans="3:11" x14ac:dyDescent="0.3">
      <c r="C2875" s="16">
        <v>1</v>
      </c>
      <c r="D2875" s="13" t="s">
        <v>18</v>
      </c>
      <c r="E2875" s="17" t="s">
        <v>19</v>
      </c>
      <c r="F2875" s="18">
        <v>0.11899999999999999</v>
      </c>
      <c r="G2875" s="19">
        <f>VLOOKUP(D2875,upahbahan,3,FALSE)</f>
        <v>100000</v>
      </c>
      <c r="H2875" s="19">
        <f t="shared" ref="H2875:H2878" si="295">F2875*G2875</f>
        <v>11900</v>
      </c>
    </row>
    <row r="2876" spans="3:11" x14ac:dyDescent="0.3">
      <c r="C2876" s="16">
        <v>2</v>
      </c>
      <c r="D2876" s="13" t="s">
        <v>214</v>
      </c>
      <c r="E2876" s="17" t="s">
        <v>19</v>
      </c>
      <c r="F2876" s="18">
        <v>0.19900000000000001</v>
      </c>
      <c r="G2876" s="19">
        <f>VLOOKUP(D2876,upahbahan,3,FALSE)</f>
        <v>145000</v>
      </c>
      <c r="H2876" s="19">
        <f t="shared" si="295"/>
        <v>28855</v>
      </c>
    </row>
    <row r="2877" spans="3:11" x14ac:dyDescent="0.3">
      <c r="C2877" s="16">
        <v>3</v>
      </c>
      <c r="D2877" s="13" t="s">
        <v>22</v>
      </c>
      <c r="E2877" s="17" t="s">
        <v>19</v>
      </c>
      <c r="F2877" s="18">
        <v>0.02</v>
      </c>
      <c r="G2877" s="19">
        <f>VLOOKUP(D2877,upahbahan,3,FALSE)</f>
        <v>175000</v>
      </c>
      <c r="H2877" s="19">
        <f t="shared" si="295"/>
        <v>3500</v>
      </c>
    </row>
    <row r="2878" spans="3:11" x14ac:dyDescent="0.3">
      <c r="C2878" s="16">
        <v>4</v>
      </c>
      <c r="D2878" s="13" t="s">
        <v>23</v>
      </c>
      <c r="E2878" s="17" t="s">
        <v>19</v>
      </c>
      <c r="F2878" s="18">
        <v>7.0000000000000001E-3</v>
      </c>
      <c r="G2878" s="19">
        <f>VLOOKUP(D2878,upahbahan,3,FALSE)</f>
        <v>200000</v>
      </c>
      <c r="H2878" s="19">
        <f t="shared" si="295"/>
        <v>1400</v>
      </c>
    </row>
    <row r="2879" spans="3:11" x14ac:dyDescent="0.3">
      <c r="C2879" s="21" t="s">
        <v>24</v>
      </c>
      <c r="D2879" s="22"/>
      <c r="E2879" s="22"/>
      <c r="F2879" s="54"/>
      <c r="G2879" s="24"/>
      <c r="H2879" s="19">
        <f>SUM(H2875:H2878)</f>
        <v>45655</v>
      </c>
      <c r="I2879" s="25"/>
    </row>
    <row r="2880" spans="3:11" x14ac:dyDescent="0.25">
      <c r="C2880" s="12" t="s">
        <v>25</v>
      </c>
      <c r="D2880" s="13" t="s">
        <v>26</v>
      </c>
      <c r="E2880" s="14"/>
      <c r="F2880" s="55"/>
      <c r="G2880" s="14"/>
      <c r="H2880" s="14"/>
    </row>
    <row r="2881" spans="3:11" ht="27.6" x14ac:dyDescent="0.3">
      <c r="C2881" s="63" t="s">
        <v>202</v>
      </c>
      <c r="D2881" s="13" t="s">
        <v>574</v>
      </c>
      <c r="E2881" s="27" t="s">
        <v>28</v>
      </c>
      <c r="F2881" s="59">
        <v>1.25</v>
      </c>
      <c r="G2881" s="19">
        <f>VLOOKUP(D2881,upahbahan,3,FALSE)</f>
        <v>390000</v>
      </c>
      <c r="H2881" s="19">
        <f t="shared" ref="H2881" si="296">F2881*G2881</f>
        <v>487500</v>
      </c>
    </row>
    <row r="2882" spans="3:11" x14ac:dyDescent="0.3">
      <c r="C2882" s="21" t="s">
        <v>29</v>
      </c>
      <c r="D2882" s="22"/>
      <c r="E2882" s="22"/>
      <c r="F2882" s="22"/>
      <c r="G2882" s="28"/>
      <c r="H2882" s="19">
        <f>SUM(H2881:H2881)</f>
        <v>487500</v>
      </c>
    </row>
    <row r="2883" spans="3:11" x14ac:dyDescent="0.25">
      <c r="C2883" s="12" t="s">
        <v>30</v>
      </c>
      <c r="D2883" s="13" t="s">
        <v>31</v>
      </c>
      <c r="E2883" s="14"/>
      <c r="F2883" s="14"/>
      <c r="G2883" s="14"/>
      <c r="H2883" s="14"/>
    </row>
    <row r="2884" spans="3:11" x14ac:dyDescent="0.3">
      <c r="C2884" s="21" t="s">
        <v>32</v>
      </c>
      <c r="D2884" s="22"/>
      <c r="E2884" s="22"/>
      <c r="F2884" s="22"/>
      <c r="G2884" s="28"/>
      <c r="H2884" s="29">
        <v>0</v>
      </c>
    </row>
    <row r="2885" spans="3:11" x14ac:dyDescent="0.3">
      <c r="C2885" s="30" t="s">
        <v>33</v>
      </c>
      <c r="D2885" s="31" t="s">
        <v>34</v>
      </c>
      <c r="E2885" s="32"/>
      <c r="F2885" s="32"/>
      <c r="G2885" s="33"/>
      <c r="H2885" s="46">
        <f>H2884+H2882+H2879</f>
        <v>533155</v>
      </c>
      <c r="I2885" s="47"/>
    </row>
    <row r="2886" spans="3:11" x14ac:dyDescent="0.3">
      <c r="C2886" s="30" t="s">
        <v>35</v>
      </c>
      <c r="D2886" s="31" t="s">
        <v>36</v>
      </c>
      <c r="E2886" s="32"/>
      <c r="F2886" s="33"/>
      <c r="G2886" s="34">
        <f>$M$9</f>
        <v>0.1</v>
      </c>
      <c r="H2886" s="19">
        <f>H2885*G2886</f>
        <v>53315.5</v>
      </c>
      <c r="I2886" s="47"/>
    </row>
    <row r="2887" spans="3:11" x14ac:dyDescent="0.3">
      <c r="C2887" s="30" t="s">
        <v>37</v>
      </c>
      <c r="D2887" s="31" t="s">
        <v>38</v>
      </c>
      <c r="E2887" s="32"/>
      <c r="F2887" s="32"/>
      <c r="G2887" s="33"/>
      <c r="H2887" s="48">
        <f>SUM(H2885:H2886)</f>
        <v>586470.5</v>
      </c>
      <c r="I2887" s="47"/>
    </row>
    <row r="2889" spans="3:11" x14ac:dyDescent="0.3">
      <c r="C2889" s="40" t="s">
        <v>575</v>
      </c>
      <c r="D2889" s="68" t="s">
        <v>576</v>
      </c>
      <c r="E2889" s="44"/>
      <c r="F2889" s="44"/>
      <c r="G2889" s="44"/>
      <c r="H2889" s="44"/>
      <c r="I2889" s="10">
        <f>ROUNDDOWN(H2904,0)</f>
        <v>613970</v>
      </c>
      <c r="J2889" s="15" t="s">
        <v>513</v>
      </c>
      <c r="K2889" s="39"/>
    </row>
    <row r="2890" spans="3:11" ht="27.6" x14ac:dyDescent="0.3">
      <c r="C2890" s="11" t="s">
        <v>9</v>
      </c>
      <c r="D2890" s="11" t="s">
        <v>10</v>
      </c>
      <c r="E2890" s="11" t="s">
        <v>11</v>
      </c>
      <c r="F2890" s="11" t="s">
        <v>12</v>
      </c>
      <c r="G2890" s="11" t="s">
        <v>13</v>
      </c>
      <c r="H2890" s="11" t="s">
        <v>14</v>
      </c>
    </row>
    <row r="2891" spans="3:11" x14ac:dyDescent="0.25">
      <c r="C2891" s="12" t="s">
        <v>15</v>
      </c>
      <c r="D2891" s="13" t="s">
        <v>16</v>
      </c>
      <c r="E2891" s="14"/>
      <c r="F2891" s="14"/>
      <c r="G2891" s="14"/>
      <c r="H2891" s="14"/>
    </row>
    <row r="2892" spans="3:11" x14ac:dyDescent="0.3">
      <c r="C2892" s="16">
        <v>1</v>
      </c>
      <c r="D2892" s="13" t="s">
        <v>18</v>
      </c>
      <c r="E2892" s="17" t="s">
        <v>19</v>
      </c>
      <c r="F2892" s="18">
        <v>0.11899999999999999</v>
      </c>
      <c r="G2892" s="19">
        <f>VLOOKUP(D2892,upahbahan,3,FALSE)</f>
        <v>100000</v>
      </c>
      <c r="H2892" s="19">
        <f t="shared" ref="H2892:H2895" si="297">F2892*G2892</f>
        <v>11900</v>
      </c>
    </row>
    <row r="2893" spans="3:11" x14ac:dyDescent="0.3">
      <c r="C2893" s="16">
        <v>2</v>
      </c>
      <c r="D2893" s="13" t="s">
        <v>214</v>
      </c>
      <c r="E2893" s="17" t="s">
        <v>19</v>
      </c>
      <c r="F2893" s="18">
        <v>0.19900000000000001</v>
      </c>
      <c r="G2893" s="19">
        <f>VLOOKUP(D2893,upahbahan,3,FALSE)</f>
        <v>145000</v>
      </c>
      <c r="H2893" s="19">
        <f t="shared" si="297"/>
        <v>28855</v>
      </c>
    </row>
    <row r="2894" spans="3:11" x14ac:dyDescent="0.3">
      <c r="C2894" s="16">
        <v>3</v>
      </c>
      <c r="D2894" s="13" t="s">
        <v>22</v>
      </c>
      <c r="E2894" s="17" t="s">
        <v>19</v>
      </c>
      <c r="F2894" s="18">
        <v>0.02</v>
      </c>
      <c r="G2894" s="19">
        <f>VLOOKUP(D2894,upahbahan,3,FALSE)</f>
        <v>175000</v>
      </c>
      <c r="H2894" s="19">
        <f t="shared" si="297"/>
        <v>3500</v>
      </c>
    </row>
    <row r="2895" spans="3:11" x14ac:dyDescent="0.3">
      <c r="C2895" s="16">
        <v>4</v>
      </c>
      <c r="D2895" s="13" t="s">
        <v>23</v>
      </c>
      <c r="E2895" s="17" t="s">
        <v>19</v>
      </c>
      <c r="F2895" s="18">
        <v>7.0000000000000001E-3</v>
      </c>
      <c r="G2895" s="19">
        <f>VLOOKUP(D2895,upahbahan,3,FALSE)</f>
        <v>200000</v>
      </c>
      <c r="H2895" s="19">
        <f t="shared" si="297"/>
        <v>1400</v>
      </c>
    </row>
    <row r="2896" spans="3:11" x14ac:dyDescent="0.3">
      <c r="C2896" s="21" t="s">
        <v>24</v>
      </c>
      <c r="D2896" s="22"/>
      <c r="E2896" s="22"/>
      <c r="F2896" s="54"/>
      <c r="G2896" s="24"/>
      <c r="H2896" s="19">
        <f>SUM(H2892:H2895)</f>
        <v>45655</v>
      </c>
      <c r="I2896" s="25"/>
    </row>
    <row r="2897" spans="3:11" x14ac:dyDescent="0.25">
      <c r="C2897" s="12" t="s">
        <v>25</v>
      </c>
      <c r="D2897" s="13" t="s">
        <v>26</v>
      </c>
      <c r="E2897" s="14"/>
      <c r="F2897" s="55"/>
      <c r="G2897" s="14"/>
      <c r="H2897" s="14"/>
    </row>
    <row r="2898" spans="3:11" ht="27.6" x14ac:dyDescent="0.3">
      <c r="C2898" s="63" t="s">
        <v>202</v>
      </c>
      <c r="D2898" s="13" t="s">
        <v>577</v>
      </c>
      <c r="E2898" s="27" t="s">
        <v>28</v>
      </c>
      <c r="F2898" s="59">
        <v>1.25</v>
      </c>
      <c r="G2898" s="19">
        <f>VLOOKUP(D2898,upahbahan,3,FALSE)</f>
        <v>410000</v>
      </c>
      <c r="H2898" s="19">
        <f t="shared" ref="H2898" si="298">F2898*G2898</f>
        <v>512500</v>
      </c>
    </row>
    <row r="2899" spans="3:11" x14ac:dyDescent="0.3">
      <c r="C2899" s="21" t="s">
        <v>29</v>
      </c>
      <c r="D2899" s="22"/>
      <c r="E2899" s="22"/>
      <c r="F2899" s="22"/>
      <c r="G2899" s="28"/>
      <c r="H2899" s="19">
        <f>SUM(H2898:H2898)</f>
        <v>512500</v>
      </c>
    </row>
    <row r="2900" spans="3:11" x14ac:dyDescent="0.25">
      <c r="C2900" s="12" t="s">
        <v>30</v>
      </c>
      <c r="D2900" s="13" t="s">
        <v>31</v>
      </c>
      <c r="E2900" s="14"/>
      <c r="F2900" s="14"/>
      <c r="G2900" s="14"/>
      <c r="H2900" s="14"/>
    </row>
    <row r="2901" spans="3:11" x14ac:dyDescent="0.3">
      <c r="C2901" s="21" t="s">
        <v>32</v>
      </c>
      <c r="D2901" s="22"/>
      <c r="E2901" s="22"/>
      <c r="F2901" s="22"/>
      <c r="G2901" s="28"/>
      <c r="H2901" s="29">
        <v>0</v>
      </c>
    </row>
    <row r="2902" spans="3:11" x14ac:dyDescent="0.3">
      <c r="C2902" s="30" t="s">
        <v>33</v>
      </c>
      <c r="D2902" s="31" t="s">
        <v>34</v>
      </c>
      <c r="E2902" s="32"/>
      <c r="F2902" s="32"/>
      <c r="G2902" s="33"/>
      <c r="H2902" s="46">
        <f>H2901+H2899+H2896</f>
        <v>558155</v>
      </c>
      <c r="I2902" s="47"/>
    </row>
    <row r="2903" spans="3:11" x14ac:dyDescent="0.3">
      <c r="C2903" s="30" t="s">
        <v>35</v>
      </c>
      <c r="D2903" s="31" t="s">
        <v>36</v>
      </c>
      <c r="E2903" s="32"/>
      <c r="F2903" s="33"/>
      <c r="G2903" s="34">
        <f>$M$9</f>
        <v>0.1</v>
      </c>
      <c r="H2903" s="19">
        <f>H2902*G2903</f>
        <v>55815.5</v>
      </c>
      <c r="I2903" s="47"/>
    </row>
    <row r="2904" spans="3:11" x14ac:dyDescent="0.3">
      <c r="C2904" s="30" t="s">
        <v>37</v>
      </c>
      <c r="D2904" s="31" t="s">
        <v>38</v>
      </c>
      <c r="E2904" s="32"/>
      <c r="F2904" s="32"/>
      <c r="G2904" s="33"/>
      <c r="H2904" s="48">
        <f>SUM(H2902:H2903)</f>
        <v>613970.5</v>
      </c>
      <c r="I2904" s="47"/>
    </row>
    <row r="2906" spans="3:11" x14ac:dyDescent="0.3">
      <c r="C2906" s="40" t="s">
        <v>578</v>
      </c>
      <c r="D2906" s="68" t="s">
        <v>579</v>
      </c>
      <c r="E2906" s="44"/>
      <c r="F2906" s="44"/>
      <c r="G2906" s="44"/>
      <c r="H2906" s="44"/>
      <c r="I2906" s="10">
        <f>ROUNDDOWN(H2921,0)</f>
        <v>641470</v>
      </c>
      <c r="J2906" s="15" t="s">
        <v>513</v>
      </c>
      <c r="K2906" s="39"/>
    </row>
    <row r="2907" spans="3:11" ht="27.6" x14ac:dyDescent="0.3">
      <c r="C2907" s="11" t="s">
        <v>9</v>
      </c>
      <c r="D2907" s="11" t="s">
        <v>10</v>
      </c>
      <c r="E2907" s="11" t="s">
        <v>11</v>
      </c>
      <c r="F2907" s="11" t="s">
        <v>12</v>
      </c>
      <c r="G2907" s="11" t="s">
        <v>13</v>
      </c>
      <c r="H2907" s="11" t="s">
        <v>14</v>
      </c>
    </row>
    <row r="2908" spans="3:11" x14ac:dyDescent="0.25">
      <c r="C2908" s="12" t="s">
        <v>15</v>
      </c>
      <c r="D2908" s="13" t="s">
        <v>16</v>
      </c>
      <c r="E2908" s="14"/>
      <c r="F2908" s="14"/>
      <c r="G2908" s="14"/>
      <c r="H2908" s="14"/>
    </row>
    <row r="2909" spans="3:11" x14ac:dyDescent="0.3">
      <c r="C2909" s="16">
        <v>1</v>
      </c>
      <c r="D2909" s="13" t="s">
        <v>18</v>
      </c>
      <c r="E2909" s="17" t="s">
        <v>19</v>
      </c>
      <c r="F2909" s="18">
        <v>0.11899999999999999</v>
      </c>
      <c r="G2909" s="19">
        <f>VLOOKUP(D2909,upahbahan,3,FALSE)</f>
        <v>100000</v>
      </c>
      <c r="H2909" s="19">
        <f t="shared" ref="H2909:H2912" si="299">F2909*G2909</f>
        <v>11900</v>
      </c>
    </row>
    <row r="2910" spans="3:11" x14ac:dyDescent="0.3">
      <c r="C2910" s="16">
        <v>2</v>
      </c>
      <c r="D2910" s="13" t="s">
        <v>214</v>
      </c>
      <c r="E2910" s="17" t="s">
        <v>19</v>
      </c>
      <c r="F2910" s="18">
        <v>0.19900000000000001</v>
      </c>
      <c r="G2910" s="19">
        <f>VLOOKUP(D2910,upahbahan,3,FALSE)</f>
        <v>145000</v>
      </c>
      <c r="H2910" s="19">
        <f t="shared" si="299"/>
        <v>28855</v>
      </c>
    </row>
    <row r="2911" spans="3:11" x14ac:dyDescent="0.3">
      <c r="C2911" s="16">
        <v>3</v>
      </c>
      <c r="D2911" s="13" t="s">
        <v>22</v>
      </c>
      <c r="E2911" s="17" t="s">
        <v>19</v>
      </c>
      <c r="F2911" s="18">
        <v>0.02</v>
      </c>
      <c r="G2911" s="19">
        <f>VLOOKUP(D2911,upahbahan,3,FALSE)</f>
        <v>175000</v>
      </c>
      <c r="H2911" s="19">
        <f t="shared" si="299"/>
        <v>3500</v>
      </c>
    </row>
    <row r="2912" spans="3:11" x14ac:dyDescent="0.3">
      <c r="C2912" s="16">
        <v>4</v>
      </c>
      <c r="D2912" s="13" t="s">
        <v>23</v>
      </c>
      <c r="E2912" s="17" t="s">
        <v>19</v>
      </c>
      <c r="F2912" s="18">
        <v>7.0000000000000001E-3</v>
      </c>
      <c r="G2912" s="19">
        <f>VLOOKUP(D2912,upahbahan,3,FALSE)</f>
        <v>200000</v>
      </c>
      <c r="H2912" s="19">
        <f t="shared" si="299"/>
        <v>1400</v>
      </c>
    </row>
    <row r="2913" spans="3:11" x14ac:dyDescent="0.3">
      <c r="C2913" s="21" t="s">
        <v>24</v>
      </c>
      <c r="D2913" s="22"/>
      <c r="E2913" s="22"/>
      <c r="F2913" s="54"/>
      <c r="G2913" s="24"/>
      <c r="H2913" s="19">
        <f>SUM(H2909:H2912)</f>
        <v>45655</v>
      </c>
      <c r="I2913" s="25"/>
    </row>
    <row r="2914" spans="3:11" x14ac:dyDescent="0.25">
      <c r="C2914" s="12" t="s">
        <v>25</v>
      </c>
      <c r="D2914" s="13" t="s">
        <v>26</v>
      </c>
      <c r="E2914" s="14"/>
      <c r="F2914" s="55"/>
      <c r="G2914" s="14"/>
      <c r="H2914" s="14"/>
    </row>
    <row r="2915" spans="3:11" ht="27.6" x14ac:dyDescent="0.3">
      <c r="C2915" s="63" t="s">
        <v>202</v>
      </c>
      <c r="D2915" s="13" t="s">
        <v>580</v>
      </c>
      <c r="E2915" s="27" t="s">
        <v>28</v>
      </c>
      <c r="F2915" s="59">
        <v>1.25</v>
      </c>
      <c r="G2915" s="19">
        <f>VLOOKUP(D2915,upahbahan,3,FALSE)</f>
        <v>430000</v>
      </c>
      <c r="H2915" s="19">
        <f t="shared" ref="H2915" si="300">F2915*G2915</f>
        <v>537500</v>
      </c>
    </row>
    <row r="2916" spans="3:11" x14ac:dyDescent="0.3">
      <c r="C2916" s="21" t="s">
        <v>29</v>
      </c>
      <c r="D2916" s="22"/>
      <c r="E2916" s="22"/>
      <c r="F2916" s="22"/>
      <c r="G2916" s="28"/>
      <c r="H2916" s="19">
        <f>SUM(H2915:H2915)</f>
        <v>537500</v>
      </c>
    </row>
    <row r="2917" spans="3:11" x14ac:dyDescent="0.25">
      <c r="C2917" s="12" t="s">
        <v>30</v>
      </c>
      <c r="D2917" s="13" t="s">
        <v>31</v>
      </c>
      <c r="E2917" s="14"/>
      <c r="F2917" s="14"/>
      <c r="G2917" s="14"/>
      <c r="H2917" s="14"/>
    </row>
    <row r="2918" spans="3:11" x14ac:dyDescent="0.3">
      <c r="C2918" s="21" t="s">
        <v>32</v>
      </c>
      <c r="D2918" s="22"/>
      <c r="E2918" s="22"/>
      <c r="F2918" s="22"/>
      <c r="G2918" s="28"/>
      <c r="H2918" s="29">
        <v>0</v>
      </c>
    </row>
    <row r="2919" spans="3:11" x14ac:dyDescent="0.3">
      <c r="C2919" s="30" t="s">
        <v>33</v>
      </c>
      <c r="D2919" s="31" t="s">
        <v>34</v>
      </c>
      <c r="E2919" s="32"/>
      <c r="F2919" s="32"/>
      <c r="G2919" s="33"/>
      <c r="H2919" s="46">
        <f>H2918+H2916+H2913</f>
        <v>583155</v>
      </c>
      <c r="I2919" s="47"/>
    </row>
    <row r="2920" spans="3:11" x14ac:dyDescent="0.3">
      <c r="C2920" s="30" t="s">
        <v>35</v>
      </c>
      <c r="D2920" s="31" t="s">
        <v>36</v>
      </c>
      <c r="E2920" s="32"/>
      <c r="F2920" s="33"/>
      <c r="G2920" s="34">
        <f>$M$9</f>
        <v>0.1</v>
      </c>
      <c r="H2920" s="19">
        <f>H2919*G2920</f>
        <v>58315.5</v>
      </c>
      <c r="I2920" s="47"/>
    </row>
    <row r="2921" spans="3:11" x14ac:dyDescent="0.3">
      <c r="C2921" s="30" t="s">
        <v>37</v>
      </c>
      <c r="D2921" s="31" t="s">
        <v>38</v>
      </c>
      <c r="E2921" s="32"/>
      <c r="F2921" s="32"/>
      <c r="G2921" s="33"/>
      <c r="H2921" s="48">
        <f>SUM(H2919:H2920)</f>
        <v>641470.5</v>
      </c>
      <c r="I2921" s="47"/>
    </row>
    <row r="2923" spans="3:11" x14ac:dyDescent="0.3">
      <c r="C2923" s="40" t="s">
        <v>581</v>
      </c>
      <c r="D2923" s="68" t="s">
        <v>582</v>
      </c>
      <c r="E2923" s="44"/>
      <c r="F2923" s="44"/>
      <c r="G2923" s="44"/>
      <c r="H2923" s="44"/>
      <c r="I2923" s="10">
        <f>ROUNDDOWN(H2938,0)</f>
        <v>668970</v>
      </c>
      <c r="J2923" s="15" t="s">
        <v>513</v>
      </c>
      <c r="K2923" s="39"/>
    </row>
    <row r="2924" spans="3:11" ht="27.6" x14ac:dyDescent="0.3">
      <c r="C2924" s="11" t="s">
        <v>9</v>
      </c>
      <c r="D2924" s="11" t="s">
        <v>10</v>
      </c>
      <c r="E2924" s="11" t="s">
        <v>11</v>
      </c>
      <c r="F2924" s="11" t="s">
        <v>12</v>
      </c>
      <c r="G2924" s="11" t="s">
        <v>13</v>
      </c>
      <c r="H2924" s="11" t="s">
        <v>14</v>
      </c>
    </row>
    <row r="2925" spans="3:11" x14ac:dyDescent="0.25">
      <c r="C2925" s="12" t="s">
        <v>15</v>
      </c>
      <c r="D2925" s="13" t="s">
        <v>16</v>
      </c>
      <c r="E2925" s="14"/>
      <c r="F2925" s="14"/>
      <c r="G2925" s="14"/>
      <c r="H2925" s="14"/>
    </row>
    <row r="2926" spans="3:11" x14ac:dyDescent="0.3">
      <c r="C2926" s="16">
        <v>1</v>
      </c>
      <c r="D2926" s="13" t="s">
        <v>18</v>
      </c>
      <c r="E2926" s="17" t="s">
        <v>19</v>
      </c>
      <c r="F2926" s="18">
        <v>0.11899999999999999</v>
      </c>
      <c r="G2926" s="19">
        <f>VLOOKUP(D2926,upahbahan,3,FALSE)</f>
        <v>100000</v>
      </c>
      <c r="H2926" s="19">
        <f t="shared" ref="H2926:H2929" si="301">F2926*G2926</f>
        <v>11900</v>
      </c>
    </row>
    <row r="2927" spans="3:11" x14ac:dyDescent="0.3">
      <c r="C2927" s="16">
        <v>2</v>
      </c>
      <c r="D2927" s="13" t="s">
        <v>214</v>
      </c>
      <c r="E2927" s="17" t="s">
        <v>19</v>
      </c>
      <c r="F2927" s="18">
        <v>0.19900000000000001</v>
      </c>
      <c r="G2927" s="19">
        <f>VLOOKUP(D2927,upahbahan,3,FALSE)</f>
        <v>145000</v>
      </c>
      <c r="H2927" s="19">
        <f t="shared" si="301"/>
        <v>28855</v>
      </c>
    </row>
    <row r="2928" spans="3:11" x14ac:dyDescent="0.3">
      <c r="C2928" s="16">
        <v>3</v>
      </c>
      <c r="D2928" s="13" t="s">
        <v>22</v>
      </c>
      <c r="E2928" s="17" t="s">
        <v>19</v>
      </c>
      <c r="F2928" s="18">
        <v>0.02</v>
      </c>
      <c r="G2928" s="19">
        <f>VLOOKUP(D2928,upahbahan,3,FALSE)</f>
        <v>175000</v>
      </c>
      <c r="H2928" s="19">
        <f t="shared" si="301"/>
        <v>3500</v>
      </c>
    </row>
    <row r="2929" spans="3:11" x14ac:dyDescent="0.3">
      <c r="C2929" s="16">
        <v>4</v>
      </c>
      <c r="D2929" s="13" t="s">
        <v>23</v>
      </c>
      <c r="E2929" s="17" t="s">
        <v>19</v>
      </c>
      <c r="F2929" s="18">
        <v>7.0000000000000001E-3</v>
      </c>
      <c r="G2929" s="19">
        <f>VLOOKUP(D2929,upahbahan,3,FALSE)</f>
        <v>200000</v>
      </c>
      <c r="H2929" s="19">
        <f t="shared" si="301"/>
        <v>1400</v>
      </c>
    </row>
    <row r="2930" spans="3:11" x14ac:dyDescent="0.3">
      <c r="C2930" s="21" t="s">
        <v>24</v>
      </c>
      <c r="D2930" s="22"/>
      <c r="E2930" s="22"/>
      <c r="F2930" s="54"/>
      <c r="G2930" s="24"/>
      <c r="H2930" s="19">
        <f>SUM(H2926:H2929)</f>
        <v>45655</v>
      </c>
      <c r="I2930" s="25"/>
    </row>
    <row r="2931" spans="3:11" x14ac:dyDescent="0.25">
      <c r="C2931" s="12" t="s">
        <v>25</v>
      </c>
      <c r="D2931" s="13" t="s">
        <v>26</v>
      </c>
      <c r="E2931" s="14"/>
      <c r="F2931" s="55"/>
      <c r="G2931" s="14"/>
      <c r="H2931" s="14"/>
    </row>
    <row r="2932" spans="3:11" x14ac:dyDescent="0.3">
      <c r="C2932" s="63" t="s">
        <v>202</v>
      </c>
      <c r="D2932" s="13" t="s">
        <v>583</v>
      </c>
      <c r="E2932" s="27" t="s">
        <v>28</v>
      </c>
      <c r="F2932" s="59">
        <v>1.25</v>
      </c>
      <c r="G2932" s="19">
        <f>VLOOKUP(D2932,upahbahan,3,FALSE)</f>
        <v>450000</v>
      </c>
      <c r="H2932" s="19">
        <f t="shared" ref="H2932" si="302">F2932*G2932</f>
        <v>562500</v>
      </c>
    </row>
    <row r="2933" spans="3:11" x14ac:dyDescent="0.3">
      <c r="C2933" s="21" t="s">
        <v>29</v>
      </c>
      <c r="D2933" s="22"/>
      <c r="E2933" s="22"/>
      <c r="F2933" s="22"/>
      <c r="G2933" s="28"/>
      <c r="H2933" s="19">
        <f>SUM(H2932:H2932)</f>
        <v>562500</v>
      </c>
    </row>
    <row r="2934" spans="3:11" x14ac:dyDescent="0.25">
      <c r="C2934" s="12" t="s">
        <v>30</v>
      </c>
      <c r="D2934" s="13" t="s">
        <v>31</v>
      </c>
      <c r="E2934" s="14"/>
      <c r="F2934" s="14"/>
      <c r="G2934" s="14"/>
      <c r="H2934" s="14"/>
    </row>
    <row r="2935" spans="3:11" x14ac:dyDescent="0.3">
      <c r="C2935" s="21" t="s">
        <v>32</v>
      </c>
      <c r="D2935" s="22"/>
      <c r="E2935" s="22"/>
      <c r="F2935" s="22"/>
      <c r="G2935" s="28"/>
      <c r="H2935" s="29">
        <v>0</v>
      </c>
    </row>
    <row r="2936" spans="3:11" x14ac:dyDescent="0.3">
      <c r="C2936" s="30" t="s">
        <v>33</v>
      </c>
      <c r="D2936" s="31" t="s">
        <v>34</v>
      </c>
      <c r="E2936" s="32"/>
      <c r="F2936" s="32"/>
      <c r="G2936" s="33"/>
      <c r="H2936" s="46">
        <f>H2935+H2933+H2930</f>
        <v>608155</v>
      </c>
      <c r="I2936" s="47"/>
    </row>
    <row r="2937" spans="3:11" x14ac:dyDescent="0.3">
      <c r="C2937" s="30" t="s">
        <v>35</v>
      </c>
      <c r="D2937" s="31" t="s">
        <v>36</v>
      </c>
      <c r="E2937" s="32"/>
      <c r="F2937" s="33"/>
      <c r="G2937" s="34">
        <f>$M$9</f>
        <v>0.1</v>
      </c>
      <c r="H2937" s="19">
        <f>H2936*G2937</f>
        <v>60815.5</v>
      </c>
      <c r="I2937" s="47"/>
    </row>
    <row r="2938" spans="3:11" x14ac:dyDescent="0.3">
      <c r="C2938" s="30" t="s">
        <v>37</v>
      </c>
      <c r="D2938" s="31" t="s">
        <v>38</v>
      </c>
      <c r="E2938" s="32"/>
      <c r="F2938" s="32"/>
      <c r="G2938" s="33"/>
      <c r="H2938" s="48">
        <f>SUM(H2936:H2937)</f>
        <v>668970.5</v>
      </c>
      <c r="I2938" s="47"/>
    </row>
    <row r="2941" spans="3:11" x14ac:dyDescent="0.3">
      <c r="C2941" s="40" t="s">
        <v>584</v>
      </c>
      <c r="D2941" s="68" t="s">
        <v>585</v>
      </c>
      <c r="E2941" s="44"/>
      <c r="F2941" s="44"/>
      <c r="G2941" s="44"/>
      <c r="H2941" s="44"/>
      <c r="I2941" s="10">
        <f>ROUNDDOWN(H2956,0)</f>
        <v>2303845</v>
      </c>
      <c r="J2941" s="15"/>
      <c r="K2941" s="39"/>
    </row>
    <row r="2942" spans="3:11" ht="27.6" x14ac:dyDescent="0.3">
      <c r="C2942" s="11" t="s">
        <v>9</v>
      </c>
      <c r="D2942" s="11" t="s">
        <v>10</v>
      </c>
      <c r="E2942" s="11" t="s">
        <v>11</v>
      </c>
      <c r="F2942" s="11" t="s">
        <v>12</v>
      </c>
      <c r="G2942" s="11" t="s">
        <v>13</v>
      </c>
      <c r="H2942" s="11" t="s">
        <v>14</v>
      </c>
    </row>
    <row r="2943" spans="3:11" x14ac:dyDescent="0.25">
      <c r="C2943" s="12" t="s">
        <v>15</v>
      </c>
      <c r="D2943" s="13" t="s">
        <v>16</v>
      </c>
      <c r="E2943" s="14"/>
      <c r="F2943" s="14"/>
      <c r="G2943" s="14"/>
      <c r="H2943" s="14"/>
    </row>
    <row r="2944" spans="3:11" x14ac:dyDescent="0.3">
      <c r="C2944" s="16">
        <v>1</v>
      </c>
      <c r="D2944" s="13" t="s">
        <v>18</v>
      </c>
      <c r="E2944" s="17" t="s">
        <v>19</v>
      </c>
      <c r="F2944" s="18">
        <v>0.11899999999999999</v>
      </c>
      <c r="G2944" s="19">
        <f>VLOOKUP(D2944,upahbahan,3,FALSE)</f>
        <v>100000</v>
      </c>
      <c r="H2944" s="19">
        <f t="shared" ref="H2944:H2947" si="303">F2944*G2944</f>
        <v>11900</v>
      </c>
    </row>
    <row r="2945" spans="3:11" x14ac:dyDescent="0.3">
      <c r="C2945" s="16">
        <v>2</v>
      </c>
      <c r="D2945" s="13" t="s">
        <v>214</v>
      </c>
      <c r="E2945" s="17" t="s">
        <v>19</v>
      </c>
      <c r="F2945" s="18">
        <v>0.19900000000000001</v>
      </c>
      <c r="G2945" s="19">
        <f>VLOOKUP(D2945,upahbahan,3,FALSE)</f>
        <v>145000</v>
      </c>
      <c r="H2945" s="19">
        <f t="shared" si="303"/>
        <v>28855</v>
      </c>
    </row>
    <row r="2946" spans="3:11" x14ac:dyDescent="0.3">
      <c r="C2946" s="16">
        <v>3</v>
      </c>
      <c r="D2946" s="13" t="s">
        <v>22</v>
      </c>
      <c r="E2946" s="17" t="s">
        <v>19</v>
      </c>
      <c r="F2946" s="18">
        <v>0.02</v>
      </c>
      <c r="G2946" s="19">
        <f>VLOOKUP(D2946,upahbahan,3,FALSE)</f>
        <v>175000</v>
      </c>
      <c r="H2946" s="19">
        <f t="shared" si="303"/>
        <v>3500</v>
      </c>
    </row>
    <row r="2947" spans="3:11" x14ac:dyDescent="0.3">
      <c r="C2947" s="16">
        <v>4</v>
      </c>
      <c r="D2947" s="13" t="s">
        <v>23</v>
      </c>
      <c r="E2947" s="17" t="s">
        <v>19</v>
      </c>
      <c r="F2947" s="18">
        <v>7.0000000000000001E-3</v>
      </c>
      <c r="G2947" s="19">
        <f>VLOOKUP(D2947,upahbahan,3,FALSE)</f>
        <v>200000</v>
      </c>
      <c r="H2947" s="19">
        <f t="shared" si="303"/>
        <v>1400</v>
      </c>
    </row>
    <row r="2948" spans="3:11" x14ac:dyDescent="0.3">
      <c r="C2948" s="21" t="s">
        <v>24</v>
      </c>
      <c r="D2948" s="22"/>
      <c r="E2948" s="22"/>
      <c r="F2948" s="54"/>
      <c r="G2948" s="24"/>
      <c r="H2948" s="19">
        <f>SUM(H2944:H2947)</f>
        <v>45655</v>
      </c>
      <c r="I2948" s="25"/>
    </row>
    <row r="2949" spans="3:11" x14ac:dyDescent="0.25">
      <c r="C2949" s="12" t="s">
        <v>25</v>
      </c>
      <c r="D2949" s="13" t="s">
        <v>26</v>
      </c>
      <c r="E2949" s="14"/>
      <c r="F2949" s="55"/>
      <c r="G2949" s="14"/>
      <c r="H2949" s="14"/>
    </row>
    <row r="2950" spans="3:11" x14ac:dyDescent="0.3">
      <c r="C2950" s="63" t="s">
        <v>202</v>
      </c>
      <c r="D2950" s="26" t="s">
        <v>586</v>
      </c>
      <c r="E2950" s="27" t="s">
        <v>28</v>
      </c>
      <c r="F2950" s="59">
        <v>1.25</v>
      </c>
      <c r="G2950" s="19">
        <f>VLOOKUP(D2950,upahbahan,3,FALSE)</f>
        <v>1639000</v>
      </c>
      <c r="H2950" s="19">
        <f t="shared" ref="H2950" si="304">F2950*G2950</f>
        <v>2048750</v>
      </c>
    </row>
    <row r="2951" spans="3:11" x14ac:dyDescent="0.3">
      <c r="C2951" s="21" t="s">
        <v>29</v>
      </c>
      <c r="D2951" s="22"/>
      <c r="E2951" s="22"/>
      <c r="F2951" s="22"/>
      <c r="G2951" s="28"/>
      <c r="H2951" s="19">
        <f>SUM(H2950:H2950)</f>
        <v>2048750</v>
      </c>
    </row>
    <row r="2952" spans="3:11" x14ac:dyDescent="0.25">
      <c r="C2952" s="12" t="s">
        <v>30</v>
      </c>
      <c r="D2952" s="13" t="s">
        <v>31</v>
      </c>
      <c r="E2952" s="14"/>
      <c r="F2952" s="14"/>
      <c r="G2952" s="14"/>
      <c r="H2952" s="14"/>
    </row>
    <row r="2953" spans="3:11" x14ac:dyDescent="0.3">
      <c r="C2953" s="21" t="s">
        <v>32</v>
      </c>
      <c r="D2953" s="22"/>
      <c r="E2953" s="22"/>
      <c r="F2953" s="22"/>
      <c r="G2953" s="28"/>
      <c r="H2953" s="29">
        <v>0</v>
      </c>
    </row>
    <row r="2954" spans="3:11" x14ac:dyDescent="0.3">
      <c r="C2954" s="30" t="s">
        <v>33</v>
      </c>
      <c r="D2954" s="31" t="s">
        <v>34</v>
      </c>
      <c r="E2954" s="32"/>
      <c r="F2954" s="32"/>
      <c r="G2954" s="33"/>
      <c r="H2954" s="46">
        <f>H2953+H2951+H2948</f>
        <v>2094405</v>
      </c>
      <c r="I2954" s="47"/>
    </row>
    <row r="2955" spans="3:11" x14ac:dyDescent="0.3">
      <c r="C2955" s="30" t="s">
        <v>35</v>
      </c>
      <c r="D2955" s="31" t="s">
        <v>36</v>
      </c>
      <c r="E2955" s="32"/>
      <c r="F2955" s="33"/>
      <c r="G2955" s="34">
        <f>$M$9</f>
        <v>0.1</v>
      </c>
      <c r="H2955" s="19">
        <f>H2954*G2955</f>
        <v>209440.5</v>
      </c>
      <c r="I2955" s="47"/>
    </row>
    <row r="2956" spans="3:11" x14ac:dyDescent="0.3">
      <c r="C2956" s="30" t="s">
        <v>37</v>
      </c>
      <c r="D2956" s="31" t="s">
        <v>38</v>
      </c>
      <c r="E2956" s="32"/>
      <c r="F2956" s="32"/>
      <c r="G2956" s="33"/>
      <c r="H2956" s="48">
        <f>SUM(H2954:H2955)</f>
        <v>2303845.5</v>
      </c>
      <c r="I2956" s="47"/>
    </row>
    <row r="2958" spans="3:11" x14ac:dyDescent="0.3">
      <c r="C2958" s="40" t="s">
        <v>587</v>
      </c>
      <c r="D2958" s="68" t="s">
        <v>588</v>
      </c>
      <c r="E2958" s="44"/>
      <c r="F2958" s="44"/>
      <c r="G2958" s="44"/>
      <c r="H2958" s="44"/>
      <c r="I2958" s="10">
        <f>ROUNDDOWN(H2973,0)</f>
        <v>1776533</v>
      </c>
      <c r="J2958" s="15"/>
      <c r="K2958" s="39"/>
    </row>
    <row r="2959" spans="3:11" ht="27.6" x14ac:dyDescent="0.3">
      <c r="C2959" s="11" t="s">
        <v>9</v>
      </c>
      <c r="D2959" s="11" t="s">
        <v>10</v>
      </c>
      <c r="E2959" s="11" t="s">
        <v>11</v>
      </c>
      <c r="F2959" s="11" t="s">
        <v>12</v>
      </c>
      <c r="G2959" s="11" t="s">
        <v>13</v>
      </c>
      <c r="H2959" s="11" t="s">
        <v>14</v>
      </c>
    </row>
    <row r="2960" spans="3:11" x14ac:dyDescent="0.25">
      <c r="C2960" s="12" t="s">
        <v>15</v>
      </c>
      <c r="D2960" s="13" t="s">
        <v>16</v>
      </c>
      <c r="E2960" s="14"/>
      <c r="F2960" s="14"/>
      <c r="G2960" s="14"/>
      <c r="H2960" s="14"/>
    </row>
    <row r="2961" spans="3:11" x14ac:dyDescent="0.3">
      <c r="C2961" s="16">
        <v>1</v>
      </c>
      <c r="D2961" s="13" t="s">
        <v>18</v>
      </c>
      <c r="E2961" s="17" t="s">
        <v>19</v>
      </c>
      <c r="F2961" s="18">
        <v>0.11899999999999999</v>
      </c>
      <c r="G2961" s="19">
        <f>VLOOKUP(D2961,upahbahan,3,FALSE)</f>
        <v>100000</v>
      </c>
      <c r="H2961" s="19">
        <f t="shared" ref="H2961:H2964" si="305">F2961*G2961</f>
        <v>11900</v>
      </c>
    </row>
    <row r="2962" spans="3:11" x14ac:dyDescent="0.3">
      <c r="C2962" s="16">
        <v>2</v>
      </c>
      <c r="D2962" s="13" t="s">
        <v>214</v>
      </c>
      <c r="E2962" s="17" t="s">
        <v>19</v>
      </c>
      <c r="F2962" s="18">
        <v>0.19900000000000001</v>
      </c>
      <c r="G2962" s="19">
        <f>VLOOKUP(D2962,upahbahan,3,FALSE)</f>
        <v>145000</v>
      </c>
      <c r="H2962" s="19">
        <f t="shared" si="305"/>
        <v>28855</v>
      </c>
    </row>
    <row r="2963" spans="3:11" x14ac:dyDescent="0.3">
      <c r="C2963" s="16">
        <v>3</v>
      </c>
      <c r="D2963" s="13" t="s">
        <v>22</v>
      </c>
      <c r="E2963" s="17" t="s">
        <v>19</v>
      </c>
      <c r="F2963" s="18">
        <v>0.02</v>
      </c>
      <c r="G2963" s="19">
        <f>VLOOKUP(D2963,upahbahan,3,FALSE)</f>
        <v>175000</v>
      </c>
      <c r="H2963" s="19">
        <f t="shared" si="305"/>
        <v>3500</v>
      </c>
    </row>
    <row r="2964" spans="3:11" x14ac:dyDescent="0.3">
      <c r="C2964" s="16">
        <v>4</v>
      </c>
      <c r="D2964" s="13" t="s">
        <v>23</v>
      </c>
      <c r="E2964" s="17" t="s">
        <v>19</v>
      </c>
      <c r="F2964" s="18">
        <v>7.0000000000000001E-3</v>
      </c>
      <c r="G2964" s="19">
        <f>VLOOKUP(D2964,upahbahan,3,FALSE)</f>
        <v>200000</v>
      </c>
      <c r="H2964" s="19">
        <f t="shared" si="305"/>
        <v>1400</v>
      </c>
    </row>
    <row r="2965" spans="3:11" x14ac:dyDescent="0.3">
      <c r="C2965" s="21" t="s">
        <v>24</v>
      </c>
      <c r="D2965" s="22"/>
      <c r="E2965" s="22"/>
      <c r="F2965" s="54"/>
      <c r="G2965" s="24"/>
      <c r="H2965" s="19">
        <f>SUM(H2961:H2964)</f>
        <v>45655</v>
      </c>
      <c r="I2965" s="25"/>
    </row>
    <row r="2966" spans="3:11" x14ac:dyDescent="0.25">
      <c r="C2966" s="12" t="s">
        <v>25</v>
      </c>
      <c r="D2966" s="13" t="s">
        <v>26</v>
      </c>
      <c r="E2966" s="14"/>
      <c r="F2966" s="55"/>
      <c r="G2966" s="14"/>
      <c r="H2966" s="14"/>
    </row>
    <row r="2967" spans="3:11" x14ac:dyDescent="0.3">
      <c r="C2967" s="63" t="s">
        <v>202</v>
      </c>
      <c r="D2967" s="26" t="s">
        <v>589</v>
      </c>
      <c r="E2967" s="27" t="s">
        <v>28</v>
      </c>
      <c r="F2967" s="59">
        <v>1.25</v>
      </c>
      <c r="G2967" s="19">
        <f>VLOOKUP(D2967,upahbahan,3,FALSE)</f>
        <v>1255500</v>
      </c>
      <c r="H2967" s="19">
        <f t="shared" ref="H2967" si="306">F2967*G2967</f>
        <v>1569375</v>
      </c>
    </row>
    <row r="2968" spans="3:11" x14ac:dyDescent="0.3">
      <c r="C2968" s="21" t="s">
        <v>29</v>
      </c>
      <c r="D2968" s="22"/>
      <c r="E2968" s="22"/>
      <c r="F2968" s="22"/>
      <c r="G2968" s="28"/>
      <c r="H2968" s="19">
        <f>SUM(H2967:H2967)</f>
        <v>1569375</v>
      </c>
    </row>
    <row r="2969" spans="3:11" x14ac:dyDescent="0.25">
      <c r="C2969" s="12" t="s">
        <v>30</v>
      </c>
      <c r="D2969" s="13" t="s">
        <v>31</v>
      </c>
      <c r="E2969" s="14"/>
      <c r="F2969" s="14"/>
      <c r="G2969" s="14"/>
      <c r="H2969" s="14"/>
    </row>
    <row r="2970" spans="3:11" x14ac:dyDescent="0.3">
      <c r="C2970" s="21" t="s">
        <v>32</v>
      </c>
      <c r="D2970" s="22"/>
      <c r="E2970" s="22"/>
      <c r="F2970" s="22"/>
      <c r="G2970" s="28"/>
      <c r="H2970" s="29">
        <v>0</v>
      </c>
    </row>
    <row r="2971" spans="3:11" x14ac:dyDescent="0.3">
      <c r="C2971" s="30" t="s">
        <v>33</v>
      </c>
      <c r="D2971" s="31" t="s">
        <v>34</v>
      </c>
      <c r="E2971" s="32"/>
      <c r="F2971" s="32"/>
      <c r="G2971" s="33"/>
      <c r="H2971" s="46">
        <f>H2970+H2968+H2965</f>
        <v>1615030</v>
      </c>
      <c r="I2971" s="47"/>
    </row>
    <row r="2972" spans="3:11" x14ac:dyDescent="0.3">
      <c r="C2972" s="30" t="s">
        <v>35</v>
      </c>
      <c r="D2972" s="31" t="s">
        <v>36</v>
      </c>
      <c r="E2972" s="32"/>
      <c r="F2972" s="33"/>
      <c r="G2972" s="34">
        <f>$M$9</f>
        <v>0.1</v>
      </c>
      <c r="H2972" s="19">
        <f>H2971*G2972</f>
        <v>161503</v>
      </c>
      <c r="I2972" s="47"/>
    </row>
    <row r="2973" spans="3:11" x14ac:dyDescent="0.3">
      <c r="C2973" s="30" t="s">
        <v>37</v>
      </c>
      <c r="D2973" s="31" t="s">
        <v>38</v>
      </c>
      <c r="E2973" s="32"/>
      <c r="F2973" s="32"/>
      <c r="G2973" s="33"/>
      <c r="H2973" s="48">
        <f>SUM(H2971:H2972)</f>
        <v>1776533</v>
      </c>
      <c r="I2973" s="47"/>
    </row>
    <row r="2975" spans="3:11" x14ac:dyDescent="0.3">
      <c r="C2975" s="40" t="s">
        <v>590</v>
      </c>
      <c r="D2975" s="68" t="s">
        <v>591</v>
      </c>
      <c r="E2975" s="44"/>
      <c r="F2975" s="44"/>
      <c r="G2975" s="44"/>
      <c r="H2975" s="44"/>
      <c r="I2975" s="10">
        <f>ROUNDDOWN(H2990,0)</f>
        <v>1273970</v>
      </c>
      <c r="J2975" s="15"/>
      <c r="K2975" s="39"/>
    </row>
    <row r="2976" spans="3:11" ht="27.6" x14ac:dyDescent="0.3">
      <c r="C2976" s="11" t="s">
        <v>9</v>
      </c>
      <c r="D2976" s="11" t="s">
        <v>10</v>
      </c>
      <c r="E2976" s="11" t="s">
        <v>11</v>
      </c>
      <c r="F2976" s="11" t="s">
        <v>12</v>
      </c>
      <c r="G2976" s="11" t="s">
        <v>13</v>
      </c>
      <c r="H2976" s="11" t="s">
        <v>14</v>
      </c>
    </row>
    <row r="2977" spans="3:11" x14ac:dyDescent="0.25">
      <c r="C2977" s="12" t="s">
        <v>15</v>
      </c>
      <c r="D2977" s="13" t="s">
        <v>16</v>
      </c>
      <c r="E2977" s="14"/>
      <c r="F2977" s="14"/>
      <c r="G2977" s="14"/>
      <c r="H2977" s="14"/>
    </row>
    <row r="2978" spans="3:11" x14ac:dyDescent="0.3">
      <c r="C2978" s="16">
        <v>1</v>
      </c>
      <c r="D2978" s="13" t="s">
        <v>18</v>
      </c>
      <c r="E2978" s="17" t="s">
        <v>19</v>
      </c>
      <c r="F2978" s="18">
        <v>0.11899999999999999</v>
      </c>
      <c r="G2978" s="19">
        <f>VLOOKUP(D2978,upahbahan,3,FALSE)</f>
        <v>100000</v>
      </c>
      <c r="H2978" s="19">
        <f t="shared" ref="H2978:H2981" si="307">F2978*G2978</f>
        <v>11900</v>
      </c>
    </row>
    <row r="2979" spans="3:11" x14ac:dyDescent="0.3">
      <c r="C2979" s="16">
        <v>2</v>
      </c>
      <c r="D2979" s="13" t="s">
        <v>214</v>
      </c>
      <c r="E2979" s="17" t="s">
        <v>19</v>
      </c>
      <c r="F2979" s="18">
        <v>0.19900000000000001</v>
      </c>
      <c r="G2979" s="19">
        <f>VLOOKUP(D2979,upahbahan,3,FALSE)</f>
        <v>145000</v>
      </c>
      <c r="H2979" s="19">
        <f t="shared" si="307"/>
        <v>28855</v>
      </c>
    </row>
    <row r="2980" spans="3:11" x14ac:dyDescent="0.3">
      <c r="C2980" s="16">
        <v>3</v>
      </c>
      <c r="D2980" s="13" t="s">
        <v>22</v>
      </c>
      <c r="E2980" s="17" t="s">
        <v>19</v>
      </c>
      <c r="F2980" s="18">
        <v>0.02</v>
      </c>
      <c r="G2980" s="19">
        <f>VLOOKUP(D2980,upahbahan,3,FALSE)</f>
        <v>175000</v>
      </c>
      <c r="H2980" s="19">
        <f t="shared" si="307"/>
        <v>3500</v>
      </c>
    </row>
    <row r="2981" spans="3:11" x14ac:dyDescent="0.3">
      <c r="C2981" s="16">
        <v>4</v>
      </c>
      <c r="D2981" s="13" t="s">
        <v>23</v>
      </c>
      <c r="E2981" s="17" t="s">
        <v>19</v>
      </c>
      <c r="F2981" s="18">
        <v>7.0000000000000001E-3</v>
      </c>
      <c r="G2981" s="19">
        <f>VLOOKUP(D2981,upahbahan,3,FALSE)</f>
        <v>200000</v>
      </c>
      <c r="H2981" s="19">
        <f t="shared" si="307"/>
        <v>1400</v>
      </c>
    </row>
    <row r="2982" spans="3:11" x14ac:dyDescent="0.3">
      <c r="C2982" s="21" t="s">
        <v>24</v>
      </c>
      <c r="D2982" s="22"/>
      <c r="E2982" s="22"/>
      <c r="F2982" s="54"/>
      <c r="G2982" s="24"/>
      <c r="H2982" s="19">
        <f>SUM(H2978:H2981)</f>
        <v>45655</v>
      </c>
      <c r="I2982" s="25"/>
    </row>
    <row r="2983" spans="3:11" x14ac:dyDescent="0.25">
      <c r="C2983" s="12" t="s">
        <v>25</v>
      </c>
      <c r="D2983" s="13" t="s">
        <v>26</v>
      </c>
      <c r="E2983" s="14"/>
      <c r="F2983" s="55"/>
      <c r="G2983" s="14"/>
      <c r="H2983" s="14"/>
    </row>
    <row r="2984" spans="3:11" x14ac:dyDescent="0.3">
      <c r="C2984" s="63" t="s">
        <v>202</v>
      </c>
      <c r="D2984" s="26" t="s">
        <v>592</v>
      </c>
      <c r="E2984" s="27" t="s">
        <v>28</v>
      </c>
      <c r="F2984" s="59">
        <v>1.25</v>
      </c>
      <c r="G2984" s="19">
        <f>VLOOKUP(D2984,upahbahan,3,FALSE)</f>
        <v>890000</v>
      </c>
      <c r="H2984" s="19">
        <f t="shared" ref="H2984" si="308">F2984*G2984</f>
        <v>1112500</v>
      </c>
    </row>
    <row r="2985" spans="3:11" x14ac:dyDescent="0.3">
      <c r="C2985" s="21" t="s">
        <v>29</v>
      </c>
      <c r="D2985" s="22"/>
      <c r="E2985" s="22"/>
      <c r="F2985" s="22"/>
      <c r="G2985" s="28"/>
      <c r="H2985" s="19">
        <f>SUM(H2984:H2984)</f>
        <v>1112500</v>
      </c>
    </row>
    <row r="2986" spans="3:11" x14ac:dyDescent="0.25">
      <c r="C2986" s="12" t="s">
        <v>30</v>
      </c>
      <c r="D2986" s="13" t="s">
        <v>31</v>
      </c>
      <c r="E2986" s="14"/>
      <c r="F2986" s="14"/>
      <c r="G2986" s="14"/>
      <c r="H2986" s="14"/>
    </row>
    <row r="2987" spans="3:11" x14ac:dyDescent="0.3">
      <c r="C2987" s="21" t="s">
        <v>32</v>
      </c>
      <c r="D2987" s="22"/>
      <c r="E2987" s="22"/>
      <c r="F2987" s="22"/>
      <c r="G2987" s="28"/>
      <c r="H2987" s="29">
        <v>0</v>
      </c>
    </row>
    <row r="2988" spans="3:11" x14ac:dyDescent="0.3">
      <c r="C2988" s="30" t="s">
        <v>33</v>
      </c>
      <c r="D2988" s="31" t="s">
        <v>34</v>
      </c>
      <c r="E2988" s="32"/>
      <c r="F2988" s="32"/>
      <c r="G2988" s="33"/>
      <c r="H2988" s="46">
        <f>H2987+H2985+H2982</f>
        <v>1158155</v>
      </c>
      <c r="I2988" s="47"/>
    </row>
    <row r="2989" spans="3:11" x14ac:dyDescent="0.3">
      <c r="C2989" s="30" t="s">
        <v>35</v>
      </c>
      <c r="D2989" s="31" t="s">
        <v>36</v>
      </c>
      <c r="E2989" s="32"/>
      <c r="F2989" s="33"/>
      <c r="G2989" s="34">
        <f>$M$9</f>
        <v>0.1</v>
      </c>
      <c r="H2989" s="19">
        <f>H2988*G2989</f>
        <v>115815.5</v>
      </c>
      <c r="I2989" s="47"/>
    </row>
    <row r="2990" spans="3:11" x14ac:dyDescent="0.3">
      <c r="C2990" s="30" t="s">
        <v>37</v>
      </c>
      <c r="D2990" s="31" t="s">
        <v>38</v>
      </c>
      <c r="E2990" s="32"/>
      <c r="F2990" s="32"/>
      <c r="G2990" s="33"/>
      <c r="H2990" s="48">
        <f>SUM(H2988:H2989)</f>
        <v>1273970.5</v>
      </c>
      <c r="I2990" s="47"/>
    </row>
    <row r="2992" spans="3:11" x14ac:dyDescent="0.3">
      <c r="C2992" s="40" t="s">
        <v>593</v>
      </c>
      <c r="D2992" s="68" t="s">
        <v>594</v>
      </c>
      <c r="E2992" s="44"/>
      <c r="F2992" s="44"/>
      <c r="G2992" s="44"/>
      <c r="H2992" s="44"/>
      <c r="I2992" s="10">
        <f>ROUNDDOWN(H3007,0)</f>
        <v>531470</v>
      </c>
      <c r="J2992" s="15" t="s">
        <v>595</v>
      </c>
      <c r="K2992" s="39"/>
    </row>
    <row r="2993" spans="3:9" ht="27.6" x14ac:dyDescent="0.3">
      <c r="C2993" s="11" t="s">
        <v>9</v>
      </c>
      <c r="D2993" s="11" t="s">
        <v>10</v>
      </c>
      <c r="E2993" s="11" t="s">
        <v>11</v>
      </c>
      <c r="F2993" s="11" t="s">
        <v>12</v>
      </c>
      <c r="G2993" s="11" t="s">
        <v>13</v>
      </c>
      <c r="H2993" s="11" t="s">
        <v>14</v>
      </c>
    </row>
    <row r="2994" spans="3:9" x14ac:dyDescent="0.25">
      <c r="C2994" s="12" t="s">
        <v>15</v>
      </c>
      <c r="D2994" s="13" t="s">
        <v>16</v>
      </c>
      <c r="E2994" s="14"/>
      <c r="F2994" s="14"/>
      <c r="G2994" s="14"/>
      <c r="H2994" s="14"/>
    </row>
    <row r="2995" spans="3:9" x14ac:dyDescent="0.3">
      <c r="C2995" s="16">
        <v>1</v>
      </c>
      <c r="D2995" s="13" t="s">
        <v>18</v>
      </c>
      <c r="E2995" s="17" t="s">
        <v>19</v>
      </c>
      <c r="F2995" s="18">
        <v>0.11899999999999999</v>
      </c>
      <c r="G2995" s="19">
        <f>VLOOKUP(D2995,upahbahan,3,FALSE)</f>
        <v>100000</v>
      </c>
      <c r="H2995" s="19">
        <f t="shared" ref="H2995:H2998" si="309">F2995*G2995</f>
        <v>11900</v>
      </c>
    </row>
    <row r="2996" spans="3:9" x14ac:dyDescent="0.3">
      <c r="C2996" s="16">
        <v>2</v>
      </c>
      <c r="D2996" s="13" t="s">
        <v>214</v>
      </c>
      <c r="E2996" s="17" t="s">
        <v>19</v>
      </c>
      <c r="F2996" s="18">
        <v>0.19900000000000001</v>
      </c>
      <c r="G2996" s="19">
        <f>VLOOKUP(D2996,upahbahan,3,FALSE)</f>
        <v>145000</v>
      </c>
      <c r="H2996" s="19">
        <f t="shared" si="309"/>
        <v>28855</v>
      </c>
    </row>
    <row r="2997" spans="3:9" x14ac:dyDescent="0.3">
      <c r="C2997" s="16">
        <v>3</v>
      </c>
      <c r="D2997" s="13" t="s">
        <v>22</v>
      </c>
      <c r="E2997" s="17" t="s">
        <v>19</v>
      </c>
      <c r="F2997" s="18">
        <v>0.02</v>
      </c>
      <c r="G2997" s="19">
        <f>VLOOKUP(D2997,upahbahan,3,FALSE)</f>
        <v>175000</v>
      </c>
      <c r="H2997" s="19">
        <f t="shared" si="309"/>
        <v>3500</v>
      </c>
    </row>
    <row r="2998" spans="3:9" x14ac:dyDescent="0.3">
      <c r="C2998" s="16">
        <v>4</v>
      </c>
      <c r="D2998" s="13" t="s">
        <v>23</v>
      </c>
      <c r="E2998" s="17" t="s">
        <v>19</v>
      </c>
      <c r="F2998" s="18">
        <v>7.0000000000000001E-3</v>
      </c>
      <c r="G2998" s="19">
        <f>VLOOKUP(D2998,upahbahan,3,FALSE)</f>
        <v>200000</v>
      </c>
      <c r="H2998" s="19">
        <f t="shared" si="309"/>
        <v>1400</v>
      </c>
    </row>
    <row r="2999" spans="3:9" x14ac:dyDescent="0.3">
      <c r="C2999" s="21" t="s">
        <v>24</v>
      </c>
      <c r="D2999" s="22"/>
      <c r="E2999" s="22"/>
      <c r="F2999" s="54"/>
      <c r="G2999" s="24"/>
      <c r="H2999" s="19">
        <f>SUM(H2995:H2998)</f>
        <v>45655</v>
      </c>
      <c r="I2999" s="25"/>
    </row>
    <row r="3000" spans="3:9" x14ac:dyDescent="0.25">
      <c r="C3000" s="12" t="s">
        <v>25</v>
      </c>
      <c r="D3000" s="13" t="s">
        <v>26</v>
      </c>
      <c r="E3000" s="14"/>
      <c r="F3000" s="55"/>
      <c r="G3000" s="14"/>
      <c r="H3000" s="14"/>
    </row>
    <row r="3001" spans="3:9" x14ac:dyDescent="0.3">
      <c r="C3001" s="63" t="s">
        <v>202</v>
      </c>
      <c r="D3001" s="26" t="s">
        <v>596</v>
      </c>
      <c r="E3001" s="27" t="s">
        <v>28</v>
      </c>
      <c r="F3001" s="59">
        <v>1.25</v>
      </c>
      <c r="G3001" s="19">
        <f>VLOOKUP(D3001,upahbahan,3,FALSE)</f>
        <v>350000</v>
      </c>
      <c r="H3001" s="19">
        <f t="shared" ref="H3001" si="310">F3001*G3001</f>
        <v>437500</v>
      </c>
    </row>
    <row r="3002" spans="3:9" x14ac:dyDescent="0.3">
      <c r="C3002" s="21" t="s">
        <v>29</v>
      </c>
      <c r="D3002" s="22"/>
      <c r="E3002" s="22"/>
      <c r="F3002" s="22"/>
      <c r="G3002" s="28"/>
      <c r="H3002" s="19">
        <f>SUM(H3001:H3001)</f>
        <v>437500</v>
      </c>
    </row>
    <row r="3003" spans="3:9" x14ac:dyDescent="0.25">
      <c r="C3003" s="12" t="s">
        <v>30</v>
      </c>
      <c r="D3003" s="13" t="s">
        <v>31</v>
      </c>
      <c r="E3003" s="14"/>
      <c r="F3003" s="14"/>
      <c r="G3003" s="14"/>
      <c r="H3003" s="14"/>
    </row>
    <row r="3004" spans="3:9" x14ac:dyDescent="0.3">
      <c r="C3004" s="21" t="s">
        <v>32</v>
      </c>
      <c r="D3004" s="22"/>
      <c r="E3004" s="22"/>
      <c r="F3004" s="22"/>
      <c r="G3004" s="28"/>
      <c r="H3004" s="29">
        <v>0</v>
      </c>
    </row>
    <row r="3005" spans="3:9" x14ac:dyDescent="0.3">
      <c r="C3005" s="30" t="s">
        <v>33</v>
      </c>
      <c r="D3005" s="31" t="s">
        <v>34</v>
      </c>
      <c r="E3005" s="32"/>
      <c r="F3005" s="32"/>
      <c r="G3005" s="33"/>
      <c r="H3005" s="46">
        <f>H3004+H3002+H2999</f>
        <v>483155</v>
      </c>
      <c r="I3005" s="47"/>
    </row>
    <row r="3006" spans="3:9" x14ac:dyDescent="0.3">
      <c r="C3006" s="30" t="s">
        <v>35</v>
      </c>
      <c r="D3006" s="31" t="s">
        <v>36</v>
      </c>
      <c r="E3006" s="32"/>
      <c r="F3006" s="33"/>
      <c r="G3006" s="34">
        <f>$M$9</f>
        <v>0.1</v>
      </c>
      <c r="H3006" s="19">
        <f>H3005*G3006</f>
        <v>48315.5</v>
      </c>
      <c r="I3006" s="47"/>
    </row>
    <row r="3007" spans="3:9" x14ac:dyDescent="0.3">
      <c r="C3007" s="30" t="s">
        <v>37</v>
      </c>
      <c r="D3007" s="31" t="s">
        <v>38</v>
      </c>
      <c r="E3007" s="32"/>
      <c r="F3007" s="32"/>
      <c r="G3007" s="33"/>
      <c r="H3007" s="48">
        <f>SUM(H3005:H3006)</f>
        <v>531470.5</v>
      </c>
      <c r="I3007" s="47"/>
    </row>
    <row r="3009" spans="3:11" x14ac:dyDescent="0.3">
      <c r="C3009" s="40" t="s">
        <v>597</v>
      </c>
      <c r="D3009" s="68" t="s">
        <v>598</v>
      </c>
      <c r="E3009" s="44"/>
      <c r="F3009" s="44"/>
      <c r="G3009" s="44"/>
      <c r="H3009" s="44"/>
      <c r="I3009" s="10">
        <f>ROUNDDOWN(H3024,0)</f>
        <v>558970</v>
      </c>
      <c r="J3009" s="15" t="s">
        <v>595</v>
      </c>
      <c r="K3009" s="39"/>
    </row>
    <row r="3010" spans="3:11" ht="27.6" x14ac:dyDescent="0.3">
      <c r="C3010" s="11" t="s">
        <v>9</v>
      </c>
      <c r="D3010" s="11" t="s">
        <v>10</v>
      </c>
      <c r="E3010" s="11" t="s">
        <v>11</v>
      </c>
      <c r="F3010" s="11" t="s">
        <v>12</v>
      </c>
      <c r="G3010" s="11" t="s">
        <v>13</v>
      </c>
      <c r="H3010" s="11" t="s">
        <v>14</v>
      </c>
    </row>
    <row r="3011" spans="3:11" x14ac:dyDescent="0.25">
      <c r="C3011" s="12" t="s">
        <v>15</v>
      </c>
      <c r="D3011" s="13" t="s">
        <v>16</v>
      </c>
      <c r="E3011" s="14"/>
      <c r="F3011" s="14"/>
      <c r="G3011" s="14"/>
      <c r="H3011" s="14"/>
    </row>
    <row r="3012" spans="3:11" x14ac:dyDescent="0.3">
      <c r="C3012" s="16">
        <v>1</v>
      </c>
      <c r="D3012" s="13" t="s">
        <v>18</v>
      </c>
      <c r="E3012" s="17" t="s">
        <v>19</v>
      </c>
      <c r="F3012" s="18">
        <v>0.11899999999999999</v>
      </c>
      <c r="G3012" s="19">
        <f>VLOOKUP(D3012,upahbahan,3,FALSE)</f>
        <v>100000</v>
      </c>
      <c r="H3012" s="19">
        <f t="shared" ref="H3012:H3015" si="311">F3012*G3012</f>
        <v>11900</v>
      </c>
    </row>
    <row r="3013" spans="3:11" x14ac:dyDescent="0.3">
      <c r="C3013" s="16">
        <v>2</v>
      </c>
      <c r="D3013" s="13" t="s">
        <v>214</v>
      </c>
      <c r="E3013" s="17" t="s">
        <v>19</v>
      </c>
      <c r="F3013" s="18">
        <v>0.19900000000000001</v>
      </c>
      <c r="G3013" s="19">
        <f>VLOOKUP(D3013,upahbahan,3,FALSE)</f>
        <v>145000</v>
      </c>
      <c r="H3013" s="19">
        <f t="shared" si="311"/>
        <v>28855</v>
      </c>
    </row>
    <row r="3014" spans="3:11" x14ac:dyDescent="0.3">
      <c r="C3014" s="16">
        <v>3</v>
      </c>
      <c r="D3014" s="13" t="s">
        <v>22</v>
      </c>
      <c r="E3014" s="17" t="s">
        <v>19</v>
      </c>
      <c r="F3014" s="18">
        <v>0.02</v>
      </c>
      <c r="G3014" s="19">
        <f>VLOOKUP(D3014,upahbahan,3,FALSE)</f>
        <v>175000</v>
      </c>
      <c r="H3014" s="19">
        <f t="shared" si="311"/>
        <v>3500</v>
      </c>
    </row>
    <row r="3015" spans="3:11" x14ac:dyDescent="0.3">
      <c r="C3015" s="16">
        <v>4</v>
      </c>
      <c r="D3015" s="13" t="s">
        <v>23</v>
      </c>
      <c r="E3015" s="17" t="s">
        <v>19</v>
      </c>
      <c r="F3015" s="18">
        <v>7.0000000000000001E-3</v>
      </c>
      <c r="G3015" s="19">
        <f>VLOOKUP(D3015,upahbahan,3,FALSE)</f>
        <v>200000</v>
      </c>
      <c r="H3015" s="19">
        <f t="shared" si="311"/>
        <v>1400</v>
      </c>
    </row>
    <row r="3016" spans="3:11" x14ac:dyDescent="0.3">
      <c r="C3016" s="21" t="s">
        <v>24</v>
      </c>
      <c r="D3016" s="22"/>
      <c r="E3016" s="22"/>
      <c r="F3016" s="54"/>
      <c r="G3016" s="24"/>
      <c r="H3016" s="19">
        <f>SUM(H3012:H3015)</f>
        <v>45655</v>
      </c>
      <c r="I3016" s="25"/>
    </row>
    <row r="3017" spans="3:11" x14ac:dyDescent="0.25">
      <c r="C3017" s="12" t="s">
        <v>25</v>
      </c>
      <c r="D3017" s="13" t="s">
        <v>26</v>
      </c>
      <c r="E3017" s="14"/>
      <c r="F3017" s="55"/>
      <c r="G3017" s="14"/>
      <c r="H3017" s="14"/>
    </row>
    <row r="3018" spans="3:11" x14ac:dyDescent="0.3">
      <c r="C3018" s="63" t="s">
        <v>202</v>
      </c>
      <c r="D3018" s="26" t="s">
        <v>598</v>
      </c>
      <c r="E3018" s="27" t="s">
        <v>28</v>
      </c>
      <c r="F3018" s="59">
        <v>1.25</v>
      </c>
      <c r="G3018" s="19">
        <f>VLOOKUP(D3018,upahbahan,3,FALSE)</f>
        <v>370000</v>
      </c>
      <c r="H3018" s="19">
        <f t="shared" ref="H3018" si="312">F3018*G3018</f>
        <v>462500</v>
      </c>
    </row>
    <row r="3019" spans="3:11" x14ac:dyDescent="0.3">
      <c r="C3019" s="21" t="s">
        <v>29</v>
      </c>
      <c r="D3019" s="22"/>
      <c r="E3019" s="22"/>
      <c r="F3019" s="22"/>
      <c r="G3019" s="28"/>
      <c r="H3019" s="19">
        <f>SUM(H3018:H3018)</f>
        <v>462500</v>
      </c>
    </row>
    <row r="3020" spans="3:11" x14ac:dyDescent="0.25">
      <c r="C3020" s="12" t="s">
        <v>30</v>
      </c>
      <c r="D3020" s="13" t="s">
        <v>31</v>
      </c>
      <c r="E3020" s="14"/>
      <c r="F3020" s="14"/>
      <c r="G3020" s="14"/>
      <c r="H3020" s="14"/>
    </row>
    <row r="3021" spans="3:11" x14ac:dyDescent="0.3">
      <c r="C3021" s="21" t="s">
        <v>32</v>
      </c>
      <c r="D3021" s="22"/>
      <c r="E3021" s="22"/>
      <c r="F3021" s="22"/>
      <c r="G3021" s="28"/>
      <c r="H3021" s="29">
        <v>0</v>
      </c>
    </row>
    <row r="3022" spans="3:11" x14ac:dyDescent="0.3">
      <c r="C3022" s="30" t="s">
        <v>33</v>
      </c>
      <c r="D3022" s="31" t="s">
        <v>34</v>
      </c>
      <c r="E3022" s="32"/>
      <c r="F3022" s="32"/>
      <c r="G3022" s="33"/>
      <c r="H3022" s="46">
        <f>H3021+H3019+H3016</f>
        <v>508155</v>
      </c>
      <c r="I3022" s="47"/>
    </row>
    <row r="3023" spans="3:11" x14ac:dyDescent="0.3">
      <c r="C3023" s="30" t="s">
        <v>35</v>
      </c>
      <c r="D3023" s="31" t="s">
        <v>36</v>
      </c>
      <c r="E3023" s="32"/>
      <c r="F3023" s="33"/>
      <c r="G3023" s="34">
        <f>$M$9</f>
        <v>0.1</v>
      </c>
      <c r="H3023" s="19">
        <f>H3022*G3023</f>
        <v>50815.5</v>
      </c>
      <c r="I3023" s="47"/>
    </row>
    <row r="3024" spans="3:11" x14ac:dyDescent="0.3">
      <c r="C3024" s="30" t="s">
        <v>37</v>
      </c>
      <c r="D3024" s="31" t="s">
        <v>38</v>
      </c>
      <c r="E3024" s="32"/>
      <c r="F3024" s="32"/>
      <c r="G3024" s="33"/>
      <c r="H3024" s="48">
        <f>SUM(H3022:H3023)</f>
        <v>558970.5</v>
      </c>
      <c r="I3024" s="47"/>
    </row>
    <row r="3026" spans="3:11" x14ac:dyDescent="0.3">
      <c r="C3026" s="40" t="s">
        <v>599</v>
      </c>
      <c r="D3026" s="68" t="s">
        <v>600</v>
      </c>
      <c r="E3026" s="44"/>
      <c r="F3026" s="44"/>
      <c r="G3026" s="44"/>
      <c r="H3026" s="44"/>
      <c r="I3026" s="10">
        <f>ROUNDDOWN(H3041,0)</f>
        <v>579595</v>
      </c>
      <c r="J3026" s="15" t="s">
        <v>595</v>
      </c>
      <c r="K3026" s="39"/>
    </row>
    <row r="3027" spans="3:11" ht="27.6" x14ac:dyDescent="0.3">
      <c r="C3027" s="11" t="s">
        <v>9</v>
      </c>
      <c r="D3027" s="11" t="s">
        <v>10</v>
      </c>
      <c r="E3027" s="11" t="s">
        <v>11</v>
      </c>
      <c r="F3027" s="11" t="s">
        <v>12</v>
      </c>
      <c r="G3027" s="11" t="s">
        <v>13</v>
      </c>
      <c r="H3027" s="11" t="s">
        <v>14</v>
      </c>
    </row>
    <row r="3028" spans="3:11" x14ac:dyDescent="0.25">
      <c r="C3028" s="12" t="s">
        <v>15</v>
      </c>
      <c r="D3028" s="13" t="s">
        <v>16</v>
      </c>
      <c r="E3028" s="14"/>
      <c r="F3028" s="14"/>
      <c r="G3028" s="14"/>
      <c r="H3028" s="14"/>
    </row>
    <row r="3029" spans="3:11" x14ac:dyDescent="0.3">
      <c r="C3029" s="16">
        <v>1</v>
      </c>
      <c r="D3029" s="13" t="s">
        <v>18</v>
      </c>
      <c r="E3029" s="17" t="s">
        <v>19</v>
      </c>
      <c r="F3029" s="18">
        <v>0.11899999999999999</v>
      </c>
      <c r="G3029" s="19">
        <f>VLOOKUP(D3029,upahbahan,3,FALSE)</f>
        <v>100000</v>
      </c>
      <c r="H3029" s="19">
        <f t="shared" ref="H3029:H3032" si="313">F3029*G3029</f>
        <v>11900</v>
      </c>
    </row>
    <row r="3030" spans="3:11" x14ac:dyDescent="0.3">
      <c r="C3030" s="16">
        <v>2</v>
      </c>
      <c r="D3030" s="13" t="s">
        <v>214</v>
      </c>
      <c r="E3030" s="17" t="s">
        <v>19</v>
      </c>
      <c r="F3030" s="18">
        <v>0.19900000000000001</v>
      </c>
      <c r="G3030" s="19">
        <f>VLOOKUP(D3030,upahbahan,3,FALSE)</f>
        <v>145000</v>
      </c>
      <c r="H3030" s="19">
        <f t="shared" si="313"/>
        <v>28855</v>
      </c>
    </row>
    <row r="3031" spans="3:11" x14ac:dyDescent="0.3">
      <c r="C3031" s="16">
        <v>3</v>
      </c>
      <c r="D3031" s="13" t="s">
        <v>22</v>
      </c>
      <c r="E3031" s="17" t="s">
        <v>19</v>
      </c>
      <c r="F3031" s="18">
        <v>0.02</v>
      </c>
      <c r="G3031" s="19">
        <f>VLOOKUP(D3031,upahbahan,3,FALSE)</f>
        <v>175000</v>
      </c>
      <c r="H3031" s="19">
        <f t="shared" si="313"/>
        <v>3500</v>
      </c>
    </row>
    <row r="3032" spans="3:11" x14ac:dyDescent="0.3">
      <c r="C3032" s="16">
        <v>4</v>
      </c>
      <c r="D3032" s="13" t="s">
        <v>23</v>
      </c>
      <c r="E3032" s="17" t="s">
        <v>19</v>
      </c>
      <c r="F3032" s="18">
        <v>7.0000000000000001E-3</v>
      </c>
      <c r="G3032" s="19">
        <f>VLOOKUP(D3032,upahbahan,3,FALSE)</f>
        <v>200000</v>
      </c>
      <c r="H3032" s="19">
        <f t="shared" si="313"/>
        <v>1400</v>
      </c>
    </row>
    <row r="3033" spans="3:11" x14ac:dyDescent="0.3">
      <c r="C3033" s="21" t="s">
        <v>24</v>
      </c>
      <c r="D3033" s="22"/>
      <c r="E3033" s="22"/>
      <c r="F3033" s="54"/>
      <c r="G3033" s="24"/>
      <c r="H3033" s="19">
        <f>SUM(H3029:H3032)</f>
        <v>45655</v>
      </c>
      <c r="I3033" s="25"/>
    </row>
    <row r="3034" spans="3:11" x14ac:dyDescent="0.25">
      <c r="C3034" s="12" t="s">
        <v>25</v>
      </c>
      <c r="D3034" s="13" t="s">
        <v>26</v>
      </c>
      <c r="E3034" s="14"/>
      <c r="F3034" s="55"/>
      <c r="G3034" s="14"/>
      <c r="H3034" s="14"/>
    </row>
    <row r="3035" spans="3:11" x14ac:dyDescent="0.3">
      <c r="C3035" s="63" t="s">
        <v>202</v>
      </c>
      <c r="D3035" s="26" t="s">
        <v>601</v>
      </c>
      <c r="E3035" s="27" t="s">
        <v>28</v>
      </c>
      <c r="F3035" s="59">
        <v>1.25</v>
      </c>
      <c r="G3035" s="19">
        <f>VLOOKUP(D3035,upahbahan,3,FALSE)</f>
        <v>385000</v>
      </c>
      <c r="H3035" s="19">
        <f t="shared" ref="H3035" si="314">F3035*G3035</f>
        <v>481250</v>
      </c>
    </row>
    <row r="3036" spans="3:11" x14ac:dyDescent="0.3">
      <c r="C3036" s="21" t="s">
        <v>29</v>
      </c>
      <c r="D3036" s="22"/>
      <c r="E3036" s="22"/>
      <c r="F3036" s="22"/>
      <c r="G3036" s="28"/>
      <c r="H3036" s="19">
        <f>SUM(H3035:H3035)</f>
        <v>481250</v>
      </c>
    </row>
    <row r="3037" spans="3:11" x14ac:dyDescent="0.25">
      <c r="C3037" s="12" t="s">
        <v>30</v>
      </c>
      <c r="D3037" s="13" t="s">
        <v>31</v>
      </c>
      <c r="E3037" s="14"/>
      <c r="F3037" s="14"/>
      <c r="G3037" s="14"/>
      <c r="H3037" s="14"/>
    </row>
    <row r="3038" spans="3:11" x14ac:dyDescent="0.3">
      <c r="C3038" s="21" t="s">
        <v>32</v>
      </c>
      <c r="D3038" s="22"/>
      <c r="E3038" s="22"/>
      <c r="F3038" s="22"/>
      <c r="G3038" s="28"/>
      <c r="H3038" s="29">
        <v>0</v>
      </c>
    </row>
    <row r="3039" spans="3:11" x14ac:dyDescent="0.3">
      <c r="C3039" s="30" t="s">
        <v>33</v>
      </c>
      <c r="D3039" s="31" t="s">
        <v>34</v>
      </c>
      <c r="E3039" s="32"/>
      <c r="F3039" s="32"/>
      <c r="G3039" s="33"/>
      <c r="H3039" s="46">
        <f>H3038+H3036+H3033</f>
        <v>526905</v>
      </c>
      <c r="I3039" s="47"/>
    </row>
    <row r="3040" spans="3:11" x14ac:dyDescent="0.3">
      <c r="C3040" s="30" t="s">
        <v>35</v>
      </c>
      <c r="D3040" s="31" t="s">
        <v>36</v>
      </c>
      <c r="E3040" s="32"/>
      <c r="F3040" s="33"/>
      <c r="G3040" s="34">
        <f>$M$9</f>
        <v>0.1</v>
      </c>
      <c r="H3040" s="19">
        <f>H3039*G3040</f>
        <v>52690.5</v>
      </c>
      <c r="I3040" s="47"/>
    </row>
    <row r="3041" spans="3:11" x14ac:dyDescent="0.3">
      <c r="C3041" s="30" t="s">
        <v>37</v>
      </c>
      <c r="D3041" s="31" t="s">
        <v>38</v>
      </c>
      <c r="E3041" s="32"/>
      <c r="F3041" s="32"/>
      <c r="G3041" s="33"/>
      <c r="H3041" s="48">
        <f>SUM(H3039:H3040)</f>
        <v>579595.5</v>
      </c>
      <c r="I3041" s="47"/>
    </row>
    <row r="3043" spans="3:11" x14ac:dyDescent="0.3">
      <c r="C3043" s="40" t="s">
        <v>602</v>
      </c>
      <c r="D3043" s="68" t="s">
        <v>603</v>
      </c>
      <c r="E3043" s="44"/>
      <c r="F3043" s="44"/>
      <c r="G3043" s="44"/>
      <c r="H3043" s="44"/>
      <c r="I3043" s="10">
        <f>ROUNDDOWN(H3058,0)</f>
        <v>593345</v>
      </c>
      <c r="J3043" s="15" t="s">
        <v>595</v>
      </c>
      <c r="K3043" s="39"/>
    </row>
    <row r="3044" spans="3:11" ht="27.6" x14ac:dyDescent="0.3">
      <c r="C3044" s="11" t="s">
        <v>9</v>
      </c>
      <c r="D3044" s="11" t="s">
        <v>10</v>
      </c>
      <c r="E3044" s="11" t="s">
        <v>11</v>
      </c>
      <c r="F3044" s="11" t="s">
        <v>12</v>
      </c>
      <c r="G3044" s="11" t="s">
        <v>13</v>
      </c>
      <c r="H3044" s="11" t="s">
        <v>14</v>
      </c>
    </row>
    <row r="3045" spans="3:11" x14ac:dyDescent="0.25">
      <c r="C3045" s="12" t="s">
        <v>15</v>
      </c>
      <c r="D3045" s="13" t="s">
        <v>16</v>
      </c>
      <c r="E3045" s="14"/>
      <c r="F3045" s="14"/>
      <c r="G3045" s="14"/>
      <c r="H3045" s="14"/>
    </row>
    <row r="3046" spans="3:11" x14ac:dyDescent="0.3">
      <c r="C3046" s="16">
        <v>1</v>
      </c>
      <c r="D3046" s="13" t="s">
        <v>18</v>
      </c>
      <c r="E3046" s="17" t="s">
        <v>19</v>
      </c>
      <c r="F3046" s="18">
        <v>0.11899999999999999</v>
      </c>
      <c r="G3046" s="19">
        <f>VLOOKUP(D3046,upahbahan,3,FALSE)</f>
        <v>100000</v>
      </c>
      <c r="H3046" s="19">
        <f t="shared" ref="H3046:H3049" si="315">F3046*G3046</f>
        <v>11900</v>
      </c>
    </row>
    <row r="3047" spans="3:11" x14ac:dyDescent="0.3">
      <c r="C3047" s="16">
        <v>2</v>
      </c>
      <c r="D3047" s="13" t="s">
        <v>214</v>
      </c>
      <c r="E3047" s="17" t="s">
        <v>19</v>
      </c>
      <c r="F3047" s="18">
        <v>0.19900000000000001</v>
      </c>
      <c r="G3047" s="19">
        <f>VLOOKUP(D3047,upahbahan,3,FALSE)</f>
        <v>145000</v>
      </c>
      <c r="H3047" s="19">
        <f t="shared" si="315"/>
        <v>28855</v>
      </c>
    </row>
    <row r="3048" spans="3:11" x14ac:dyDescent="0.3">
      <c r="C3048" s="16">
        <v>3</v>
      </c>
      <c r="D3048" s="13" t="s">
        <v>22</v>
      </c>
      <c r="E3048" s="17" t="s">
        <v>19</v>
      </c>
      <c r="F3048" s="18">
        <v>0.02</v>
      </c>
      <c r="G3048" s="19">
        <f>VLOOKUP(D3048,upahbahan,3,FALSE)</f>
        <v>175000</v>
      </c>
      <c r="H3048" s="19">
        <f t="shared" si="315"/>
        <v>3500</v>
      </c>
    </row>
    <row r="3049" spans="3:11" x14ac:dyDescent="0.3">
      <c r="C3049" s="16">
        <v>4</v>
      </c>
      <c r="D3049" s="13" t="s">
        <v>23</v>
      </c>
      <c r="E3049" s="17" t="s">
        <v>19</v>
      </c>
      <c r="F3049" s="18">
        <v>7.0000000000000001E-3</v>
      </c>
      <c r="G3049" s="19">
        <f>VLOOKUP(D3049,upahbahan,3,FALSE)</f>
        <v>200000</v>
      </c>
      <c r="H3049" s="19">
        <f t="shared" si="315"/>
        <v>1400</v>
      </c>
    </row>
    <row r="3050" spans="3:11" x14ac:dyDescent="0.3">
      <c r="C3050" s="21" t="s">
        <v>24</v>
      </c>
      <c r="D3050" s="22"/>
      <c r="E3050" s="22"/>
      <c r="F3050" s="54"/>
      <c r="G3050" s="24"/>
      <c r="H3050" s="19">
        <f>SUM(H3046:H3049)</f>
        <v>45655</v>
      </c>
      <c r="I3050" s="25"/>
    </row>
    <row r="3051" spans="3:11" x14ac:dyDescent="0.25">
      <c r="C3051" s="12" t="s">
        <v>25</v>
      </c>
      <c r="D3051" s="13" t="s">
        <v>26</v>
      </c>
      <c r="E3051" s="14"/>
      <c r="F3051" s="55"/>
      <c r="G3051" s="14"/>
      <c r="H3051" s="14"/>
    </row>
    <row r="3052" spans="3:11" x14ac:dyDescent="0.3">
      <c r="C3052" s="63" t="s">
        <v>202</v>
      </c>
      <c r="D3052" s="26" t="s">
        <v>604</v>
      </c>
      <c r="E3052" s="27" t="s">
        <v>28</v>
      </c>
      <c r="F3052" s="59">
        <v>1.25</v>
      </c>
      <c r="G3052" s="19">
        <f>VLOOKUP(D3052,upahbahan,3,FALSE)</f>
        <v>395000</v>
      </c>
      <c r="H3052" s="19">
        <f t="shared" ref="H3052" si="316">F3052*G3052</f>
        <v>493750</v>
      </c>
    </row>
    <row r="3053" spans="3:11" x14ac:dyDescent="0.3">
      <c r="C3053" s="21" t="s">
        <v>29</v>
      </c>
      <c r="D3053" s="22"/>
      <c r="E3053" s="22"/>
      <c r="F3053" s="22"/>
      <c r="G3053" s="28"/>
      <c r="H3053" s="19">
        <f>SUM(H3052:H3052)</f>
        <v>493750</v>
      </c>
    </row>
    <row r="3054" spans="3:11" x14ac:dyDescent="0.25">
      <c r="C3054" s="12" t="s">
        <v>30</v>
      </c>
      <c r="D3054" s="13" t="s">
        <v>31</v>
      </c>
      <c r="E3054" s="14"/>
      <c r="F3054" s="14"/>
      <c r="G3054" s="14"/>
      <c r="H3054" s="14"/>
    </row>
    <row r="3055" spans="3:11" x14ac:dyDescent="0.3">
      <c r="C3055" s="21" t="s">
        <v>32</v>
      </c>
      <c r="D3055" s="22"/>
      <c r="E3055" s="22"/>
      <c r="F3055" s="22"/>
      <c r="G3055" s="28"/>
      <c r="H3055" s="29">
        <v>0</v>
      </c>
    </row>
    <row r="3056" spans="3:11" x14ac:dyDescent="0.3">
      <c r="C3056" s="30" t="s">
        <v>33</v>
      </c>
      <c r="D3056" s="31" t="s">
        <v>34</v>
      </c>
      <c r="E3056" s="32"/>
      <c r="F3056" s="32"/>
      <c r="G3056" s="33"/>
      <c r="H3056" s="46">
        <f>H3055+H3053+H3050</f>
        <v>539405</v>
      </c>
      <c r="I3056" s="47"/>
    </row>
    <row r="3057" spans="3:11" x14ac:dyDescent="0.3">
      <c r="C3057" s="30" t="s">
        <v>35</v>
      </c>
      <c r="D3057" s="31" t="s">
        <v>36</v>
      </c>
      <c r="E3057" s="32"/>
      <c r="F3057" s="33"/>
      <c r="G3057" s="34">
        <f>$M$9</f>
        <v>0.1</v>
      </c>
      <c r="H3057" s="19">
        <f>H3056*G3057</f>
        <v>53940.5</v>
      </c>
      <c r="I3057" s="47"/>
    </row>
    <row r="3058" spans="3:11" x14ac:dyDescent="0.3">
      <c r="C3058" s="30" t="s">
        <v>37</v>
      </c>
      <c r="D3058" s="31" t="s">
        <v>38</v>
      </c>
      <c r="E3058" s="32"/>
      <c r="F3058" s="32"/>
      <c r="G3058" s="33"/>
      <c r="H3058" s="48">
        <f>SUM(H3056:H3057)</f>
        <v>593345.5</v>
      </c>
      <c r="I3058" s="47"/>
    </row>
    <row r="3060" spans="3:11" x14ac:dyDescent="0.3">
      <c r="C3060" s="40" t="s">
        <v>605</v>
      </c>
      <c r="D3060" s="68" t="s">
        <v>606</v>
      </c>
      <c r="E3060" s="44"/>
      <c r="F3060" s="44"/>
      <c r="G3060" s="44"/>
      <c r="H3060" s="44"/>
      <c r="I3060" s="10">
        <f>ROUNDDOWN(H3075,0)</f>
        <v>620845</v>
      </c>
      <c r="J3060" s="15" t="s">
        <v>595</v>
      </c>
      <c r="K3060" s="39"/>
    </row>
    <row r="3061" spans="3:11" ht="27.6" x14ac:dyDescent="0.3">
      <c r="C3061" s="11" t="s">
        <v>9</v>
      </c>
      <c r="D3061" s="11" t="s">
        <v>10</v>
      </c>
      <c r="E3061" s="11" t="s">
        <v>11</v>
      </c>
      <c r="F3061" s="11" t="s">
        <v>12</v>
      </c>
      <c r="G3061" s="11" t="s">
        <v>13</v>
      </c>
      <c r="H3061" s="11" t="s">
        <v>14</v>
      </c>
    </row>
    <row r="3062" spans="3:11" x14ac:dyDescent="0.25">
      <c r="C3062" s="12" t="s">
        <v>15</v>
      </c>
      <c r="D3062" s="13" t="s">
        <v>16</v>
      </c>
      <c r="E3062" s="14"/>
      <c r="F3062" s="14"/>
      <c r="G3062" s="14"/>
      <c r="H3062" s="14"/>
    </row>
    <row r="3063" spans="3:11" x14ac:dyDescent="0.3">
      <c r="C3063" s="16">
        <v>1</v>
      </c>
      <c r="D3063" s="13" t="s">
        <v>18</v>
      </c>
      <c r="E3063" s="17" t="s">
        <v>19</v>
      </c>
      <c r="F3063" s="18">
        <v>0.11899999999999999</v>
      </c>
      <c r="G3063" s="19">
        <f>VLOOKUP(D3063,upahbahan,3,FALSE)</f>
        <v>100000</v>
      </c>
      <c r="H3063" s="19">
        <f t="shared" ref="H3063:H3066" si="317">F3063*G3063</f>
        <v>11900</v>
      </c>
    </row>
    <row r="3064" spans="3:11" x14ac:dyDescent="0.3">
      <c r="C3064" s="16">
        <v>2</v>
      </c>
      <c r="D3064" s="13" t="s">
        <v>214</v>
      </c>
      <c r="E3064" s="17" t="s">
        <v>19</v>
      </c>
      <c r="F3064" s="18">
        <v>0.19900000000000001</v>
      </c>
      <c r="G3064" s="19">
        <f>VLOOKUP(D3064,upahbahan,3,FALSE)</f>
        <v>145000</v>
      </c>
      <c r="H3064" s="19">
        <f t="shared" si="317"/>
        <v>28855</v>
      </c>
    </row>
    <row r="3065" spans="3:11" x14ac:dyDescent="0.3">
      <c r="C3065" s="16">
        <v>3</v>
      </c>
      <c r="D3065" s="13" t="s">
        <v>22</v>
      </c>
      <c r="E3065" s="17" t="s">
        <v>19</v>
      </c>
      <c r="F3065" s="18">
        <v>0.02</v>
      </c>
      <c r="G3065" s="19">
        <f>VLOOKUP(D3065,upahbahan,3,FALSE)</f>
        <v>175000</v>
      </c>
      <c r="H3065" s="19">
        <f t="shared" si="317"/>
        <v>3500</v>
      </c>
    </row>
    <row r="3066" spans="3:11" x14ac:dyDescent="0.3">
      <c r="C3066" s="16">
        <v>4</v>
      </c>
      <c r="D3066" s="13" t="s">
        <v>23</v>
      </c>
      <c r="E3066" s="17" t="s">
        <v>19</v>
      </c>
      <c r="F3066" s="18">
        <v>7.0000000000000001E-3</v>
      </c>
      <c r="G3066" s="19">
        <f>VLOOKUP(D3066,upahbahan,3,FALSE)</f>
        <v>200000</v>
      </c>
      <c r="H3066" s="19">
        <f t="shared" si="317"/>
        <v>1400</v>
      </c>
    </row>
    <row r="3067" spans="3:11" x14ac:dyDescent="0.3">
      <c r="C3067" s="21" t="s">
        <v>24</v>
      </c>
      <c r="D3067" s="22"/>
      <c r="E3067" s="22"/>
      <c r="F3067" s="54"/>
      <c r="G3067" s="24"/>
      <c r="H3067" s="19">
        <f>SUM(H3063:H3066)</f>
        <v>45655</v>
      </c>
      <c r="I3067" s="25"/>
    </row>
    <row r="3068" spans="3:11" x14ac:dyDescent="0.25">
      <c r="C3068" s="12" t="s">
        <v>25</v>
      </c>
      <c r="D3068" s="13" t="s">
        <v>26</v>
      </c>
      <c r="E3068" s="14"/>
      <c r="F3068" s="55"/>
      <c r="G3068" s="14"/>
      <c r="H3068" s="14"/>
    </row>
    <row r="3069" spans="3:11" x14ac:dyDescent="0.3">
      <c r="C3069" s="63" t="s">
        <v>202</v>
      </c>
      <c r="D3069" s="26" t="s">
        <v>607</v>
      </c>
      <c r="E3069" s="27" t="s">
        <v>28</v>
      </c>
      <c r="F3069" s="59">
        <v>1.25</v>
      </c>
      <c r="G3069" s="19">
        <f>VLOOKUP(D3069,upahbahan,3,FALSE)</f>
        <v>415000</v>
      </c>
      <c r="H3069" s="19">
        <f t="shared" ref="H3069" si="318">F3069*G3069</f>
        <v>518750</v>
      </c>
    </row>
    <row r="3070" spans="3:11" x14ac:dyDescent="0.3">
      <c r="C3070" s="21" t="s">
        <v>29</v>
      </c>
      <c r="D3070" s="22"/>
      <c r="E3070" s="22"/>
      <c r="F3070" s="22"/>
      <c r="G3070" s="28"/>
      <c r="H3070" s="19">
        <f>SUM(H3069:H3069)</f>
        <v>518750</v>
      </c>
    </row>
    <row r="3071" spans="3:11" x14ac:dyDescent="0.25">
      <c r="C3071" s="12" t="s">
        <v>30</v>
      </c>
      <c r="D3071" s="13" t="s">
        <v>31</v>
      </c>
      <c r="E3071" s="14"/>
      <c r="F3071" s="14"/>
      <c r="G3071" s="14"/>
      <c r="H3071" s="14"/>
    </row>
    <row r="3072" spans="3:11" x14ac:dyDescent="0.3">
      <c r="C3072" s="21" t="s">
        <v>32</v>
      </c>
      <c r="D3072" s="22"/>
      <c r="E3072" s="22"/>
      <c r="F3072" s="22"/>
      <c r="G3072" s="28"/>
      <c r="H3072" s="29">
        <v>0</v>
      </c>
    </row>
    <row r="3073" spans="3:11" x14ac:dyDescent="0.3">
      <c r="C3073" s="30" t="s">
        <v>33</v>
      </c>
      <c r="D3073" s="31" t="s">
        <v>34</v>
      </c>
      <c r="E3073" s="32"/>
      <c r="F3073" s="32"/>
      <c r="G3073" s="33"/>
      <c r="H3073" s="46">
        <f>H3072+H3070+H3067</f>
        <v>564405</v>
      </c>
      <c r="I3073" s="47"/>
    </row>
    <row r="3074" spans="3:11" x14ac:dyDescent="0.3">
      <c r="C3074" s="30" t="s">
        <v>35</v>
      </c>
      <c r="D3074" s="31" t="s">
        <v>36</v>
      </c>
      <c r="E3074" s="32"/>
      <c r="F3074" s="33"/>
      <c r="G3074" s="34">
        <f>$M$9</f>
        <v>0.1</v>
      </c>
      <c r="H3074" s="19">
        <f>H3073*G3074</f>
        <v>56440.5</v>
      </c>
      <c r="I3074" s="47"/>
    </row>
    <row r="3075" spans="3:11" x14ac:dyDescent="0.3">
      <c r="C3075" s="30" t="s">
        <v>37</v>
      </c>
      <c r="D3075" s="31" t="s">
        <v>38</v>
      </c>
      <c r="E3075" s="32"/>
      <c r="F3075" s="32"/>
      <c r="G3075" s="33"/>
      <c r="H3075" s="48">
        <f>SUM(H3073:H3074)</f>
        <v>620845.5</v>
      </c>
      <c r="I3075" s="47"/>
    </row>
    <row r="3077" spans="3:11" x14ac:dyDescent="0.3">
      <c r="C3077" s="40" t="s">
        <v>608</v>
      </c>
      <c r="D3077" s="68" t="s">
        <v>609</v>
      </c>
      <c r="E3077" s="44"/>
      <c r="F3077" s="44"/>
      <c r="G3077" s="44"/>
      <c r="H3077" s="44"/>
      <c r="I3077" s="10">
        <f>ROUNDDOWN(H3092,0)</f>
        <v>641470</v>
      </c>
      <c r="J3077" s="15" t="s">
        <v>595</v>
      </c>
      <c r="K3077" s="39"/>
    </row>
    <row r="3078" spans="3:11" ht="27.6" x14ac:dyDescent="0.3">
      <c r="C3078" s="11" t="s">
        <v>9</v>
      </c>
      <c r="D3078" s="11" t="s">
        <v>10</v>
      </c>
      <c r="E3078" s="11" t="s">
        <v>11</v>
      </c>
      <c r="F3078" s="11" t="s">
        <v>12</v>
      </c>
      <c r="G3078" s="11" t="s">
        <v>13</v>
      </c>
      <c r="H3078" s="11" t="s">
        <v>14</v>
      </c>
    </row>
    <row r="3079" spans="3:11" x14ac:dyDescent="0.25">
      <c r="C3079" s="12" t="s">
        <v>15</v>
      </c>
      <c r="D3079" s="13" t="s">
        <v>16</v>
      </c>
      <c r="E3079" s="14"/>
      <c r="F3079" s="14"/>
      <c r="G3079" s="14"/>
      <c r="H3079" s="14"/>
    </row>
    <row r="3080" spans="3:11" x14ac:dyDescent="0.3">
      <c r="C3080" s="16">
        <v>1</v>
      </c>
      <c r="D3080" s="13" t="s">
        <v>18</v>
      </c>
      <c r="E3080" s="17" t="s">
        <v>19</v>
      </c>
      <c r="F3080" s="18">
        <v>0.11899999999999999</v>
      </c>
      <c r="G3080" s="19">
        <f>VLOOKUP(D3080,upahbahan,3,FALSE)</f>
        <v>100000</v>
      </c>
      <c r="H3080" s="19">
        <f t="shared" ref="H3080:H3083" si="319">F3080*G3080</f>
        <v>11900</v>
      </c>
    </row>
    <row r="3081" spans="3:11" x14ac:dyDescent="0.3">
      <c r="C3081" s="16">
        <v>2</v>
      </c>
      <c r="D3081" s="13" t="s">
        <v>214</v>
      </c>
      <c r="E3081" s="17" t="s">
        <v>19</v>
      </c>
      <c r="F3081" s="18">
        <v>0.19900000000000001</v>
      </c>
      <c r="G3081" s="19">
        <f>VLOOKUP(D3081,upahbahan,3,FALSE)</f>
        <v>145000</v>
      </c>
      <c r="H3081" s="19">
        <f t="shared" si="319"/>
        <v>28855</v>
      </c>
    </row>
    <row r="3082" spans="3:11" x14ac:dyDescent="0.3">
      <c r="C3082" s="16">
        <v>3</v>
      </c>
      <c r="D3082" s="13" t="s">
        <v>22</v>
      </c>
      <c r="E3082" s="17" t="s">
        <v>19</v>
      </c>
      <c r="F3082" s="18">
        <v>0.02</v>
      </c>
      <c r="G3082" s="19">
        <f>VLOOKUP(D3082,upahbahan,3,FALSE)</f>
        <v>175000</v>
      </c>
      <c r="H3082" s="19">
        <f t="shared" si="319"/>
        <v>3500</v>
      </c>
    </row>
    <row r="3083" spans="3:11" x14ac:dyDescent="0.3">
      <c r="C3083" s="16">
        <v>4</v>
      </c>
      <c r="D3083" s="13" t="s">
        <v>23</v>
      </c>
      <c r="E3083" s="17" t="s">
        <v>19</v>
      </c>
      <c r="F3083" s="18">
        <v>7.0000000000000001E-3</v>
      </c>
      <c r="G3083" s="19">
        <f>VLOOKUP(D3083,upahbahan,3,FALSE)</f>
        <v>200000</v>
      </c>
      <c r="H3083" s="19">
        <f t="shared" si="319"/>
        <v>1400</v>
      </c>
    </row>
    <row r="3084" spans="3:11" x14ac:dyDescent="0.3">
      <c r="C3084" s="21" t="s">
        <v>24</v>
      </c>
      <c r="D3084" s="22"/>
      <c r="E3084" s="22"/>
      <c r="F3084" s="54"/>
      <c r="G3084" s="24"/>
      <c r="H3084" s="19">
        <f>SUM(H3080:H3083)</f>
        <v>45655</v>
      </c>
      <c r="I3084" s="25"/>
    </row>
    <row r="3085" spans="3:11" x14ac:dyDescent="0.25">
      <c r="C3085" s="12" t="s">
        <v>25</v>
      </c>
      <c r="D3085" s="13" t="s">
        <v>26</v>
      </c>
      <c r="E3085" s="14"/>
      <c r="F3085" s="55"/>
      <c r="G3085" s="14"/>
      <c r="H3085" s="14"/>
    </row>
    <row r="3086" spans="3:11" x14ac:dyDescent="0.3">
      <c r="C3086" s="63" t="s">
        <v>202</v>
      </c>
      <c r="D3086" s="26" t="s">
        <v>610</v>
      </c>
      <c r="E3086" s="27" t="s">
        <v>28</v>
      </c>
      <c r="F3086" s="59">
        <v>1.25</v>
      </c>
      <c r="G3086" s="19">
        <f>VLOOKUP(D3086,upahbahan,3,FALSE)</f>
        <v>430000</v>
      </c>
      <c r="H3086" s="19">
        <f t="shared" ref="H3086" si="320">F3086*G3086</f>
        <v>537500</v>
      </c>
    </row>
    <row r="3087" spans="3:11" x14ac:dyDescent="0.3">
      <c r="C3087" s="21" t="s">
        <v>29</v>
      </c>
      <c r="D3087" s="22"/>
      <c r="E3087" s="22"/>
      <c r="F3087" s="22"/>
      <c r="G3087" s="28"/>
      <c r="H3087" s="19">
        <f>SUM(H3086:H3086)</f>
        <v>537500</v>
      </c>
    </row>
    <row r="3088" spans="3:11" x14ac:dyDescent="0.25">
      <c r="C3088" s="12" t="s">
        <v>30</v>
      </c>
      <c r="D3088" s="13" t="s">
        <v>31</v>
      </c>
      <c r="E3088" s="14"/>
      <c r="F3088" s="14"/>
      <c r="G3088" s="14"/>
      <c r="H3088" s="14"/>
    </row>
    <row r="3089" spans="3:11" x14ac:dyDescent="0.3">
      <c r="C3089" s="21" t="s">
        <v>32</v>
      </c>
      <c r="D3089" s="22"/>
      <c r="E3089" s="22"/>
      <c r="F3089" s="22"/>
      <c r="G3089" s="28"/>
      <c r="H3089" s="29">
        <v>0</v>
      </c>
    </row>
    <row r="3090" spans="3:11" x14ac:dyDescent="0.3">
      <c r="C3090" s="30" t="s">
        <v>33</v>
      </c>
      <c r="D3090" s="31" t="s">
        <v>34</v>
      </c>
      <c r="E3090" s="32"/>
      <c r="F3090" s="32"/>
      <c r="G3090" s="33"/>
      <c r="H3090" s="46">
        <f>H3089+H3087+H3084</f>
        <v>583155</v>
      </c>
      <c r="I3090" s="47"/>
    </row>
    <row r="3091" spans="3:11" x14ac:dyDescent="0.3">
      <c r="C3091" s="30" t="s">
        <v>35</v>
      </c>
      <c r="D3091" s="31" t="s">
        <v>36</v>
      </c>
      <c r="E3091" s="32"/>
      <c r="F3091" s="33"/>
      <c r="G3091" s="34">
        <f>$M$9</f>
        <v>0.1</v>
      </c>
      <c r="H3091" s="19">
        <f>H3090*G3091</f>
        <v>58315.5</v>
      </c>
      <c r="I3091" s="47"/>
    </row>
    <row r="3092" spans="3:11" x14ac:dyDescent="0.3">
      <c r="C3092" s="30" t="s">
        <v>37</v>
      </c>
      <c r="D3092" s="31" t="s">
        <v>38</v>
      </c>
      <c r="E3092" s="32"/>
      <c r="F3092" s="32"/>
      <c r="G3092" s="33"/>
      <c r="H3092" s="48">
        <f>SUM(H3090:H3091)</f>
        <v>641470.5</v>
      </c>
      <c r="I3092" s="47"/>
    </row>
    <row r="3094" spans="3:11" x14ac:dyDescent="0.3">
      <c r="C3094" s="40" t="s">
        <v>611</v>
      </c>
      <c r="D3094" s="68" t="s">
        <v>612</v>
      </c>
      <c r="E3094" s="44"/>
      <c r="F3094" s="44"/>
      <c r="G3094" s="44"/>
      <c r="H3094" s="44"/>
      <c r="I3094" s="10">
        <f>ROUNDDOWN(H3109,0)</f>
        <v>662095</v>
      </c>
      <c r="J3094" s="15" t="s">
        <v>595</v>
      </c>
      <c r="K3094" s="39"/>
    </row>
    <row r="3095" spans="3:11" ht="27.6" x14ac:dyDescent="0.3">
      <c r="C3095" s="11" t="s">
        <v>9</v>
      </c>
      <c r="D3095" s="11" t="s">
        <v>10</v>
      </c>
      <c r="E3095" s="11" t="s">
        <v>11</v>
      </c>
      <c r="F3095" s="11" t="s">
        <v>12</v>
      </c>
      <c r="G3095" s="11" t="s">
        <v>13</v>
      </c>
      <c r="H3095" s="11" t="s">
        <v>14</v>
      </c>
    </row>
    <row r="3096" spans="3:11" x14ac:dyDescent="0.25">
      <c r="C3096" s="12" t="s">
        <v>15</v>
      </c>
      <c r="D3096" s="13" t="s">
        <v>16</v>
      </c>
      <c r="E3096" s="14"/>
      <c r="F3096" s="14"/>
      <c r="G3096" s="14"/>
      <c r="H3096" s="14"/>
    </row>
    <row r="3097" spans="3:11" x14ac:dyDescent="0.3">
      <c r="C3097" s="16">
        <v>1</v>
      </c>
      <c r="D3097" s="13" t="s">
        <v>18</v>
      </c>
      <c r="E3097" s="17" t="s">
        <v>19</v>
      </c>
      <c r="F3097" s="18">
        <v>0.11899999999999999</v>
      </c>
      <c r="G3097" s="19">
        <f>VLOOKUP(D3097,upahbahan,3,FALSE)</f>
        <v>100000</v>
      </c>
      <c r="H3097" s="19">
        <f t="shared" ref="H3097:H3100" si="321">F3097*G3097</f>
        <v>11900</v>
      </c>
    </row>
    <row r="3098" spans="3:11" x14ac:dyDescent="0.3">
      <c r="C3098" s="16">
        <v>2</v>
      </c>
      <c r="D3098" s="13" t="s">
        <v>214</v>
      </c>
      <c r="E3098" s="17" t="s">
        <v>19</v>
      </c>
      <c r="F3098" s="18">
        <v>0.19900000000000001</v>
      </c>
      <c r="G3098" s="19">
        <f>VLOOKUP(D3098,upahbahan,3,FALSE)</f>
        <v>145000</v>
      </c>
      <c r="H3098" s="19">
        <f t="shared" si="321"/>
        <v>28855</v>
      </c>
    </row>
    <row r="3099" spans="3:11" x14ac:dyDescent="0.3">
      <c r="C3099" s="16">
        <v>3</v>
      </c>
      <c r="D3099" s="13" t="s">
        <v>22</v>
      </c>
      <c r="E3099" s="17" t="s">
        <v>19</v>
      </c>
      <c r="F3099" s="18">
        <v>0.02</v>
      </c>
      <c r="G3099" s="19">
        <f>VLOOKUP(D3099,upahbahan,3,FALSE)</f>
        <v>175000</v>
      </c>
      <c r="H3099" s="19">
        <f t="shared" si="321"/>
        <v>3500</v>
      </c>
    </row>
    <row r="3100" spans="3:11" x14ac:dyDescent="0.3">
      <c r="C3100" s="16">
        <v>4</v>
      </c>
      <c r="D3100" s="13" t="s">
        <v>23</v>
      </c>
      <c r="E3100" s="17" t="s">
        <v>19</v>
      </c>
      <c r="F3100" s="18">
        <v>7.0000000000000001E-3</v>
      </c>
      <c r="G3100" s="19">
        <f>VLOOKUP(D3100,upahbahan,3,FALSE)</f>
        <v>200000</v>
      </c>
      <c r="H3100" s="19">
        <f t="shared" si="321"/>
        <v>1400</v>
      </c>
    </row>
    <row r="3101" spans="3:11" x14ac:dyDescent="0.3">
      <c r="C3101" s="21" t="s">
        <v>24</v>
      </c>
      <c r="D3101" s="22"/>
      <c r="E3101" s="22"/>
      <c r="F3101" s="54"/>
      <c r="G3101" s="24"/>
      <c r="H3101" s="19">
        <f>SUM(H3097:H3100)</f>
        <v>45655</v>
      </c>
      <c r="I3101" s="25"/>
    </row>
    <row r="3102" spans="3:11" x14ac:dyDescent="0.25">
      <c r="C3102" s="12" t="s">
        <v>25</v>
      </c>
      <c r="D3102" s="13" t="s">
        <v>26</v>
      </c>
      <c r="E3102" s="14"/>
      <c r="F3102" s="55"/>
      <c r="G3102" s="14"/>
      <c r="H3102" s="14"/>
    </row>
    <row r="3103" spans="3:11" x14ac:dyDescent="0.3">
      <c r="C3103" s="63" t="s">
        <v>202</v>
      </c>
      <c r="D3103" s="26" t="s">
        <v>613</v>
      </c>
      <c r="E3103" s="27" t="s">
        <v>28</v>
      </c>
      <c r="F3103" s="59">
        <v>1.25</v>
      </c>
      <c r="G3103" s="19">
        <f>VLOOKUP(D3103,upahbahan,3,FALSE)</f>
        <v>445000</v>
      </c>
      <c r="H3103" s="19">
        <f t="shared" ref="H3103" si="322">F3103*G3103</f>
        <v>556250</v>
      </c>
    </row>
    <row r="3104" spans="3:11" x14ac:dyDescent="0.3">
      <c r="C3104" s="21" t="s">
        <v>29</v>
      </c>
      <c r="D3104" s="22"/>
      <c r="E3104" s="22"/>
      <c r="F3104" s="22"/>
      <c r="G3104" s="28"/>
      <c r="H3104" s="19">
        <f>SUM(H3103:H3103)</f>
        <v>556250</v>
      </c>
    </row>
    <row r="3105" spans="3:11" x14ac:dyDescent="0.25">
      <c r="C3105" s="12" t="s">
        <v>30</v>
      </c>
      <c r="D3105" s="13" t="s">
        <v>31</v>
      </c>
      <c r="E3105" s="14"/>
      <c r="F3105" s="14"/>
      <c r="G3105" s="14"/>
      <c r="H3105" s="14"/>
    </row>
    <row r="3106" spans="3:11" x14ac:dyDescent="0.3">
      <c r="C3106" s="21" t="s">
        <v>32</v>
      </c>
      <c r="D3106" s="22"/>
      <c r="E3106" s="22"/>
      <c r="F3106" s="22"/>
      <c r="G3106" s="28"/>
      <c r="H3106" s="29">
        <v>0</v>
      </c>
    </row>
    <row r="3107" spans="3:11" x14ac:dyDescent="0.3">
      <c r="C3107" s="30" t="s">
        <v>33</v>
      </c>
      <c r="D3107" s="31" t="s">
        <v>34</v>
      </c>
      <c r="E3107" s="32"/>
      <c r="F3107" s="32"/>
      <c r="G3107" s="33"/>
      <c r="H3107" s="46">
        <f>H3106+H3104+H3101</f>
        <v>601905</v>
      </c>
      <c r="I3107" s="47"/>
    </row>
    <row r="3108" spans="3:11" x14ac:dyDescent="0.3">
      <c r="C3108" s="30" t="s">
        <v>35</v>
      </c>
      <c r="D3108" s="31" t="s">
        <v>36</v>
      </c>
      <c r="E3108" s="32"/>
      <c r="F3108" s="33"/>
      <c r="G3108" s="34">
        <f>$M$9</f>
        <v>0.1</v>
      </c>
      <c r="H3108" s="19">
        <f>H3107*G3108</f>
        <v>60190.5</v>
      </c>
      <c r="I3108" s="47"/>
    </row>
    <row r="3109" spans="3:11" x14ac:dyDescent="0.3">
      <c r="C3109" s="30" t="s">
        <v>37</v>
      </c>
      <c r="D3109" s="31" t="s">
        <v>38</v>
      </c>
      <c r="E3109" s="32"/>
      <c r="F3109" s="32"/>
      <c r="G3109" s="33"/>
      <c r="H3109" s="48">
        <f>SUM(H3107:H3108)</f>
        <v>662095.5</v>
      </c>
      <c r="I3109" s="47"/>
    </row>
    <row r="3111" spans="3:11" x14ac:dyDescent="0.3">
      <c r="C3111" s="40" t="s">
        <v>614</v>
      </c>
      <c r="D3111" s="68" t="s">
        <v>615</v>
      </c>
      <c r="E3111" s="44"/>
      <c r="F3111" s="44"/>
      <c r="G3111" s="44"/>
      <c r="H3111" s="44"/>
      <c r="I3111" s="10">
        <f>ROUNDDOWN(H3126,0)</f>
        <v>531470</v>
      </c>
      <c r="J3111" s="15" t="s">
        <v>595</v>
      </c>
      <c r="K3111" s="39"/>
    </row>
    <row r="3112" spans="3:11" ht="27.6" x14ac:dyDescent="0.3">
      <c r="C3112" s="11" t="s">
        <v>9</v>
      </c>
      <c r="D3112" s="11" t="s">
        <v>10</v>
      </c>
      <c r="E3112" s="11" t="s">
        <v>11</v>
      </c>
      <c r="F3112" s="11" t="s">
        <v>12</v>
      </c>
      <c r="G3112" s="11" t="s">
        <v>13</v>
      </c>
      <c r="H3112" s="11" t="s">
        <v>14</v>
      </c>
    </row>
    <row r="3113" spans="3:11" x14ac:dyDescent="0.25">
      <c r="C3113" s="12" t="s">
        <v>15</v>
      </c>
      <c r="D3113" s="13" t="s">
        <v>16</v>
      </c>
      <c r="E3113" s="14"/>
      <c r="F3113" s="14"/>
      <c r="G3113" s="14"/>
      <c r="H3113" s="14"/>
    </row>
    <row r="3114" spans="3:11" x14ac:dyDescent="0.3">
      <c r="C3114" s="16">
        <v>1</v>
      </c>
      <c r="D3114" s="13" t="s">
        <v>18</v>
      </c>
      <c r="E3114" s="17" t="s">
        <v>19</v>
      </c>
      <c r="F3114" s="18">
        <v>0.11899999999999999</v>
      </c>
      <c r="G3114" s="19">
        <f>VLOOKUP(D3114,upahbahan,3,FALSE)</f>
        <v>100000</v>
      </c>
      <c r="H3114" s="19">
        <f t="shared" ref="H3114:H3117" si="323">F3114*G3114</f>
        <v>11900</v>
      </c>
    </row>
    <row r="3115" spans="3:11" x14ac:dyDescent="0.3">
      <c r="C3115" s="16">
        <v>2</v>
      </c>
      <c r="D3115" s="13" t="s">
        <v>214</v>
      </c>
      <c r="E3115" s="17" t="s">
        <v>19</v>
      </c>
      <c r="F3115" s="18">
        <v>0.19900000000000001</v>
      </c>
      <c r="G3115" s="19">
        <f>VLOOKUP(D3115,upahbahan,3,FALSE)</f>
        <v>145000</v>
      </c>
      <c r="H3115" s="19">
        <f t="shared" si="323"/>
        <v>28855</v>
      </c>
    </row>
    <row r="3116" spans="3:11" x14ac:dyDescent="0.3">
      <c r="C3116" s="16">
        <v>3</v>
      </c>
      <c r="D3116" s="13" t="s">
        <v>22</v>
      </c>
      <c r="E3116" s="17" t="s">
        <v>19</v>
      </c>
      <c r="F3116" s="18">
        <v>0.02</v>
      </c>
      <c r="G3116" s="19">
        <f>VLOOKUP(D3116,upahbahan,3,FALSE)</f>
        <v>175000</v>
      </c>
      <c r="H3116" s="19">
        <f t="shared" si="323"/>
        <v>3500</v>
      </c>
    </row>
    <row r="3117" spans="3:11" x14ac:dyDescent="0.3">
      <c r="C3117" s="16">
        <v>4</v>
      </c>
      <c r="D3117" s="13" t="s">
        <v>23</v>
      </c>
      <c r="E3117" s="17" t="s">
        <v>19</v>
      </c>
      <c r="F3117" s="18">
        <v>7.0000000000000001E-3</v>
      </c>
      <c r="G3117" s="19">
        <f>VLOOKUP(D3117,upahbahan,3,FALSE)</f>
        <v>200000</v>
      </c>
      <c r="H3117" s="19">
        <f t="shared" si="323"/>
        <v>1400</v>
      </c>
    </row>
    <row r="3118" spans="3:11" x14ac:dyDescent="0.3">
      <c r="C3118" s="21" t="s">
        <v>24</v>
      </c>
      <c r="D3118" s="22"/>
      <c r="E3118" s="22"/>
      <c r="F3118" s="54"/>
      <c r="G3118" s="24"/>
      <c r="H3118" s="19">
        <f>SUM(H3114:H3117)</f>
        <v>45655</v>
      </c>
      <c r="I3118" s="25"/>
    </row>
    <row r="3119" spans="3:11" x14ac:dyDescent="0.25">
      <c r="C3119" s="12" t="s">
        <v>25</v>
      </c>
      <c r="D3119" s="13" t="s">
        <v>26</v>
      </c>
      <c r="E3119" s="14"/>
      <c r="F3119" s="55"/>
      <c r="G3119" s="14"/>
      <c r="H3119" s="14"/>
    </row>
    <row r="3120" spans="3:11" x14ac:dyDescent="0.3">
      <c r="C3120" s="63" t="s">
        <v>202</v>
      </c>
      <c r="D3120" s="26" t="s">
        <v>616</v>
      </c>
      <c r="E3120" s="27" t="s">
        <v>617</v>
      </c>
      <c r="F3120" s="59">
        <v>1.25</v>
      </c>
      <c r="G3120" s="19">
        <f>VLOOKUP(D3120,upahbahan,3,FALSE)</f>
        <v>350000</v>
      </c>
      <c r="H3120" s="19">
        <f t="shared" ref="H3120" si="324">F3120*G3120</f>
        <v>437500</v>
      </c>
    </row>
    <row r="3121" spans="3:11" x14ac:dyDescent="0.3">
      <c r="C3121" s="21" t="s">
        <v>29</v>
      </c>
      <c r="D3121" s="22"/>
      <c r="E3121" s="22"/>
      <c r="F3121" s="22"/>
      <c r="G3121" s="28"/>
      <c r="H3121" s="19">
        <f>SUM(H3120:H3120)</f>
        <v>437500</v>
      </c>
    </row>
    <row r="3122" spans="3:11" x14ac:dyDescent="0.25">
      <c r="C3122" s="12" t="s">
        <v>30</v>
      </c>
      <c r="D3122" s="13" t="s">
        <v>31</v>
      </c>
      <c r="E3122" s="14"/>
      <c r="F3122" s="14"/>
      <c r="G3122" s="14"/>
      <c r="H3122" s="14"/>
    </row>
    <row r="3123" spans="3:11" x14ac:dyDescent="0.3">
      <c r="C3123" s="21" t="s">
        <v>32</v>
      </c>
      <c r="D3123" s="22"/>
      <c r="E3123" s="22"/>
      <c r="F3123" s="22"/>
      <c r="G3123" s="28"/>
      <c r="H3123" s="29">
        <v>0</v>
      </c>
    </row>
    <row r="3124" spans="3:11" x14ac:dyDescent="0.3">
      <c r="C3124" s="30" t="s">
        <v>33</v>
      </c>
      <c r="D3124" s="31" t="s">
        <v>34</v>
      </c>
      <c r="E3124" s="32"/>
      <c r="F3124" s="32"/>
      <c r="G3124" s="33"/>
      <c r="H3124" s="46">
        <f>H3123+H3121+H3118</f>
        <v>483155</v>
      </c>
      <c r="I3124" s="47"/>
    </row>
    <row r="3125" spans="3:11" x14ac:dyDescent="0.3">
      <c r="C3125" s="30" t="s">
        <v>35</v>
      </c>
      <c r="D3125" s="31" t="s">
        <v>36</v>
      </c>
      <c r="E3125" s="32"/>
      <c r="F3125" s="33"/>
      <c r="G3125" s="34">
        <f>$M$9</f>
        <v>0.1</v>
      </c>
      <c r="H3125" s="19">
        <f>H3124*G3125</f>
        <v>48315.5</v>
      </c>
      <c r="I3125" s="47"/>
    </row>
    <row r="3126" spans="3:11" x14ac:dyDescent="0.3">
      <c r="C3126" s="30" t="s">
        <v>37</v>
      </c>
      <c r="D3126" s="31" t="s">
        <v>38</v>
      </c>
      <c r="E3126" s="32"/>
      <c r="F3126" s="32"/>
      <c r="G3126" s="33"/>
      <c r="H3126" s="48">
        <f>SUM(H3124:H3125)</f>
        <v>531470.5</v>
      </c>
      <c r="I3126" s="47"/>
    </row>
    <row r="3128" spans="3:11" x14ac:dyDescent="0.3">
      <c r="C3128" s="40" t="s">
        <v>618</v>
      </c>
      <c r="D3128" s="68" t="s">
        <v>619</v>
      </c>
      <c r="E3128" s="44"/>
      <c r="F3128" s="44"/>
      <c r="G3128" s="44"/>
      <c r="H3128" s="44"/>
      <c r="I3128" s="10">
        <f>ROUNDDOWN(H3143,0)</f>
        <v>531470</v>
      </c>
      <c r="J3128" s="15" t="s">
        <v>595</v>
      </c>
      <c r="K3128" s="39"/>
    </row>
    <row r="3129" spans="3:11" ht="27.6" x14ac:dyDescent="0.3">
      <c r="C3129" s="11" t="s">
        <v>9</v>
      </c>
      <c r="D3129" s="11" t="s">
        <v>10</v>
      </c>
      <c r="E3129" s="11" t="s">
        <v>11</v>
      </c>
      <c r="F3129" s="11" t="s">
        <v>12</v>
      </c>
      <c r="G3129" s="11" t="s">
        <v>13</v>
      </c>
      <c r="H3129" s="11" t="s">
        <v>14</v>
      </c>
    </row>
    <row r="3130" spans="3:11" x14ac:dyDescent="0.25">
      <c r="C3130" s="12" t="s">
        <v>15</v>
      </c>
      <c r="D3130" s="13" t="s">
        <v>16</v>
      </c>
      <c r="E3130" s="14"/>
      <c r="F3130" s="14"/>
      <c r="G3130" s="14"/>
      <c r="H3130" s="14"/>
    </row>
    <row r="3131" spans="3:11" x14ac:dyDescent="0.3">
      <c r="C3131" s="16">
        <v>1</v>
      </c>
      <c r="D3131" s="13" t="s">
        <v>18</v>
      </c>
      <c r="E3131" s="17" t="s">
        <v>19</v>
      </c>
      <c r="F3131" s="18">
        <v>0.11899999999999999</v>
      </c>
      <c r="G3131" s="19">
        <f>VLOOKUP(D3131,upahbahan,3,FALSE)</f>
        <v>100000</v>
      </c>
      <c r="H3131" s="19">
        <f t="shared" ref="H3131:H3134" si="325">F3131*G3131</f>
        <v>11900</v>
      </c>
    </row>
    <row r="3132" spans="3:11" x14ac:dyDescent="0.3">
      <c r="C3132" s="16">
        <v>2</v>
      </c>
      <c r="D3132" s="13" t="s">
        <v>214</v>
      </c>
      <c r="E3132" s="17" t="s">
        <v>19</v>
      </c>
      <c r="F3132" s="18">
        <v>0.19900000000000001</v>
      </c>
      <c r="G3132" s="19">
        <f>VLOOKUP(D3132,upahbahan,3,FALSE)</f>
        <v>145000</v>
      </c>
      <c r="H3132" s="19">
        <f t="shared" si="325"/>
        <v>28855</v>
      </c>
    </row>
    <row r="3133" spans="3:11" x14ac:dyDescent="0.3">
      <c r="C3133" s="16">
        <v>3</v>
      </c>
      <c r="D3133" s="13" t="s">
        <v>22</v>
      </c>
      <c r="E3133" s="17" t="s">
        <v>19</v>
      </c>
      <c r="F3133" s="18">
        <v>0.02</v>
      </c>
      <c r="G3133" s="19">
        <f>VLOOKUP(D3133,upahbahan,3,FALSE)</f>
        <v>175000</v>
      </c>
      <c r="H3133" s="19">
        <f t="shared" si="325"/>
        <v>3500</v>
      </c>
    </row>
    <row r="3134" spans="3:11" x14ac:dyDescent="0.3">
      <c r="C3134" s="16">
        <v>4</v>
      </c>
      <c r="D3134" s="13" t="s">
        <v>23</v>
      </c>
      <c r="E3134" s="17" t="s">
        <v>19</v>
      </c>
      <c r="F3134" s="18">
        <v>7.0000000000000001E-3</v>
      </c>
      <c r="G3134" s="19">
        <f>VLOOKUP(D3134,upahbahan,3,FALSE)</f>
        <v>200000</v>
      </c>
      <c r="H3134" s="19">
        <f t="shared" si="325"/>
        <v>1400</v>
      </c>
    </row>
    <row r="3135" spans="3:11" x14ac:dyDescent="0.3">
      <c r="C3135" s="21" t="s">
        <v>24</v>
      </c>
      <c r="D3135" s="22"/>
      <c r="E3135" s="22"/>
      <c r="F3135" s="54"/>
      <c r="G3135" s="24"/>
      <c r="H3135" s="19">
        <f>SUM(H3131:H3134)</f>
        <v>45655</v>
      </c>
      <c r="I3135" s="25"/>
    </row>
    <row r="3136" spans="3:11" x14ac:dyDescent="0.25">
      <c r="C3136" s="12" t="s">
        <v>25</v>
      </c>
      <c r="D3136" s="13" t="s">
        <v>26</v>
      </c>
      <c r="E3136" s="14"/>
      <c r="F3136" s="55"/>
      <c r="G3136" s="14"/>
      <c r="H3136" s="14"/>
    </row>
    <row r="3137" spans="3:11" x14ac:dyDescent="0.3">
      <c r="C3137" s="63" t="s">
        <v>202</v>
      </c>
      <c r="D3137" s="26" t="s">
        <v>616</v>
      </c>
      <c r="E3137" s="27" t="s">
        <v>617</v>
      </c>
      <c r="F3137" s="59">
        <v>1.25</v>
      </c>
      <c r="G3137" s="19">
        <f>VLOOKUP(D3137,upahbahan,3,FALSE)</f>
        <v>350000</v>
      </c>
      <c r="H3137" s="19">
        <f t="shared" ref="H3137" si="326">F3137*G3137</f>
        <v>437500</v>
      </c>
    </row>
    <row r="3138" spans="3:11" x14ac:dyDescent="0.3">
      <c r="C3138" s="21" t="s">
        <v>29</v>
      </c>
      <c r="D3138" s="22"/>
      <c r="E3138" s="22"/>
      <c r="F3138" s="22"/>
      <c r="G3138" s="28"/>
      <c r="H3138" s="19">
        <f>SUM(H3137:H3137)</f>
        <v>437500</v>
      </c>
    </row>
    <row r="3139" spans="3:11" x14ac:dyDescent="0.25">
      <c r="C3139" s="12" t="s">
        <v>30</v>
      </c>
      <c r="D3139" s="13" t="s">
        <v>31</v>
      </c>
      <c r="E3139" s="14"/>
      <c r="F3139" s="14"/>
      <c r="G3139" s="14"/>
      <c r="H3139" s="14"/>
    </row>
    <row r="3140" spans="3:11" x14ac:dyDescent="0.3">
      <c r="C3140" s="21" t="s">
        <v>32</v>
      </c>
      <c r="D3140" s="22"/>
      <c r="E3140" s="22"/>
      <c r="F3140" s="22"/>
      <c r="G3140" s="28"/>
      <c r="H3140" s="29">
        <v>0</v>
      </c>
    </row>
    <row r="3141" spans="3:11" x14ac:dyDescent="0.3">
      <c r="C3141" s="30" t="s">
        <v>33</v>
      </c>
      <c r="D3141" s="31" t="s">
        <v>34</v>
      </c>
      <c r="E3141" s="32"/>
      <c r="F3141" s="32"/>
      <c r="G3141" s="33"/>
      <c r="H3141" s="46">
        <f>H3140+H3138+H3135</f>
        <v>483155</v>
      </c>
      <c r="I3141" s="47"/>
    </row>
    <row r="3142" spans="3:11" x14ac:dyDescent="0.3">
      <c r="C3142" s="30" t="s">
        <v>35</v>
      </c>
      <c r="D3142" s="31" t="s">
        <v>36</v>
      </c>
      <c r="E3142" s="32"/>
      <c r="F3142" s="33"/>
      <c r="G3142" s="34">
        <f>$M$9</f>
        <v>0.1</v>
      </c>
      <c r="H3142" s="19">
        <f>H3141*G3142</f>
        <v>48315.5</v>
      </c>
      <c r="I3142" s="47"/>
    </row>
    <row r="3143" spans="3:11" x14ac:dyDescent="0.3">
      <c r="C3143" s="30" t="s">
        <v>37</v>
      </c>
      <c r="D3143" s="31" t="s">
        <v>38</v>
      </c>
      <c r="E3143" s="32"/>
      <c r="F3143" s="32"/>
      <c r="G3143" s="33"/>
      <c r="H3143" s="48">
        <f>SUM(H3141:H3142)</f>
        <v>531470.5</v>
      </c>
      <c r="I3143" s="47"/>
    </row>
    <row r="3145" spans="3:11" x14ac:dyDescent="0.3">
      <c r="C3145" s="40" t="s">
        <v>620</v>
      </c>
      <c r="D3145" s="68" t="s">
        <v>621</v>
      </c>
      <c r="E3145" s="44"/>
      <c r="F3145" s="44"/>
      <c r="G3145" s="44"/>
      <c r="H3145" s="44"/>
      <c r="I3145" s="10">
        <f>ROUNDDOWN(H3160,0)</f>
        <v>572720</v>
      </c>
      <c r="J3145" s="15" t="s">
        <v>595</v>
      </c>
      <c r="K3145" s="39"/>
    </row>
    <row r="3146" spans="3:11" ht="27.6" x14ac:dyDescent="0.3">
      <c r="C3146" s="11" t="s">
        <v>9</v>
      </c>
      <c r="D3146" s="11" t="s">
        <v>10</v>
      </c>
      <c r="E3146" s="11" t="s">
        <v>11</v>
      </c>
      <c r="F3146" s="11" t="s">
        <v>12</v>
      </c>
      <c r="G3146" s="11" t="s">
        <v>13</v>
      </c>
      <c r="H3146" s="11" t="s">
        <v>14</v>
      </c>
    </row>
    <row r="3147" spans="3:11" x14ac:dyDescent="0.25">
      <c r="C3147" s="12" t="s">
        <v>15</v>
      </c>
      <c r="D3147" s="13" t="s">
        <v>16</v>
      </c>
      <c r="E3147" s="14"/>
      <c r="F3147" s="14"/>
      <c r="G3147" s="14"/>
      <c r="H3147" s="14"/>
    </row>
    <row r="3148" spans="3:11" x14ac:dyDescent="0.3">
      <c r="C3148" s="16">
        <v>1</v>
      </c>
      <c r="D3148" s="13" t="s">
        <v>18</v>
      </c>
      <c r="E3148" s="17" t="s">
        <v>19</v>
      </c>
      <c r="F3148" s="18">
        <v>0.11899999999999999</v>
      </c>
      <c r="G3148" s="19">
        <f>VLOOKUP(D3148,upahbahan,3,FALSE)</f>
        <v>100000</v>
      </c>
      <c r="H3148" s="19">
        <f t="shared" ref="H3148:H3151" si="327">F3148*G3148</f>
        <v>11900</v>
      </c>
    </row>
    <row r="3149" spans="3:11" x14ac:dyDescent="0.3">
      <c r="C3149" s="16">
        <v>2</v>
      </c>
      <c r="D3149" s="13" t="s">
        <v>214</v>
      </c>
      <c r="E3149" s="17" t="s">
        <v>19</v>
      </c>
      <c r="F3149" s="18">
        <v>0.19900000000000001</v>
      </c>
      <c r="G3149" s="19">
        <f>VLOOKUP(D3149,upahbahan,3,FALSE)</f>
        <v>145000</v>
      </c>
      <c r="H3149" s="19">
        <f t="shared" si="327"/>
        <v>28855</v>
      </c>
    </row>
    <row r="3150" spans="3:11" x14ac:dyDescent="0.3">
      <c r="C3150" s="16">
        <v>3</v>
      </c>
      <c r="D3150" s="13" t="s">
        <v>22</v>
      </c>
      <c r="E3150" s="17" t="s">
        <v>19</v>
      </c>
      <c r="F3150" s="18">
        <v>0.02</v>
      </c>
      <c r="G3150" s="19">
        <f>VLOOKUP(D3150,upahbahan,3,FALSE)</f>
        <v>175000</v>
      </c>
      <c r="H3150" s="19">
        <f t="shared" si="327"/>
        <v>3500</v>
      </c>
    </row>
    <row r="3151" spans="3:11" x14ac:dyDescent="0.3">
      <c r="C3151" s="16">
        <v>4</v>
      </c>
      <c r="D3151" s="13" t="s">
        <v>23</v>
      </c>
      <c r="E3151" s="17" t="s">
        <v>19</v>
      </c>
      <c r="F3151" s="18">
        <v>7.0000000000000001E-3</v>
      </c>
      <c r="G3151" s="19">
        <f>VLOOKUP(D3151,upahbahan,3,FALSE)</f>
        <v>200000</v>
      </c>
      <c r="H3151" s="19">
        <f t="shared" si="327"/>
        <v>1400</v>
      </c>
    </row>
    <row r="3152" spans="3:11" x14ac:dyDescent="0.3">
      <c r="C3152" s="21" t="s">
        <v>24</v>
      </c>
      <c r="D3152" s="22"/>
      <c r="E3152" s="22"/>
      <c r="F3152" s="54"/>
      <c r="G3152" s="24"/>
      <c r="H3152" s="19">
        <f>SUM(H3148:H3151)</f>
        <v>45655</v>
      </c>
      <c r="I3152" s="25"/>
    </row>
    <row r="3153" spans="3:11" x14ac:dyDescent="0.25">
      <c r="C3153" s="12" t="s">
        <v>25</v>
      </c>
      <c r="D3153" s="13" t="s">
        <v>26</v>
      </c>
      <c r="E3153" s="14"/>
      <c r="F3153" s="55"/>
      <c r="G3153" s="14"/>
      <c r="H3153" s="14"/>
    </row>
    <row r="3154" spans="3:11" x14ac:dyDescent="0.3">
      <c r="C3154" s="63" t="s">
        <v>202</v>
      </c>
      <c r="D3154" s="26" t="s">
        <v>622</v>
      </c>
      <c r="E3154" s="27" t="s">
        <v>617</v>
      </c>
      <c r="F3154" s="59">
        <v>1.25</v>
      </c>
      <c r="G3154" s="19">
        <f>VLOOKUP(D3154,upahbahan,3,FALSE)</f>
        <v>380000</v>
      </c>
      <c r="H3154" s="19">
        <f t="shared" ref="H3154" si="328">F3154*G3154</f>
        <v>475000</v>
      </c>
    </row>
    <row r="3155" spans="3:11" x14ac:dyDescent="0.3">
      <c r="C3155" s="21" t="s">
        <v>29</v>
      </c>
      <c r="D3155" s="22"/>
      <c r="E3155" s="22"/>
      <c r="F3155" s="22"/>
      <c r="G3155" s="28"/>
      <c r="H3155" s="19">
        <f>SUM(H3154:H3154)</f>
        <v>475000</v>
      </c>
    </row>
    <row r="3156" spans="3:11" x14ac:dyDescent="0.25">
      <c r="C3156" s="12" t="s">
        <v>30</v>
      </c>
      <c r="D3156" s="13" t="s">
        <v>31</v>
      </c>
      <c r="E3156" s="14"/>
      <c r="F3156" s="14"/>
      <c r="G3156" s="14"/>
      <c r="H3156" s="14"/>
    </row>
    <row r="3157" spans="3:11" x14ac:dyDescent="0.3">
      <c r="C3157" s="21" t="s">
        <v>32</v>
      </c>
      <c r="D3157" s="22"/>
      <c r="E3157" s="22"/>
      <c r="F3157" s="22"/>
      <c r="G3157" s="28"/>
      <c r="H3157" s="29">
        <v>0</v>
      </c>
    </row>
    <row r="3158" spans="3:11" x14ac:dyDescent="0.3">
      <c r="C3158" s="30" t="s">
        <v>33</v>
      </c>
      <c r="D3158" s="31" t="s">
        <v>34</v>
      </c>
      <c r="E3158" s="32"/>
      <c r="F3158" s="32"/>
      <c r="G3158" s="33"/>
      <c r="H3158" s="46">
        <f>H3157+H3155+H3152</f>
        <v>520655</v>
      </c>
      <c r="I3158" s="47"/>
    </row>
    <row r="3159" spans="3:11" x14ac:dyDescent="0.3">
      <c r="C3159" s="30" t="s">
        <v>35</v>
      </c>
      <c r="D3159" s="31" t="s">
        <v>36</v>
      </c>
      <c r="E3159" s="32"/>
      <c r="F3159" s="33"/>
      <c r="G3159" s="34">
        <f>$M$9</f>
        <v>0.1</v>
      </c>
      <c r="H3159" s="19">
        <f>H3158*G3159</f>
        <v>52065.5</v>
      </c>
      <c r="I3159" s="47"/>
    </row>
    <row r="3160" spans="3:11" x14ac:dyDescent="0.3">
      <c r="C3160" s="30" t="s">
        <v>37</v>
      </c>
      <c r="D3160" s="31" t="s">
        <v>38</v>
      </c>
      <c r="E3160" s="32"/>
      <c r="F3160" s="32"/>
      <c r="G3160" s="33"/>
      <c r="H3160" s="48">
        <f>SUM(H3158:H3159)</f>
        <v>572720.5</v>
      </c>
      <c r="I3160" s="47"/>
    </row>
    <row r="3162" spans="3:11" x14ac:dyDescent="0.3">
      <c r="C3162" s="40" t="s">
        <v>623</v>
      </c>
      <c r="D3162" s="68" t="s">
        <v>624</v>
      </c>
      <c r="E3162" s="44"/>
      <c r="F3162" s="44"/>
      <c r="G3162" s="44"/>
      <c r="H3162" s="44"/>
      <c r="I3162" s="10">
        <f>ROUNDDOWN(H3177,0)</f>
        <v>593345</v>
      </c>
      <c r="J3162" s="15" t="s">
        <v>595</v>
      </c>
      <c r="K3162" s="39"/>
    </row>
    <row r="3163" spans="3:11" ht="27.6" x14ac:dyDescent="0.3">
      <c r="C3163" s="11" t="s">
        <v>9</v>
      </c>
      <c r="D3163" s="11" t="s">
        <v>10</v>
      </c>
      <c r="E3163" s="11" t="s">
        <v>11</v>
      </c>
      <c r="F3163" s="11" t="s">
        <v>12</v>
      </c>
      <c r="G3163" s="11" t="s">
        <v>13</v>
      </c>
      <c r="H3163" s="11" t="s">
        <v>14</v>
      </c>
    </row>
    <row r="3164" spans="3:11" x14ac:dyDescent="0.25">
      <c r="C3164" s="12" t="s">
        <v>15</v>
      </c>
      <c r="D3164" s="13" t="s">
        <v>16</v>
      </c>
      <c r="E3164" s="14"/>
      <c r="F3164" s="14"/>
      <c r="G3164" s="14"/>
      <c r="H3164" s="14"/>
    </row>
    <row r="3165" spans="3:11" x14ac:dyDescent="0.3">
      <c r="C3165" s="16">
        <v>1</v>
      </c>
      <c r="D3165" s="13" t="s">
        <v>18</v>
      </c>
      <c r="E3165" s="17" t="s">
        <v>19</v>
      </c>
      <c r="F3165" s="18">
        <v>0.11899999999999999</v>
      </c>
      <c r="G3165" s="19">
        <f>VLOOKUP(D3165,upahbahan,3,FALSE)</f>
        <v>100000</v>
      </c>
      <c r="H3165" s="19">
        <f t="shared" ref="H3165:H3168" si="329">F3165*G3165</f>
        <v>11900</v>
      </c>
    </row>
    <row r="3166" spans="3:11" x14ac:dyDescent="0.3">
      <c r="C3166" s="16">
        <v>2</v>
      </c>
      <c r="D3166" s="13" t="s">
        <v>214</v>
      </c>
      <c r="E3166" s="17" t="s">
        <v>19</v>
      </c>
      <c r="F3166" s="18">
        <v>0.19900000000000001</v>
      </c>
      <c r="G3166" s="19">
        <f>VLOOKUP(D3166,upahbahan,3,FALSE)</f>
        <v>145000</v>
      </c>
      <c r="H3166" s="19">
        <f t="shared" si="329"/>
        <v>28855</v>
      </c>
    </row>
    <row r="3167" spans="3:11" x14ac:dyDescent="0.3">
      <c r="C3167" s="16">
        <v>3</v>
      </c>
      <c r="D3167" s="13" t="s">
        <v>22</v>
      </c>
      <c r="E3167" s="17" t="s">
        <v>19</v>
      </c>
      <c r="F3167" s="18">
        <v>0.02</v>
      </c>
      <c r="G3167" s="19">
        <f>VLOOKUP(D3167,upahbahan,3,FALSE)</f>
        <v>175000</v>
      </c>
      <c r="H3167" s="19">
        <f t="shared" si="329"/>
        <v>3500</v>
      </c>
    </row>
    <row r="3168" spans="3:11" x14ac:dyDescent="0.3">
      <c r="C3168" s="16">
        <v>4</v>
      </c>
      <c r="D3168" s="13" t="s">
        <v>23</v>
      </c>
      <c r="E3168" s="17" t="s">
        <v>19</v>
      </c>
      <c r="F3168" s="18">
        <v>7.0000000000000001E-3</v>
      </c>
      <c r="G3168" s="19">
        <f>VLOOKUP(D3168,upahbahan,3,FALSE)</f>
        <v>200000</v>
      </c>
      <c r="H3168" s="19">
        <f t="shared" si="329"/>
        <v>1400</v>
      </c>
    </row>
    <row r="3169" spans="3:11" x14ac:dyDescent="0.3">
      <c r="C3169" s="21" t="s">
        <v>24</v>
      </c>
      <c r="D3169" s="22"/>
      <c r="E3169" s="22"/>
      <c r="F3169" s="54"/>
      <c r="G3169" s="24"/>
      <c r="H3169" s="19">
        <f>SUM(H3165:H3168)</f>
        <v>45655</v>
      </c>
      <c r="I3169" s="25"/>
    </row>
    <row r="3170" spans="3:11" x14ac:dyDescent="0.25">
      <c r="C3170" s="12" t="s">
        <v>25</v>
      </c>
      <c r="D3170" s="13" t="s">
        <v>26</v>
      </c>
      <c r="E3170" s="14"/>
      <c r="F3170" s="55"/>
      <c r="G3170" s="14"/>
      <c r="H3170" s="14"/>
    </row>
    <row r="3171" spans="3:11" x14ac:dyDescent="0.3">
      <c r="C3171" s="63" t="s">
        <v>202</v>
      </c>
      <c r="D3171" s="26" t="s">
        <v>625</v>
      </c>
      <c r="E3171" s="27" t="s">
        <v>617</v>
      </c>
      <c r="F3171" s="59">
        <v>1.25</v>
      </c>
      <c r="G3171" s="19">
        <f>VLOOKUP(D3171,upahbahan,3,FALSE)</f>
        <v>395000</v>
      </c>
      <c r="H3171" s="19">
        <f t="shared" ref="H3171" si="330">F3171*G3171</f>
        <v>493750</v>
      </c>
    </row>
    <row r="3172" spans="3:11" x14ac:dyDescent="0.3">
      <c r="C3172" s="21" t="s">
        <v>29</v>
      </c>
      <c r="D3172" s="22"/>
      <c r="E3172" s="22"/>
      <c r="F3172" s="22"/>
      <c r="G3172" s="28"/>
      <c r="H3172" s="19">
        <f>SUM(H3171:H3171)</f>
        <v>493750</v>
      </c>
    </row>
    <row r="3173" spans="3:11" x14ac:dyDescent="0.25">
      <c r="C3173" s="12" t="s">
        <v>30</v>
      </c>
      <c r="D3173" s="13" t="s">
        <v>31</v>
      </c>
      <c r="E3173" s="14"/>
      <c r="F3173" s="14"/>
      <c r="G3173" s="14"/>
      <c r="H3173" s="14"/>
    </row>
    <row r="3174" spans="3:11" x14ac:dyDescent="0.3">
      <c r="C3174" s="21" t="s">
        <v>32</v>
      </c>
      <c r="D3174" s="22"/>
      <c r="E3174" s="22"/>
      <c r="F3174" s="22"/>
      <c r="G3174" s="28"/>
      <c r="H3174" s="29">
        <v>0</v>
      </c>
    </row>
    <row r="3175" spans="3:11" x14ac:dyDescent="0.3">
      <c r="C3175" s="30" t="s">
        <v>33</v>
      </c>
      <c r="D3175" s="31" t="s">
        <v>34</v>
      </c>
      <c r="E3175" s="32"/>
      <c r="F3175" s="32"/>
      <c r="G3175" s="33"/>
      <c r="H3175" s="46">
        <f>H3174+H3172+H3169</f>
        <v>539405</v>
      </c>
      <c r="I3175" s="47"/>
    </row>
    <row r="3176" spans="3:11" x14ac:dyDescent="0.3">
      <c r="C3176" s="30" t="s">
        <v>35</v>
      </c>
      <c r="D3176" s="31" t="s">
        <v>36</v>
      </c>
      <c r="E3176" s="32"/>
      <c r="F3176" s="33"/>
      <c r="G3176" s="34">
        <f>$M$9</f>
        <v>0.1</v>
      </c>
      <c r="H3176" s="19">
        <f>H3175*G3176</f>
        <v>53940.5</v>
      </c>
      <c r="I3176" s="47"/>
    </row>
    <row r="3177" spans="3:11" x14ac:dyDescent="0.3">
      <c r="C3177" s="30" t="s">
        <v>37</v>
      </c>
      <c r="D3177" s="31" t="s">
        <v>38</v>
      </c>
      <c r="E3177" s="32"/>
      <c r="F3177" s="32"/>
      <c r="G3177" s="33"/>
      <c r="H3177" s="48">
        <f>SUM(H3175:H3176)</f>
        <v>593345.5</v>
      </c>
      <c r="I3177" s="47"/>
    </row>
    <row r="3179" spans="3:11" x14ac:dyDescent="0.3">
      <c r="C3179" s="40" t="s">
        <v>626</v>
      </c>
      <c r="D3179" s="68" t="s">
        <v>627</v>
      </c>
      <c r="E3179" s="44"/>
      <c r="F3179" s="44"/>
      <c r="G3179" s="44"/>
      <c r="H3179" s="44"/>
      <c r="I3179" s="10">
        <f>ROUNDDOWN(H3194,0)</f>
        <v>613970</v>
      </c>
      <c r="J3179" s="15" t="s">
        <v>595</v>
      </c>
      <c r="K3179" s="39"/>
    </row>
    <row r="3180" spans="3:11" ht="27.6" x14ac:dyDescent="0.3">
      <c r="C3180" s="11" t="s">
        <v>9</v>
      </c>
      <c r="D3180" s="11" t="s">
        <v>10</v>
      </c>
      <c r="E3180" s="11" t="s">
        <v>11</v>
      </c>
      <c r="F3180" s="11" t="s">
        <v>12</v>
      </c>
      <c r="G3180" s="11" t="s">
        <v>13</v>
      </c>
      <c r="H3180" s="11" t="s">
        <v>14</v>
      </c>
    </row>
    <row r="3181" spans="3:11" x14ac:dyDescent="0.25">
      <c r="C3181" s="12" t="s">
        <v>15</v>
      </c>
      <c r="D3181" s="13" t="s">
        <v>16</v>
      </c>
      <c r="E3181" s="14"/>
      <c r="F3181" s="14"/>
      <c r="G3181" s="14"/>
      <c r="H3181" s="14"/>
    </row>
    <row r="3182" spans="3:11" x14ac:dyDescent="0.3">
      <c r="C3182" s="16">
        <v>1</v>
      </c>
      <c r="D3182" s="13" t="s">
        <v>18</v>
      </c>
      <c r="E3182" s="17" t="s">
        <v>19</v>
      </c>
      <c r="F3182" s="18">
        <v>0.11899999999999999</v>
      </c>
      <c r="G3182" s="19">
        <f>VLOOKUP(D3182,upahbahan,3,FALSE)</f>
        <v>100000</v>
      </c>
      <c r="H3182" s="19">
        <f t="shared" ref="H3182:H3185" si="331">F3182*G3182</f>
        <v>11900</v>
      </c>
    </row>
    <row r="3183" spans="3:11" x14ac:dyDescent="0.3">
      <c r="C3183" s="16">
        <v>2</v>
      </c>
      <c r="D3183" s="13" t="s">
        <v>214</v>
      </c>
      <c r="E3183" s="17" t="s">
        <v>19</v>
      </c>
      <c r="F3183" s="18">
        <v>0.19900000000000001</v>
      </c>
      <c r="G3183" s="19">
        <f>VLOOKUP(D3183,upahbahan,3,FALSE)</f>
        <v>145000</v>
      </c>
      <c r="H3183" s="19">
        <f t="shared" si="331"/>
        <v>28855</v>
      </c>
    </row>
    <row r="3184" spans="3:11" x14ac:dyDescent="0.3">
      <c r="C3184" s="16">
        <v>3</v>
      </c>
      <c r="D3184" s="13" t="s">
        <v>22</v>
      </c>
      <c r="E3184" s="17" t="s">
        <v>19</v>
      </c>
      <c r="F3184" s="18">
        <v>0.02</v>
      </c>
      <c r="G3184" s="19">
        <f>VLOOKUP(D3184,upahbahan,3,FALSE)</f>
        <v>175000</v>
      </c>
      <c r="H3184" s="19">
        <f t="shared" si="331"/>
        <v>3500</v>
      </c>
    </row>
    <row r="3185" spans="3:11" x14ac:dyDescent="0.3">
      <c r="C3185" s="16">
        <v>4</v>
      </c>
      <c r="D3185" s="13" t="s">
        <v>23</v>
      </c>
      <c r="E3185" s="17" t="s">
        <v>19</v>
      </c>
      <c r="F3185" s="18">
        <v>7.0000000000000001E-3</v>
      </c>
      <c r="G3185" s="19">
        <f>VLOOKUP(D3185,upahbahan,3,FALSE)</f>
        <v>200000</v>
      </c>
      <c r="H3185" s="19">
        <f t="shared" si="331"/>
        <v>1400</v>
      </c>
    </row>
    <row r="3186" spans="3:11" x14ac:dyDescent="0.3">
      <c r="C3186" s="21" t="s">
        <v>24</v>
      </c>
      <c r="D3186" s="22"/>
      <c r="E3186" s="22"/>
      <c r="F3186" s="54"/>
      <c r="G3186" s="24"/>
      <c r="H3186" s="19">
        <f>SUM(H3182:H3185)</f>
        <v>45655</v>
      </c>
      <c r="I3186" s="25"/>
    </row>
    <row r="3187" spans="3:11" x14ac:dyDescent="0.25">
      <c r="C3187" s="12" t="s">
        <v>25</v>
      </c>
      <c r="D3187" s="13" t="s">
        <v>26</v>
      </c>
      <c r="E3187" s="14"/>
      <c r="F3187" s="55"/>
      <c r="G3187" s="14"/>
      <c r="H3187" s="14"/>
    </row>
    <row r="3188" spans="3:11" x14ac:dyDescent="0.3">
      <c r="C3188" s="63" t="s">
        <v>202</v>
      </c>
      <c r="D3188" s="26" t="s">
        <v>628</v>
      </c>
      <c r="E3188" s="27" t="s">
        <v>617</v>
      </c>
      <c r="F3188" s="59">
        <v>1.25</v>
      </c>
      <c r="G3188" s="19">
        <f>VLOOKUP(D3188,upahbahan,3,FALSE)</f>
        <v>410000</v>
      </c>
      <c r="H3188" s="19">
        <f t="shared" ref="H3188" si="332">F3188*G3188</f>
        <v>512500</v>
      </c>
    </row>
    <row r="3189" spans="3:11" x14ac:dyDescent="0.3">
      <c r="C3189" s="21" t="s">
        <v>29</v>
      </c>
      <c r="D3189" s="22"/>
      <c r="E3189" s="22"/>
      <c r="F3189" s="22"/>
      <c r="G3189" s="28"/>
      <c r="H3189" s="19">
        <f>SUM(H3188:H3188)</f>
        <v>512500</v>
      </c>
    </row>
    <row r="3190" spans="3:11" x14ac:dyDescent="0.25">
      <c r="C3190" s="12" t="s">
        <v>30</v>
      </c>
      <c r="D3190" s="13" t="s">
        <v>31</v>
      </c>
      <c r="E3190" s="14"/>
      <c r="F3190" s="14"/>
      <c r="G3190" s="14"/>
      <c r="H3190" s="14"/>
    </row>
    <row r="3191" spans="3:11" x14ac:dyDescent="0.3">
      <c r="C3191" s="21" t="s">
        <v>32</v>
      </c>
      <c r="D3191" s="22"/>
      <c r="E3191" s="22"/>
      <c r="F3191" s="22"/>
      <c r="G3191" s="28"/>
      <c r="H3191" s="29">
        <v>0</v>
      </c>
    </row>
    <row r="3192" spans="3:11" x14ac:dyDescent="0.3">
      <c r="C3192" s="30" t="s">
        <v>33</v>
      </c>
      <c r="D3192" s="31" t="s">
        <v>34</v>
      </c>
      <c r="E3192" s="32"/>
      <c r="F3192" s="32"/>
      <c r="G3192" s="33"/>
      <c r="H3192" s="46">
        <f>H3191+H3189+H3186</f>
        <v>558155</v>
      </c>
      <c r="I3192" s="47"/>
    </row>
    <row r="3193" spans="3:11" x14ac:dyDescent="0.3">
      <c r="C3193" s="30" t="s">
        <v>35</v>
      </c>
      <c r="D3193" s="31" t="s">
        <v>36</v>
      </c>
      <c r="E3193" s="32"/>
      <c r="F3193" s="33"/>
      <c r="G3193" s="34">
        <f>$M$9</f>
        <v>0.1</v>
      </c>
      <c r="H3193" s="19">
        <f>H3192*G3193</f>
        <v>55815.5</v>
      </c>
      <c r="I3193" s="47"/>
    </row>
    <row r="3194" spans="3:11" x14ac:dyDescent="0.3">
      <c r="C3194" s="30" t="s">
        <v>37</v>
      </c>
      <c r="D3194" s="31" t="s">
        <v>38</v>
      </c>
      <c r="E3194" s="32"/>
      <c r="F3194" s="32"/>
      <c r="G3194" s="33"/>
      <c r="H3194" s="48">
        <f>SUM(H3192:H3193)</f>
        <v>613970.5</v>
      </c>
      <c r="I3194" s="47"/>
    </row>
    <row r="3195" spans="3:11" x14ac:dyDescent="0.3">
      <c r="C3195" s="50"/>
      <c r="D3195" s="51"/>
      <c r="E3195" s="51"/>
      <c r="F3195" s="51"/>
      <c r="G3195" s="51"/>
      <c r="H3195" s="52"/>
    </row>
    <row r="3196" spans="3:11" x14ac:dyDescent="0.3">
      <c r="C3196" s="40" t="s">
        <v>629</v>
      </c>
      <c r="D3196" s="68" t="s">
        <v>630</v>
      </c>
      <c r="E3196" s="44"/>
      <c r="F3196" s="44"/>
      <c r="G3196" s="44"/>
      <c r="H3196" s="44"/>
      <c r="I3196" s="10">
        <f>ROUNDDOWN(H3211,0)</f>
        <v>462720</v>
      </c>
      <c r="J3196" s="15" t="s">
        <v>595</v>
      </c>
      <c r="K3196" s="39"/>
    </row>
    <row r="3197" spans="3:11" ht="27.6" x14ac:dyDescent="0.3">
      <c r="C3197" s="11" t="s">
        <v>9</v>
      </c>
      <c r="D3197" s="11" t="s">
        <v>10</v>
      </c>
      <c r="E3197" s="11" t="s">
        <v>11</v>
      </c>
      <c r="F3197" s="11" t="s">
        <v>12</v>
      </c>
      <c r="G3197" s="11" t="s">
        <v>13</v>
      </c>
      <c r="H3197" s="11" t="s">
        <v>14</v>
      </c>
    </row>
    <row r="3198" spans="3:11" x14ac:dyDescent="0.25">
      <c r="C3198" s="12" t="s">
        <v>15</v>
      </c>
      <c r="D3198" s="13" t="s">
        <v>16</v>
      </c>
      <c r="E3198" s="14"/>
      <c r="F3198" s="14"/>
      <c r="G3198" s="14"/>
      <c r="H3198" s="14"/>
    </row>
    <row r="3199" spans="3:11" x14ac:dyDescent="0.3">
      <c r="C3199" s="16">
        <v>1</v>
      </c>
      <c r="D3199" s="13" t="s">
        <v>18</v>
      </c>
      <c r="E3199" s="17" t="s">
        <v>19</v>
      </c>
      <c r="F3199" s="18">
        <v>0.11899999999999999</v>
      </c>
      <c r="G3199" s="19">
        <f>VLOOKUP(D3199,upahbahan,3,FALSE)</f>
        <v>100000</v>
      </c>
      <c r="H3199" s="19">
        <f t="shared" ref="H3199:H3202" si="333">F3199*G3199</f>
        <v>11900</v>
      </c>
    </row>
    <row r="3200" spans="3:11" x14ac:dyDescent="0.3">
      <c r="C3200" s="16">
        <v>2</v>
      </c>
      <c r="D3200" s="13" t="s">
        <v>214</v>
      </c>
      <c r="E3200" s="17" t="s">
        <v>19</v>
      </c>
      <c r="F3200" s="18">
        <v>0.19900000000000001</v>
      </c>
      <c r="G3200" s="19">
        <f>VLOOKUP(D3200,upahbahan,3,FALSE)</f>
        <v>145000</v>
      </c>
      <c r="H3200" s="19">
        <f t="shared" si="333"/>
        <v>28855</v>
      </c>
    </row>
    <row r="3201" spans="3:11" x14ac:dyDescent="0.3">
      <c r="C3201" s="16">
        <v>3</v>
      </c>
      <c r="D3201" s="13" t="s">
        <v>22</v>
      </c>
      <c r="E3201" s="17" t="s">
        <v>19</v>
      </c>
      <c r="F3201" s="18">
        <v>0.02</v>
      </c>
      <c r="G3201" s="19">
        <f>VLOOKUP(D3201,upahbahan,3,FALSE)</f>
        <v>175000</v>
      </c>
      <c r="H3201" s="19">
        <f t="shared" si="333"/>
        <v>3500</v>
      </c>
    </row>
    <row r="3202" spans="3:11" x14ac:dyDescent="0.3">
      <c r="C3202" s="16">
        <v>4</v>
      </c>
      <c r="D3202" s="13" t="s">
        <v>23</v>
      </c>
      <c r="E3202" s="17" t="s">
        <v>19</v>
      </c>
      <c r="F3202" s="18">
        <v>7.0000000000000001E-3</v>
      </c>
      <c r="G3202" s="19">
        <f>VLOOKUP(D3202,upahbahan,3,FALSE)</f>
        <v>200000</v>
      </c>
      <c r="H3202" s="19">
        <f t="shared" si="333"/>
        <v>1400</v>
      </c>
    </row>
    <row r="3203" spans="3:11" x14ac:dyDescent="0.3">
      <c r="C3203" s="21" t="s">
        <v>24</v>
      </c>
      <c r="D3203" s="22"/>
      <c r="E3203" s="22"/>
      <c r="F3203" s="54"/>
      <c r="G3203" s="24"/>
      <c r="H3203" s="19">
        <f>SUM(H3199:H3202)</f>
        <v>45655</v>
      </c>
      <c r="I3203" s="25"/>
    </row>
    <row r="3204" spans="3:11" x14ac:dyDescent="0.25">
      <c r="C3204" s="12" t="s">
        <v>25</v>
      </c>
      <c r="D3204" s="13" t="s">
        <v>26</v>
      </c>
      <c r="E3204" s="14"/>
      <c r="F3204" s="55"/>
      <c r="G3204" s="14"/>
      <c r="H3204" s="14"/>
    </row>
    <row r="3205" spans="3:11" x14ac:dyDescent="0.3">
      <c r="C3205" s="63" t="s">
        <v>202</v>
      </c>
      <c r="D3205" s="26" t="s">
        <v>631</v>
      </c>
      <c r="E3205" s="27" t="s">
        <v>617</v>
      </c>
      <c r="F3205" s="59">
        <v>1.25</v>
      </c>
      <c r="G3205" s="19">
        <f>VLOOKUP(D3205,upahbahan,3,FALSE)</f>
        <v>300000</v>
      </c>
      <c r="H3205" s="19">
        <f t="shared" ref="H3205" si="334">F3205*G3205</f>
        <v>375000</v>
      </c>
    </row>
    <row r="3206" spans="3:11" x14ac:dyDescent="0.3">
      <c r="C3206" s="21" t="s">
        <v>29</v>
      </c>
      <c r="D3206" s="22"/>
      <c r="E3206" s="22"/>
      <c r="F3206" s="22"/>
      <c r="G3206" s="28"/>
      <c r="H3206" s="19">
        <f>SUM(H3205:H3205)</f>
        <v>375000</v>
      </c>
    </row>
    <row r="3207" spans="3:11" x14ac:dyDescent="0.25">
      <c r="C3207" s="12" t="s">
        <v>30</v>
      </c>
      <c r="D3207" s="13" t="s">
        <v>31</v>
      </c>
      <c r="E3207" s="14"/>
      <c r="F3207" s="14"/>
      <c r="G3207" s="14"/>
      <c r="H3207" s="14"/>
    </row>
    <row r="3208" spans="3:11" x14ac:dyDescent="0.3">
      <c r="C3208" s="21" t="s">
        <v>32</v>
      </c>
      <c r="D3208" s="22"/>
      <c r="E3208" s="22"/>
      <c r="F3208" s="22"/>
      <c r="G3208" s="28"/>
      <c r="H3208" s="29">
        <v>0</v>
      </c>
    </row>
    <row r="3209" spans="3:11" x14ac:dyDescent="0.3">
      <c r="C3209" s="30" t="s">
        <v>33</v>
      </c>
      <c r="D3209" s="31" t="s">
        <v>34</v>
      </c>
      <c r="E3209" s="32"/>
      <c r="F3209" s="32"/>
      <c r="G3209" s="33"/>
      <c r="H3209" s="46">
        <f>H3208+H3206+H3203</f>
        <v>420655</v>
      </c>
      <c r="I3209" s="47"/>
    </row>
    <row r="3210" spans="3:11" x14ac:dyDescent="0.3">
      <c r="C3210" s="30" t="s">
        <v>35</v>
      </c>
      <c r="D3210" s="31" t="s">
        <v>36</v>
      </c>
      <c r="E3210" s="32"/>
      <c r="F3210" s="33"/>
      <c r="G3210" s="34">
        <f>$M$9</f>
        <v>0.1</v>
      </c>
      <c r="H3210" s="19">
        <f>H3209*G3210</f>
        <v>42065.5</v>
      </c>
      <c r="I3210" s="47"/>
    </row>
    <row r="3211" spans="3:11" x14ac:dyDescent="0.3">
      <c r="C3211" s="30" t="s">
        <v>37</v>
      </c>
      <c r="D3211" s="31" t="s">
        <v>38</v>
      </c>
      <c r="E3211" s="32"/>
      <c r="F3211" s="32"/>
      <c r="G3211" s="33"/>
      <c r="H3211" s="48">
        <f>SUM(H3209:H3210)</f>
        <v>462720.5</v>
      </c>
      <c r="I3211" s="47"/>
    </row>
    <row r="3212" spans="3:11" x14ac:dyDescent="0.3">
      <c r="C3212" s="50"/>
      <c r="D3212" s="51"/>
      <c r="E3212" s="51"/>
      <c r="F3212" s="51"/>
      <c r="G3212" s="51"/>
      <c r="H3212" s="52"/>
    </row>
    <row r="3213" spans="3:11" x14ac:dyDescent="0.3">
      <c r="C3213" s="40" t="s">
        <v>632</v>
      </c>
      <c r="D3213" s="68" t="s">
        <v>633</v>
      </c>
      <c r="E3213" s="44"/>
      <c r="F3213" s="44"/>
      <c r="G3213" s="44"/>
      <c r="H3213" s="44"/>
      <c r="I3213" s="10">
        <f>ROUNDDOWN(H3228,0)</f>
        <v>490220</v>
      </c>
      <c r="J3213" s="15" t="s">
        <v>595</v>
      </c>
      <c r="K3213" s="39"/>
    </row>
    <row r="3214" spans="3:11" ht="27.6" x14ac:dyDescent="0.3">
      <c r="C3214" s="11" t="s">
        <v>9</v>
      </c>
      <c r="D3214" s="11" t="s">
        <v>10</v>
      </c>
      <c r="E3214" s="11" t="s">
        <v>11</v>
      </c>
      <c r="F3214" s="11" t="s">
        <v>12</v>
      </c>
      <c r="G3214" s="11" t="s">
        <v>13</v>
      </c>
      <c r="H3214" s="11" t="s">
        <v>14</v>
      </c>
    </row>
    <row r="3215" spans="3:11" x14ac:dyDescent="0.25">
      <c r="C3215" s="12" t="s">
        <v>15</v>
      </c>
      <c r="D3215" s="13" t="s">
        <v>16</v>
      </c>
      <c r="E3215" s="14"/>
      <c r="F3215" s="14"/>
      <c r="G3215" s="14"/>
      <c r="H3215" s="14"/>
    </row>
    <row r="3216" spans="3:11" x14ac:dyDescent="0.3">
      <c r="C3216" s="16">
        <v>1</v>
      </c>
      <c r="D3216" s="13" t="s">
        <v>18</v>
      </c>
      <c r="E3216" s="17" t="s">
        <v>19</v>
      </c>
      <c r="F3216" s="18">
        <v>0.11899999999999999</v>
      </c>
      <c r="G3216" s="19">
        <f>VLOOKUP(D3216,upahbahan,3,FALSE)</f>
        <v>100000</v>
      </c>
      <c r="H3216" s="19">
        <f t="shared" ref="H3216:H3219" si="335">F3216*G3216</f>
        <v>11900</v>
      </c>
    </row>
    <row r="3217" spans="3:11" x14ac:dyDescent="0.3">
      <c r="C3217" s="16">
        <v>2</v>
      </c>
      <c r="D3217" s="13" t="s">
        <v>214</v>
      </c>
      <c r="E3217" s="17" t="s">
        <v>19</v>
      </c>
      <c r="F3217" s="18">
        <v>0.19900000000000001</v>
      </c>
      <c r="G3217" s="19">
        <f>VLOOKUP(D3217,upahbahan,3,FALSE)</f>
        <v>145000</v>
      </c>
      <c r="H3217" s="19">
        <f t="shared" si="335"/>
        <v>28855</v>
      </c>
    </row>
    <row r="3218" spans="3:11" x14ac:dyDescent="0.3">
      <c r="C3218" s="16">
        <v>3</v>
      </c>
      <c r="D3218" s="13" t="s">
        <v>22</v>
      </c>
      <c r="E3218" s="17" t="s">
        <v>19</v>
      </c>
      <c r="F3218" s="18">
        <v>0.02</v>
      </c>
      <c r="G3218" s="19">
        <f>VLOOKUP(D3218,upahbahan,3,FALSE)</f>
        <v>175000</v>
      </c>
      <c r="H3218" s="19">
        <f t="shared" si="335"/>
        <v>3500</v>
      </c>
    </row>
    <row r="3219" spans="3:11" x14ac:dyDescent="0.3">
      <c r="C3219" s="16">
        <v>4</v>
      </c>
      <c r="D3219" s="13" t="s">
        <v>23</v>
      </c>
      <c r="E3219" s="17" t="s">
        <v>19</v>
      </c>
      <c r="F3219" s="18">
        <v>7.0000000000000001E-3</v>
      </c>
      <c r="G3219" s="19">
        <f>VLOOKUP(D3219,upahbahan,3,FALSE)</f>
        <v>200000</v>
      </c>
      <c r="H3219" s="19">
        <f t="shared" si="335"/>
        <v>1400</v>
      </c>
    </row>
    <row r="3220" spans="3:11" x14ac:dyDescent="0.3">
      <c r="C3220" s="21" t="s">
        <v>24</v>
      </c>
      <c r="D3220" s="22"/>
      <c r="E3220" s="22"/>
      <c r="F3220" s="54"/>
      <c r="G3220" s="24"/>
      <c r="H3220" s="19">
        <f>SUM(H3216:H3219)</f>
        <v>45655</v>
      </c>
      <c r="I3220" s="25"/>
    </row>
    <row r="3221" spans="3:11" x14ac:dyDescent="0.25">
      <c r="C3221" s="12" t="s">
        <v>25</v>
      </c>
      <c r="D3221" s="13" t="s">
        <v>26</v>
      </c>
      <c r="E3221" s="14"/>
      <c r="F3221" s="55"/>
      <c r="G3221" s="14"/>
      <c r="H3221" s="14"/>
    </row>
    <row r="3222" spans="3:11" x14ac:dyDescent="0.3">
      <c r="C3222" s="63" t="s">
        <v>202</v>
      </c>
      <c r="D3222" s="26" t="s">
        <v>634</v>
      </c>
      <c r="E3222" s="27" t="s">
        <v>617</v>
      </c>
      <c r="F3222" s="59">
        <v>1.25</v>
      </c>
      <c r="G3222" s="19">
        <f>VLOOKUP(D3222,upahbahan,3,FALSE)</f>
        <v>320000</v>
      </c>
      <c r="H3222" s="19">
        <f t="shared" ref="H3222" si="336">F3222*G3222</f>
        <v>400000</v>
      </c>
    </row>
    <row r="3223" spans="3:11" x14ac:dyDescent="0.3">
      <c r="C3223" s="21" t="s">
        <v>29</v>
      </c>
      <c r="D3223" s="22"/>
      <c r="E3223" s="22"/>
      <c r="F3223" s="22"/>
      <c r="G3223" s="28"/>
      <c r="H3223" s="19">
        <f>SUM(H3222:H3222)</f>
        <v>400000</v>
      </c>
    </row>
    <row r="3224" spans="3:11" x14ac:dyDescent="0.25">
      <c r="C3224" s="12" t="s">
        <v>30</v>
      </c>
      <c r="D3224" s="13" t="s">
        <v>31</v>
      </c>
      <c r="E3224" s="14"/>
      <c r="F3224" s="14"/>
      <c r="G3224" s="14"/>
      <c r="H3224" s="14"/>
    </row>
    <row r="3225" spans="3:11" x14ac:dyDescent="0.3">
      <c r="C3225" s="21" t="s">
        <v>32</v>
      </c>
      <c r="D3225" s="22"/>
      <c r="E3225" s="22"/>
      <c r="F3225" s="22"/>
      <c r="G3225" s="28"/>
      <c r="H3225" s="29">
        <v>0</v>
      </c>
    </row>
    <row r="3226" spans="3:11" x14ac:dyDescent="0.3">
      <c r="C3226" s="30" t="s">
        <v>33</v>
      </c>
      <c r="D3226" s="31" t="s">
        <v>34</v>
      </c>
      <c r="E3226" s="32"/>
      <c r="F3226" s="32"/>
      <c r="G3226" s="33"/>
      <c r="H3226" s="46">
        <f>H3225+H3223+H3220</f>
        <v>445655</v>
      </c>
      <c r="I3226" s="47"/>
    </row>
    <row r="3227" spans="3:11" x14ac:dyDescent="0.3">
      <c r="C3227" s="30" t="s">
        <v>35</v>
      </c>
      <c r="D3227" s="31" t="s">
        <v>36</v>
      </c>
      <c r="E3227" s="32"/>
      <c r="F3227" s="33"/>
      <c r="G3227" s="34">
        <f>$M$9</f>
        <v>0.1</v>
      </c>
      <c r="H3227" s="19">
        <f>H3226*G3227</f>
        <v>44565.5</v>
      </c>
      <c r="I3227" s="47"/>
    </row>
    <row r="3228" spans="3:11" x14ac:dyDescent="0.3">
      <c r="C3228" s="30" t="s">
        <v>37</v>
      </c>
      <c r="D3228" s="31" t="s">
        <v>38</v>
      </c>
      <c r="E3228" s="32"/>
      <c r="F3228" s="32"/>
      <c r="G3228" s="33"/>
      <c r="H3228" s="48">
        <f>SUM(H3226:H3227)</f>
        <v>490220.5</v>
      </c>
      <c r="I3228" s="47"/>
    </row>
    <row r="3229" spans="3:11" x14ac:dyDescent="0.3">
      <c r="C3229" s="50"/>
      <c r="D3229" s="51"/>
      <c r="E3229" s="51"/>
      <c r="F3229" s="51"/>
      <c r="G3229" s="51"/>
      <c r="H3229" s="52"/>
    </row>
    <row r="3230" spans="3:11" x14ac:dyDescent="0.3">
      <c r="C3230" s="40" t="s">
        <v>635</v>
      </c>
      <c r="D3230" s="68" t="s">
        <v>636</v>
      </c>
      <c r="E3230" s="44"/>
      <c r="F3230" s="44"/>
      <c r="G3230" s="44"/>
      <c r="H3230" s="44"/>
      <c r="I3230" s="10">
        <f>ROUNDDOWN(H3245,0)</f>
        <v>517720</v>
      </c>
      <c r="J3230" s="15" t="s">
        <v>595</v>
      </c>
      <c r="K3230" s="39"/>
    </row>
    <row r="3231" spans="3:11" ht="27.6" x14ac:dyDescent="0.3">
      <c r="C3231" s="11" t="s">
        <v>9</v>
      </c>
      <c r="D3231" s="11" t="s">
        <v>10</v>
      </c>
      <c r="E3231" s="11" t="s">
        <v>11</v>
      </c>
      <c r="F3231" s="11" t="s">
        <v>12</v>
      </c>
      <c r="G3231" s="11" t="s">
        <v>13</v>
      </c>
      <c r="H3231" s="11" t="s">
        <v>14</v>
      </c>
    </row>
    <row r="3232" spans="3:11" x14ac:dyDescent="0.25">
      <c r="C3232" s="12" t="s">
        <v>15</v>
      </c>
      <c r="D3232" s="13" t="s">
        <v>16</v>
      </c>
      <c r="E3232" s="14"/>
      <c r="F3232" s="14"/>
      <c r="G3232" s="14"/>
      <c r="H3232" s="14"/>
    </row>
    <row r="3233" spans="3:11" x14ac:dyDescent="0.3">
      <c r="C3233" s="16">
        <v>1</v>
      </c>
      <c r="D3233" s="13" t="s">
        <v>18</v>
      </c>
      <c r="E3233" s="17" t="s">
        <v>19</v>
      </c>
      <c r="F3233" s="18">
        <v>0.11899999999999999</v>
      </c>
      <c r="G3233" s="19">
        <f>VLOOKUP(D3233,upahbahan,3,FALSE)</f>
        <v>100000</v>
      </c>
      <c r="H3233" s="19">
        <f t="shared" ref="H3233:H3236" si="337">F3233*G3233</f>
        <v>11900</v>
      </c>
    </row>
    <row r="3234" spans="3:11" x14ac:dyDescent="0.3">
      <c r="C3234" s="16">
        <v>2</v>
      </c>
      <c r="D3234" s="13" t="s">
        <v>214</v>
      </c>
      <c r="E3234" s="17" t="s">
        <v>19</v>
      </c>
      <c r="F3234" s="18">
        <v>0.19900000000000001</v>
      </c>
      <c r="G3234" s="19">
        <f>VLOOKUP(D3234,upahbahan,3,FALSE)</f>
        <v>145000</v>
      </c>
      <c r="H3234" s="19">
        <f t="shared" si="337"/>
        <v>28855</v>
      </c>
    </row>
    <row r="3235" spans="3:11" x14ac:dyDescent="0.3">
      <c r="C3235" s="16">
        <v>3</v>
      </c>
      <c r="D3235" s="13" t="s">
        <v>22</v>
      </c>
      <c r="E3235" s="17" t="s">
        <v>19</v>
      </c>
      <c r="F3235" s="18">
        <v>0.02</v>
      </c>
      <c r="G3235" s="19">
        <f>VLOOKUP(D3235,upahbahan,3,FALSE)</f>
        <v>175000</v>
      </c>
      <c r="H3235" s="19">
        <f t="shared" si="337"/>
        <v>3500</v>
      </c>
    </row>
    <row r="3236" spans="3:11" x14ac:dyDescent="0.3">
      <c r="C3236" s="16">
        <v>4</v>
      </c>
      <c r="D3236" s="13" t="s">
        <v>23</v>
      </c>
      <c r="E3236" s="17" t="s">
        <v>19</v>
      </c>
      <c r="F3236" s="18">
        <v>7.0000000000000001E-3</v>
      </c>
      <c r="G3236" s="19">
        <f>VLOOKUP(D3236,upahbahan,3,FALSE)</f>
        <v>200000</v>
      </c>
      <c r="H3236" s="19">
        <f t="shared" si="337"/>
        <v>1400</v>
      </c>
    </row>
    <row r="3237" spans="3:11" x14ac:dyDescent="0.3">
      <c r="C3237" s="21" t="s">
        <v>24</v>
      </c>
      <c r="D3237" s="22"/>
      <c r="E3237" s="22"/>
      <c r="F3237" s="54"/>
      <c r="G3237" s="24"/>
      <c r="H3237" s="19">
        <f>SUM(H3233:H3236)</f>
        <v>45655</v>
      </c>
      <c r="I3237" s="25"/>
    </row>
    <row r="3238" spans="3:11" x14ac:dyDescent="0.25">
      <c r="C3238" s="12" t="s">
        <v>25</v>
      </c>
      <c r="D3238" s="13" t="s">
        <v>26</v>
      </c>
      <c r="E3238" s="14"/>
      <c r="F3238" s="55"/>
      <c r="G3238" s="14"/>
      <c r="H3238" s="14"/>
    </row>
    <row r="3239" spans="3:11" x14ac:dyDescent="0.3">
      <c r="C3239" s="63" t="s">
        <v>202</v>
      </c>
      <c r="D3239" s="26" t="s">
        <v>637</v>
      </c>
      <c r="E3239" s="27" t="s">
        <v>617</v>
      </c>
      <c r="F3239" s="59">
        <v>1.25</v>
      </c>
      <c r="G3239" s="19">
        <f>VLOOKUP(D3239,upahbahan,3,FALSE)</f>
        <v>340000</v>
      </c>
      <c r="H3239" s="19">
        <f t="shared" ref="H3239" si="338">F3239*G3239</f>
        <v>425000</v>
      </c>
    </row>
    <row r="3240" spans="3:11" x14ac:dyDescent="0.3">
      <c r="C3240" s="21" t="s">
        <v>29</v>
      </c>
      <c r="D3240" s="22"/>
      <c r="E3240" s="22"/>
      <c r="F3240" s="22"/>
      <c r="G3240" s="28"/>
      <c r="H3240" s="19">
        <f>SUM(H3239:H3239)</f>
        <v>425000</v>
      </c>
    </row>
    <row r="3241" spans="3:11" x14ac:dyDescent="0.25">
      <c r="C3241" s="12" t="s">
        <v>30</v>
      </c>
      <c r="D3241" s="13" t="s">
        <v>31</v>
      </c>
      <c r="E3241" s="14"/>
      <c r="F3241" s="14"/>
      <c r="G3241" s="14"/>
      <c r="H3241" s="14"/>
    </row>
    <row r="3242" spans="3:11" x14ac:dyDescent="0.3">
      <c r="C3242" s="21" t="s">
        <v>32</v>
      </c>
      <c r="D3242" s="22"/>
      <c r="E3242" s="22"/>
      <c r="F3242" s="22"/>
      <c r="G3242" s="28"/>
      <c r="H3242" s="29">
        <v>0</v>
      </c>
    </row>
    <row r="3243" spans="3:11" x14ac:dyDescent="0.3">
      <c r="C3243" s="30" t="s">
        <v>33</v>
      </c>
      <c r="D3243" s="31" t="s">
        <v>34</v>
      </c>
      <c r="E3243" s="32"/>
      <c r="F3243" s="32"/>
      <c r="G3243" s="33"/>
      <c r="H3243" s="46">
        <f>H3242+H3240+H3237</f>
        <v>470655</v>
      </c>
      <c r="I3243" s="47"/>
    </row>
    <row r="3244" spans="3:11" x14ac:dyDescent="0.3">
      <c r="C3244" s="30" t="s">
        <v>35</v>
      </c>
      <c r="D3244" s="31" t="s">
        <v>36</v>
      </c>
      <c r="E3244" s="32"/>
      <c r="F3244" s="33"/>
      <c r="G3244" s="34">
        <f>$M$9</f>
        <v>0.1</v>
      </c>
      <c r="H3244" s="19">
        <f>H3243*G3244</f>
        <v>47065.5</v>
      </c>
      <c r="I3244" s="47"/>
    </row>
    <row r="3245" spans="3:11" x14ac:dyDescent="0.3">
      <c r="C3245" s="30" t="s">
        <v>37</v>
      </c>
      <c r="D3245" s="31" t="s">
        <v>38</v>
      </c>
      <c r="E3245" s="32"/>
      <c r="F3245" s="32"/>
      <c r="G3245" s="33"/>
      <c r="H3245" s="48">
        <f>SUM(H3243:H3244)</f>
        <v>517720.5</v>
      </c>
      <c r="I3245" s="47"/>
    </row>
    <row r="3246" spans="3:11" x14ac:dyDescent="0.3">
      <c r="C3246" s="50"/>
      <c r="D3246" s="51"/>
      <c r="E3246" s="51"/>
      <c r="F3246" s="51"/>
      <c r="G3246" s="51"/>
      <c r="H3246" s="52"/>
    </row>
    <row r="3247" spans="3:11" x14ac:dyDescent="0.3">
      <c r="C3247" s="40" t="s">
        <v>638</v>
      </c>
      <c r="D3247" s="68" t="s">
        <v>639</v>
      </c>
      <c r="E3247" s="44"/>
      <c r="F3247" s="44"/>
      <c r="G3247" s="44"/>
      <c r="H3247" s="44"/>
      <c r="I3247" s="10">
        <f>ROUNDDOWN(H3262,0)</f>
        <v>545220</v>
      </c>
      <c r="J3247" s="15" t="s">
        <v>595</v>
      </c>
      <c r="K3247" s="39"/>
    </row>
    <row r="3248" spans="3:11" ht="27.6" x14ac:dyDescent="0.3">
      <c r="C3248" s="11" t="s">
        <v>9</v>
      </c>
      <c r="D3248" s="11" t="s">
        <v>10</v>
      </c>
      <c r="E3248" s="11" t="s">
        <v>11</v>
      </c>
      <c r="F3248" s="11" t="s">
        <v>12</v>
      </c>
      <c r="G3248" s="11" t="s">
        <v>13</v>
      </c>
      <c r="H3248" s="11" t="s">
        <v>14</v>
      </c>
    </row>
    <row r="3249" spans="3:11" x14ac:dyDescent="0.25">
      <c r="C3249" s="12" t="s">
        <v>15</v>
      </c>
      <c r="D3249" s="13" t="s">
        <v>16</v>
      </c>
      <c r="E3249" s="14"/>
      <c r="F3249" s="14"/>
      <c r="G3249" s="14"/>
      <c r="H3249" s="14"/>
    </row>
    <row r="3250" spans="3:11" x14ac:dyDescent="0.3">
      <c r="C3250" s="16">
        <v>1</v>
      </c>
      <c r="D3250" s="13" t="s">
        <v>18</v>
      </c>
      <c r="E3250" s="17" t="s">
        <v>19</v>
      </c>
      <c r="F3250" s="18">
        <v>0.11899999999999999</v>
      </c>
      <c r="G3250" s="19">
        <f>VLOOKUP(D3250,upahbahan,3,FALSE)</f>
        <v>100000</v>
      </c>
      <c r="H3250" s="19">
        <f t="shared" ref="H3250:H3253" si="339">F3250*G3250</f>
        <v>11900</v>
      </c>
    </row>
    <row r="3251" spans="3:11" x14ac:dyDescent="0.3">
      <c r="C3251" s="16">
        <v>2</v>
      </c>
      <c r="D3251" s="13" t="s">
        <v>214</v>
      </c>
      <c r="E3251" s="17" t="s">
        <v>19</v>
      </c>
      <c r="F3251" s="18">
        <v>0.19900000000000001</v>
      </c>
      <c r="G3251" s="19">
        <f>VLOOKUP(D3251,upahbahan,3,FALSE)</f>
        <v>145000</v>
      </c>
      <c r="H3251" s="19">
        <f t="shared" si="339"/>
        <v>28855</v>
      </c>
    </row>
    <row r="3252" spans="3:11" x14ac:dyDescent="0.3">
      <c r="C3252" s="16">
        <v>3</v>
      </c>
      <c r="D3252" s="13" t="s">
        <v>22</v>
      </c>
      <c r="E3252" s="17" t="s">
        <v>19</v>
      </c>
      <c r="F3252" s="18">
        <v>0.02</v>
      </c>
      <c r="G3252" s="19">
        <f>VLOOKUP(D3252,upahbahan,3,FALSE)</f>
        <v>175000</v>
      </c>
      <c r="H3252" s="19">
        <f t="shared" si="339"/>
        <v>3500</v>
      </c>
    </row>
    <row r="3253" spans="3:11" x14ac:dyDescent="0.3">
      <c r="C3253" s="16">
        <v>4</v>
      </c>
      <c r="D3253" s="13" t="s">
        <v>23</v>
      </c>
      <c r="E3253" s="17" t="s">
        <v>19</v>
      </c>
      <c r="F3253" s="18">
        <v>7.0000000000000001E-3</v>
      </c>
      <c r="G3253" s="19">
        <f>VLOOKUP(D3253,upahbahan,3,FALSE)</f>
        <v>200000</v>
      </c>
      <c r="H3253" s="19">
        <f t="shared" si="339"/>
        <v>1400</v>
      </c>
    </row>
    <row r="3254" spans="3:11" x14ac:dyDescent="0.3">
      <c r="C3254" s="21" t="s">
        <v>24</v>
      </c>
      <c r="D3254" s="22"/>
      <c r="E3254" s="22"/>
      <c r="F3254" s="54"/>
      <c r="G3254" s="24"/>
      <c r="H3254" s="19">
        <f>SUM(H3250:H3253)</f>
        <v>45655</v>
      </c>
      <c r="I3254" s="25"/>
    </row>
    <row r="3255" spans="3:11" x14ac:dyDescent="0.25">
      <c r="C3255" s="12" t="s">
        <v>25</v>
      </c>
      <c r="D3255" s="13" t="s">
        <v>26</v>
      </c>
      <c r="E3255" s="14"/>
      <c r="F3255" s="55"/>
      <c r="G3255" s="14"/>
      <c r="H3255" s="14"/>
    </row>
    <row r="3256" spans="3:11" x14ac:dyDescent="0.3">
      <c r="C3256" s="63" t="s">
        <v>202</v>
      </c>
      <c r="D3256" s="26" t="s">
        <v>640</v>
      </c>
      <c r="E3256" s="27" t="s">
        <v>617</v>
      </c>
      <c r="F3256" s="59">
        <v>1.25</v>
      </c>
      <c r="G3256" s="19">
        <f>VLOOKUP(D3256,upahbahan,3,FALSE)</f>
        <v>360000</v>
      </c>
      <c r="H3256" s="19">
        <f t="shared" ref="H3256" si="340">F3256*G3256</f>
        <v>450000</v>
      </c>
    </row>
    <row r="3257" spans="3:11" x14ac:dyDescent="0.3">
      <c r="C3257" s="21" t="s">
        <v>29</v>
      </c>
      <c r="D3257" s="22"/>
      <c r="E3257" s="22"/>
      <c r="F3257" s="22"/>
      <c r="G3257" s="28"/>
      <c r="H3257" s="19">
        <f>SUM(H3256:H3256)</f>
        <v>450000</v>
      </c>
    </row>
    <row r="3258" spans="3:11" x14ac:dyDescent="0.25">
      <c r="C3258" s="12" t="s">
        <v>30</v>
      </c>
      <c r="D3258" s="13" t="s">
        <v>31</v>
      </c>
      <c r="E3258" s="14"/>
      <c r="F3258" s="14"/>
      <c r="G3258" s="14"/>
      <c r="H3258" s="14"/>
    </row>
    <row r="3259" spans="3:11" x14ac:dyDescent="0.3">
      <c r="C3259" s="21" t="s">
        <v>32</v>
      </c>
      <c r="D3259" s="22"/>
      <c r="E3259" s="22"/>
      <c r="F3259" s="22"/>
      <c r="G3259" s="28"/>
      <c r="H3259" s="29">
        <v>0</v>
      </c>
    </row>
    <row r="3260" spans="3:11" x14ac:dyDescent="0.3">
      <c r="C3260" s="30" t="s">
        <v>33</v>
      </c>
      <c r="D3260" s="31" t="s">
        <v>34</v>
      </c>
      <c r="E3260" s="32"/>
      <c r="F3260" s="32"/>
      <c r="G3260" s="33"/>
      <c r="H3260" s="46">
        <f>H3259+H3257+H3254</f>
        <v>495655</v>
      </c>
      <c r="I3260" s="47"/>
    </row>
    <row r="3261" spans="3:11" x14ac:dyDescent="0.3">
      <c r="C3261" s="30" t="s">
        <v>35</v>
      </c>
      <c r="D3261" s="31" t="s">
        <v>36</v>
      </c>
      <c r="E3261" s="32"/>
      <c r="F3261" s="33"/>
      <c r="G3261" s="34">
        <f>$M$9</f>
        <v>0.1</v>
      </c>
      <c r="H3261" s="19">
        <f>H3260*G3261</f>
        <v>49565.5</v>
      </c>
      <c r="I3261" s="47"/>
    </row>
    <row r="3262" spans="3:11" x14ac:dyDescent="0.3">
      <c r="C3262" s="30" t="s">
        <v>37</v>
      </c>
      <c r="D3262" s="31" t="s">
        <v>38</v>
      </c>
      <c r="E3262" s="32"/>
      <c r="F3262" s="32"/>
      <c r="G3262" s="33"/>
      <c r="H3262" s="48">
        <f>SUM(H3260:H3261)</f>
        <v>545220.5</v>
      </c>
      <c r="I3262" s="47"/>
    </row>
    <row r="3263" spans="3:11" x14ac:dyDescent="0.3">
      <c r="C3263" s="50"/>
      <c r="D3263" s="51"/>
      <c r="E3263" s="51"/>
      <c r="F3263" s="51"/>
      <c r="G3263" s="51"/>
      <c r="H3263" s="52"/>
    </row>
    <row r="3264" spans="3:11" x14ac:dyDescent="0.3">
      <c r="C3264" s="40" t="s">
        <v>641</v>
      </c>
      <c r="D3264" s="68" t="s">
        <v>642</v>
      </c>
      <c r="E3264" s="44"/>
      <c r="F3264" s="44"/>
      <c r="G3264" s="44"/>
      <c r="H3264" s="44"/>
      <c r="I3264" s="10">
        <f>ROUNDDOWN(H3279,0)</f>
        <v>572720</v>
      </c>
      <c r="J3264" s="15" t="s">
        <v>595</v>
      </c>
      <c r="K3264" s="39"/>
    </row>
    <row r="3265" spans="3:9" ht="27.6" x14ac:dyDescent="0.3">
      <c r="C3265" s="11" t="s">
        <v>9</v>
      </c>
      <c r="D3265" s="11" t="s">
        <v>10</v>
      </c>
      <c r="E3265" s="11" t="s">
        <v>11</v>
      </c>
      <c r="F3265" s="11" t="s">
        <v>12</v>
      </c>
      <c r="G3265" s="11" t="s">
        <v>13</v>
      </c>
      <c r="H3265" s="11" t="s">
        <v>14</v>
      </c>
    </row>
    <row r="3266" spans="3:9" x14ac:dyDescent="0.25">
      <c r="C3266" s="12" t="s">
        <v>15</v>
      </c>
      <c r="D3266" s="13" t="s">
        <v>16</v>
      </c>
      <c r="E3266" s="14"/>
      <c r="F3266" s="14"/>
      <c r="G3266" s="14"/>
      <c r="H3266" s="14"/>
    </row>
    <row r="3267" spans="3:9" x14ac:dyDescent="0.3">
      <c r="C3267" s="16">
        <v>1</v>
      </c>
      <c r="D3267" s="13" t="s">
        <v>18</v>
      </c>
      <c r="E3267" s="17" t="s">
        <v>19</v>
      </c>
      <c r="F3267" s="18">
        <v>0.11899999999999999</v>
      </c>
      <c r="G3267" s="19">
        <f>VLOOKUP(D3267,upahbahan,3,FALSE)</f>
        <v>100000</v>
      </c>
      <c r="H3267" s="19">
        <f t="shared" ref="H3267:H3270" si="341">F3267*G3267</f>
        <v>11900</v>
      </c>
    </row>
    <row r="3268" spans="3:9" x14ac:dyDescent="0.3">
      <c r="C3268" s="16">
        <v>2</v>
      </c>
      <c r="D3268" s="13" t="s">
        <v>214</v>
      </c>
      <c r="E3268" s="17" t="s">
        <v>19</v>
      </c>
      <c r="F3268" s="18">
        <v>0.19900000000000001</v>
      </c>
      <c r="G3268" s="19">
        <f>VLOOKUP(D3268,upahbahan,3,FALSE)</f>
        <v>145000</v>
      </c>
      <c r="H3268" s="19">
        <f t="shared" si="341"/>
        <v>28855</v>
      </c>
    </row>
    <row r="3269" spans="3:9" x14ac:dyDescent="0.3">
      <c r="C3269" s="16">
        <v>3</v>
      </c>
      <c r="D3269" s="13" t="s">
        <v>22</v>
      </c>
      <c r="E3269" s="17" t="s">
        <v>19</v>
      </c>
      <c r="F3269" s="18">
        <v>0.02</v>
      </c>
      <c r="G3269" s="19">
        <f>VLOOKUP(D3269,upahbahan,3,FALSE)</f>
        <v>175000</v>
      </c>
      <c r="H3269" s="19">
        <f t="shared" si="341"/>
        <v>3500</v>
      </c>
    </row>
    <row r="3270" spans="3:9" x14ac:dyDescent="0.3">
      <c r="C3270" s="16">
        <v>4</v>
      </c>
      <c r="D3270" s="13" t="s">
        <v>23</v>
      </c>
      <c r="E3270" s="17" t="s">
        <v>19</v>
      </c>
      <c r="F3270" s="18">
        <v>7.0000000000000001E-3</v>
      </c>
      <c r="G3270" s="19">
        <f>VLOOKUP(D3270,upahbahan,3,FALSE)</f>
        <v>200000</v>
      </c>
      <c r="H3270" s="19">
        <f t="shared" si="341"/>
        <v>1400</v>
      </c>
    </row>
    <row r="3271" spans="3:9" x14ac:dyDescent="0.3">
      <c r="C3271" s="21" t="s">
        <v>24</v>
      </c>
      <c r="D3271" s="22"/>
      <c r="E3271" s="22"/>
      <c r="F3271" s="54"/>
      <c r="G3271" s="24"/>
      <c r="H3271" s="19">
        <f>SUM(H3267:H3270)</f>
        <v>45655</v>
      </c>
      <c r="I3271" s="25"/>
    </row>
    <row r="3272" spans="3:9" x14ac:dyDescent="0.25">
      <c r="C3272" s="12" t="s">
        <v>25</v>
      </c>
      <c r="D3272" s="13" t="s">
        <v>26</v>
      </c>
      <c r="E3272" s="14"/>
      <c r="F3272" s="55"/>
      <c r="G3272" s="14"/>
      <c r="H3272" s="14"/>
    </row>
    <row r="3273" spans="3:9" x14ac:dyDescent="0.3">
      <c r="C3273" s="63" t="s">
        <v>202</v>
      </c>
      <c r="D3273" s="26" t="s">
        <v>643</v>
      </c>
      <c r="E3273" s="27" t="s">
        <v>617</v>
      </c>
      <c r="F3273" s="59">
        <v>1.25</v>
      </c>
      <c r="G3273" s="19">
        <f>VLOOKUP(D3273,upahbahan,3,FALSE)</f>
        <v>380000</v>
      </c>
      <c r="H3273" s="19">
        <f t="shared" ref="H3273" si="342">F3273*G3273</f>
        <v>475000</v>
      </c>
    </row>
    <row r="3274" spans="3:9" x14ac:dyDescent="0.3">
      <c r="C3274" s="21" t="s">
        <v>29</v>
      </c>
      <c r="D3274" s="22"/>
      <c r="E3274" s="22"/>
      <c r="F3274" s="22"/>
      <c r="G3274" s="28"/>
      <c r="H3274" s="19">
        <f>SUM(H3273:H3273)</f>
        <v>475000</v>
      </c>
    </row>
    <row r="3275" spans="3:9" x14ac:dyDescent="0.25">
      <c r="C3275" s="12" t="s">
        <v>30</v>
      </c>
      <c r="D3275" s="13" t="s">
        <v>31</v>
      </c>
      <c r="E3275" s="14"/>
      <c r="F3275" s="14"/>
      <c r="G3275" s="14"/>
      <c r="H3275" s="14"/>
    </row>
    <row r="3276" spans="3:9" x14ac:dyDescent="0.3">
      <c r="C3276" s="21" t="s">
        <v>32</v>
      </c>
      <c r="D3276" s="22"/>
      <c r="E3276" s="22"/>
      <c r="F3276" s="22"/>
      <c r="G3276" s="28"/>
      <c r="H3276" s="29">
        <v>0</v>
      </c>
    </row>
    <row r="3277" spans="3:9" x14ac:dyDescent="0.3">
      <c r="C3277" s="30" t="s">
        <v>33</v>
      </c>
      <c r="D3277" s="31" t="s">
        <v>34</v>
      </c>
      <c r="E3277" s="32"/>
      <c r="F3277" s="32"/>
      <c r="G3277" s="33"/>
      <c r="H3277" s="46">
        <f>H3276+H3274+H3271</f>
        <v>520655</v>
      </c>
      <c r="I3277" s="47"/>
    </row>
    <row r="3278" spans="3:9" x14ac:dyDescent="0.3">
      <c r="C3278" s="30" t="s">
        <v>35</v>
      </c>
      <c r="D3278" s="31" t="s">
        <v>36</v>
      </c>
      <c r="E3278" s="32"/>
      <c r="F3278" s="33"/>
      <c r="G3278" s="34">
        <f>$M$9</f>
        <v>0.1</v>
      </c>
      <c r="H3278" s="19">
        <f>H3277*G3278</f>
        <v>52065.5</v>
      </c>
      <c r="I3278" s="47"/>
    </row>
    <row r="3279" spans="3:9" x14ac:dyDescent="0.3">
      <c r="C3279" s="30" t="s">
        <v>37</v>
      </c>
      <c r="D3279" s="31" t="s">
        <v>38</v>
      </c>
      <c r="E3279" s="32"/>
      <c r="F3279" s="32"/>
      <c r="G3279" s="33"/>
      <c r="H3279" s="48">
        <f>SUM(H3277:H3278)</f>
        <v>572720.5</v>
      </c>
      <c r="I3279" s="47"/>
    </row>
    <row r="3280" spans="3:9" x14ac:dyDescent="0.3">
      <c r="C3280" s="50"/>
      <c r="D3280" s="51"/>
      <c r="E3280" s="51"/>
      <c r="F3280" s="51"/>
      <c r="G3280" s="51"/>
      <c r="H3280" s="52"/>
    </row>
    <row r="3281" spans="3:11" x14ac:dyDescent="0.3">
      <c r="C3281" s="40" t="s">
        <v>644</v>
      </c>
      <c r="D3281" s="68" t="s">
        <v>645</v>
      </c>
      <c r="E3281" s="44"/>
      <c r="F3281" s="44"/>
      <c r="G3281" s="44"/>
      <c r="H3281" s="44"/>
      <c r="I3281" s="10">
        <f>ROUNDDOWN(H3296,0)</f>
        <v>600220</v>
      </c>
      <c r="J3281" s="15" t="s">
        <v>595</v>
      </c>
      <c r="K3281" s="39"/>
    </row>
    <row r="3282" spans="3:11" ht="27.6" x14ac:dyDescent="0.3">
      <c r="C3282" s="11" t="s">
        <v>9</v>
      </c>
      <c r="D3282" s="11" t="s">
        <v>10</v>
      </c>
      <c r="E3282" s="11" t="s">
        <v>11</v>
      </c>
      <c r="F3282" s="11" t="s">
        <v>12</v>
      </c>
      <c r="G3282" s="11" t="s">
        <v>13</v>
      </c>
      <c r="H3282" s="11" t="s">
        <v>14</v>
      </c>
    </row>
    <row r="3283" spans="3:11" x14ac:dyDescent="0.25">
      <c r="C3283" s="12" t="s">
        <v>15</v>
      </c>
      <c r="D3283" s="13" t="s">
        <v>16</v>
      </c>
      <c r="E3283" s="14"/>
      <c r="F3283" s="14"/>
      <c r="G3283" s="14"/>
      <c r="H3283" s="14"/>
    </row>
    <row r="3284" spans="3:11" x14ac:dyDescent="0.3">
      <c r="C3284" s="16">
        <v>1</v>
      </c>
      <c r="D3284" s="13" t="s">
        <v>18</v>
      </c>
      <c r="E3284" s="17" t="s">
        <v>19</v>
      </c>
      <c r="F3284" s="18">
        <v>0.11899999999999999</v>
      </c>
      <c r="G3284" s="19">
        <f>VLOOKUP(D3284,upahbahan,3,FALSE)</f>
        <v>100000</v>
      </c>
      <c r="H3284" s="19">
        <f t="shared" ref="H3284:H3287" si="343">F3284*G3284</f>
        <v>11900</v>
      </c>
    </row>
    <row r="3285" spans="3:11" x14ac:dyDescent="0.3">
      <c r="C3285" s="16">
        <v>2</v>
      </c>
      <c r="D3285" s="13" t="s">
        <v>214</v>
      </c>
      <c r="E3285" s="17" t="s">
        <v>19</v>
      </c>
      <c r="F3285" s="18">
        <v>0.19900000000000001</v>
      </c>
      <c r="G3285" s="19">
        <f>VLOOKUP(D3285,upahbahan,3,FALSE)</f>
        <v>145000</v>
      </c>
      <c r="H3285" s="19">
        <f t="shared" si="343"/>
        <v>28855</v>
      </c>
    </row>
    <row r="3286" spans="3:11" x14ac:dyDescent="0.3">
      <c r="C3286" s="16">
        <v>3</v>
      </c>
      <c r="D3286" s="13" t="s">
        <v>22</v>
      </c>
      <c r="E3286" s="17" t="s">
        <v>19</v>
      </c>
      <c r="F3286" s="18">
        <v>0.02</v>
      </c>
      <c r="G3286" s="19">
        <f>VLOOKUP(D3286,upahbahan,3,FALSE)</f>
        <v>175000</v>
      </c>
      <c r="H3286" s="19">
        <f t="shared" si="343"/>
        <v>3500</v>
      </c>
    </row>
    <row r="3287" spans="3:11" x14ac:dyDescent="0.3">
      <c r="C3287" s="16">
        <v>4</v>
      </c>
      <c r="D3287" s="13" t="s">
        <v>23</v>
      </c>
      <c r="E3287" s="17" t="s">
        <v>19</v>
      </c>
      <c r="F3287" s="18">
        <v>7.0000000000000001E-3</v>
      </c>
      <c r="G3287" s="19">
        <f>VLOOKUP(D3287,upahbahan,3,FALSE)</f>
        <v>200000</v>
      </c>
      <c r="H3287" s="19">
        <f t="shared" si="343"/>
        <v>1400</v>
      </c>
    </row>
    <row r="3288" spans="3:11" x14ac:dyDescent="0.3">
      <c r="C3288" s="21" t="s">
        <v>24</v>
      </c>
      <c r="D3288" s="22"/>
      <c r="E3288" s="22"/>
      <c r="F3288" s="54"/>
      <c r="G3288" s="24"/>
      <c r="H3288" s="19">
        <f>SUM(H3284:H3287)</f>
        <v>45655</v>
      </c>
      <c r="I3288" s="25"/>
    </row>
    <row r="3289" spans="3:11" x14ac:dyDescent="0.25">
      <c r="C3289" s="12" t="s">
        <v>25</v>
      </c>
      <c r="D3289" s="13" t="s">
        <v>26</v>
      </c>
      <c r="E3289" s="14"/>
      <c r="F3289" s="55"/>
      <c r="G3289" s="14"/>
      <c r="H3289" s="14"/>
    </row>
    <row r="3290" spans="3:11" x14ac:dyDescent="0.3">
      <c r="C3290" s="63" t="s">
        <v>202</v>
      </c>
      <c r="D3290" s="26" t="s">
        <v>646</v>
      </c>
      <c r="E3290" s="27" t="s">
        <v>617</v>
      </c>
      <c r="F3290" s="59">
        <v>1.25</v>
      </c>
      <c r="G3290" s="19">
        <f>VLOOKUP(D3290,upahbahan,3,FALSE)</f>
        <v>400000</v>
      </c>
      <c r="H3290" s="19">
        <f t="shared" ref="H3290" si="344">F3290*G3290</f>
        <v>500000</v>
      </c>
    </row>
    <row r="3291" spans="3:11" x14ac:dyDescent="0.3">
      <c r="C3291" s="21" t="s">
        <v>29</v>
      </c>
      <c r="D3291" s="22"/>
      <c r="E3291" s="22"/>
      <c r="F3291" s="22"/>
      <c r="G3291" s="28"/>
      <c r="H3291" s="19">
        <f>SUM(H3290:H3290)</f>
        <v>500000</v>
      </c>
    </row>
    <row r="3292" spans="3:11" x14ac:dyDescent="0.25">
      <c r="C3292" s="12" t="s">
        <v>30</v>
      </c>
      <c r="D3292" s="13" t="s">
        <v>31</v>
      </c>
      <c r="E3292" s="14"/>
      <c r="F3292" s="14"/>
      <c r="G3292" s="14"/>
      <c r="H3292" s="14"/>
    </row>
    <row r="3293" spans="3:11" x14ac:dyDescent="0.3">
      <c r="C3293" s="21" t="s">
        <v>32</v>
      </c>
      <c r="D3293" s="22"/>
      <c r="E3293" s="22"/>
      <c r="F3293" s="22"/>
      <c r="G3293" s="28"/>
      <c r="H3293" s="29">
        <v>0</v>
      </c>
    </row>
    <row r="3294" spans="3:11" x14ac:dyDescent="0.3">
      <c r="C3294" s="30" t="s">
        <v>33</v>
      </c>
      <c r="D3294" s="31" t="s">
        <v>34</v>
      </c>
      <c r="E3294" s="32"/>
      <c r="F3294" s="32"/>
      <c r="G3294" s="33"/>
      <c r="H3294" s="46">
        <f>H3293+H3291+H3288</f>
        <v>545655</v>
      </c>
      <c r="I3294" s="47"/>
    </row>
    <row r="3295" spans="3:11" x14ac:dyDescent="0.3">
      <c r="C3295" s="30" t="s">
        <v>35</v>
      </c>
      <c r="D3295" s="31" t="s">
        <v>36</v>
      </c>
      <c r="E3295" s="32"/>
      <c r="F3295" s="33"/>
      <c r="G3295" s="34">
        <f>$M$9</f>
        <v>0.1</v>
      </c>
      <c r="H3295" s="19">
        <f>H3294*G3295</f>
        <v>54565.5</v>
      </c>
      <c r="I3295" s="47"/>
    </row>
    <row r="3296" spans="3:11" x14ac:dyDescent="0.3">
      <c r="C3296" s="30" t="s">
        <v>37</v>
      </c>
      <c r="D3296" s="31" t="s">
        <v>38</v>
      </c>
      <c r="E3296" s="32"/>
      <c r="F3296" s="32"/>
      <c r="G3296" s="33"/>
      <c r="H3296" s="48">
        <f>SUM(H3294:H3295)</f>
        <v>600220.5</v>
      </c>
      <c r="I3296" s="47"/>
    </row>
    <row r="3297" spans="3:11" x14ac:dyDescent="0.3">
      <c r="C3297" s="50"/>
      <c r="D3297" s="51"/>
      <c r="E3297" s="51"/>
      <c r="F3297" s="51"/>
      <c r="G3297" s="51"/>
      <c r="H3297" s="52"/>
    </row>
    <row r="3298" spans="3:11" x14ac:dyDescent="0.3">
      <c r="C3298" s="40" t="s">
        <v>647</v>
      </c>
      <c r="D3298" s="68" t="s">
        <v>648</v>
      </c>
      <c r="E3298" s="44"/>
      <c r="F3298" s="44"/>
      <c r="G3298" s="44"/>
      <c r="H3298" s="44"/>
      <c r="I3298" s="10">
        <f>ROUNDDOWN(H3313,0)</f>
        <v>393970</v>
      </c>
      <c r="J3298" s="15" t="s">
        <v>595</v>
      </c>
      <c r="K3298" s="39"/>
    </row>
    <row r="3299" spans="3:11" ht="27.6" x14ac:dyDescent="0.3">
      <c r="C3299" s="11" t="s">
        <v>9</v>
      </c>
      <c r="D3299" s="11" t="s">
        <v>10</v>
      </c>
      <c r="E3299" s="11" t="s">
        <v>11</v>
      </c>
      <c r="F3299" s="11" t="s">
        <v>12</v>
      </c>
      <c r="G3299" s="11" t="s">
        <v>13</v>
      </c>
      <c r="H3299" s="11" t="s">
        <v>14</v>
      </c>
    </row>
    <row r="3300" spans="3:11" x14ac:dyDescent="0.25">
      <c r="C3300" s="12" t="s">
        <v>15</v>
      </c>
      <c r="D3300" s="13" t="s">
        <v>16</v>
      </c>
      <c r="E3300" s="14"/>
      <c r="F3300" s="14"/>
      <c r="G3300" s="14"/>
      <c r="H3300" s="14"/>
    </row>
    <row r="3301" spans="3:11" x14ac:dyDescent="0.3">
      <c r="C3301" s="16">
        <v>1</v>
      </c>
      <c r="D3301" s="13" t="s">
        <v>18</v>
      </c>
      <c r="E3301" s="17" t="s">
        <v>19</v>
      </c>
      <c r="F3301" s="18">
        <v>0.11899999999999999</v>
      </c>
      <c r="G3301" s="19">
        <f>VLOOKUP(D3301,upahbahan,3,FALSE)</f>
        <v>100000</v>
      </c>
      <c r="H3301" s="19">
        <f t="shared" ref="H3301:H3304" si="345">F3301*G3301</f>
        <v>11900</v>
      </c>
    </row>
    <row r="3302" spans="3:11" x14ac:dyDescent="0.3">
      <c r="C3302" s="16">
        <v>2</v>
      </c>
      <c r="D3302" s="13" t="s">
        <v>214</v>
      </c>
      <c r="E3302" s="17" t="s">
        <v>19</v>
      </c>
      <c r="F3302" s="18">
        <v>0.19900000000000001</v>
      </c>
      <c r="G3302" s="19">
        <f>VLOOKUP(D3302,upahbahan,3,FALSE)</f>
        <v>145000</v>
      </c>
      <c r="H3302" s="19">
        <f t="shared" si="345"/>
        <v>28855</v>
      </c>
    </row>
    <row r="3303" spans="3:11" x14ac:dyDescent="0.3">
      <c r="C3303" s="16">
        <v>3</v>
      </c>
      <c r="D3303" s="13" t="s">
        <v>22</v>
      </c>
      <c r="E3303" s="17" t="s">
        <v>19</v>
      </c>
      <c r="F3303" s="18">
        <v>0.02</v>
      </c>
      <c r="G3303" s="19">
        <f>VLOOKUP(D3303,upahbahan,3,FALSE)</f>
        <v>175000</v>
      </c>
      <c r="H3303" s="19">
        <f t="shared" si="345"/>
        <v>3500</v>
      </c>
    </row>
    <row r="3304" spans="3:11" x14ac:dyDescent="0.3">
      <c r="C3304" s="16">
        <v>4</v>
      </c>
      <c r="D3304" s="13" t="s">
        <v>23</v>
      </c>
      <c r="E3304" s="17" t="s">
        <v>19</v>
      </c>
      <c r="F3304" s="18">
        <v>7.0000000000000001E-3</v>
      </c>
      <c r="G3304" s="19">
        <f>VLOOKUP(D3304,upahbahan,3,FALSE)</f>
        <v>200000</v>
      </c>
      <c r="H3304" s="19">
        <f t="shared" si="345"/>
        <v>1400</v>
      </c>
    </row>
    <row r="3305" spans="3:11" x14ac:dyDescent="0.3">
      <c r="C3305" s="21" t="s">
        <v>24</v>
      </c>
      <c r="D3305" s="22"/>
      <c r="E3305" s="22"/>
      <c r="F3305" s="54"/>
      <c r="G3305" s="24"/>
      <c r="H3305" s="19">
        <f>SUM(H3301:H3304)</f>
        <v>45655</v>
      </c>
      <c r="I3305" s="25"/>
    </row>
    <row r="3306" spans="3:11" x14ac:dyDescent="0.25">
      <c r="C3306" s="12" t="s">
        <v>25</v>
      </c>
      <c r="D3306" s="13" t="s">
        <v>26</v>
      </c>
      <c r="E3306" s="14"/>
      <c r="F3306" s="55"/>
      <c r="G3306" s="14"/>
      <c r="H3306" s="14"/>
    </row>
    <row r="3307" spans="3:11" x14ac:dyDescent="0.3">
      <c r="C3307" s="63" t="s">
        <v>202</v>
      </c>
      <c r="D3307" s="26" t="s">
        <v>649</v>
      </c>
      <c r="E3307" s="27" t="s">
        <v>617</v>
      </c>
      <c r="F3307" s="59">
        <v>1.25</v>
      </c>
      <c r="G3307" s="19">
        <f>VLOOKUP(D3307,upahbahan,3,FALSE)</f>
        <v>250000</v>
      </c>
      <c r="H3307" s="19">
        <f t="shared" ref="H3307" si="346">F3307*G3307</f>
        <v>312500</v>
      </c>
    </row>
    <row r="3308" spans="3:11" x14ac:dyDescent="0.3">
      <c r="C3308" s="21" t="s">
        <v>29</v>
      </c>
      <c r="D3308" s="22"/>
      <c r="E3308" s="22"/>
      <c r="F3308" s="22"/>
      <c r="G3308" s="28"/>
      <c r="H3308" s="19">
        <f>SUM(H3307:H3307)</f>
        <v>312500</v>
      </c>
    </row>
    <row r="3309" spans="3:11" x14ac:dyDescent="0.25">
      <c r="C3309" s="12" t="s">
        <v>30</v>
      </c>
      <c r="D3309" s="13" t="s">
        <v>31</v>
      </c>
      <c r="E3309" s="14"/>
      <c r="F3309" s="14"/>
      <c r="G3309" s="14"/>
      <c r="H3309" s="14"/>
    </row>
    <row r="3310" spans="3:11" x14ac:dyDescent="0.3">
      <c r="C3310" s="21" t="s">
        <v>32</v>
      </c>
      <c r="D3310" s="22"/>
      <c r="E3310" s="22"/>
      <c r="F3310" s="22"/>
      <c r="G3310" s="28"/>
      <c r="H3310" s="29">
        <v>0</v>
      </c>
    </row>
    <row r="3311" spans="3:11" x14ac:dyDescent="0.3">
      <c r="C3311" s="30" t="s">
        <v>33</v>
      </c>
      <c r="D3311" s="31" t="s">
        <v>34</v>
      </c>
      <c r="E3311" s="32"/>
      <c r="F3311" s="32"/>
      <c r="G3311" s="33"/>
      <c r="H3311" s="46">
        <f>H3310+H3308+H3305</f>
        <v>358155</v>
      </c>
      <c r="I3311" s="47"/>
    </row>
    <row r="3312" spans="3:11" x14ac:dyDescent="0.3">
      <c r="C3312" s="30" t="s">
        <v>35</v>
      </c>
      <c r="D3312" s="31" t="s">
        <v>36</v>
      </c>
      <c r="E3312" s="32"/>
      <c r="F3312" s="33"/>
      <c r="G3312" s="34">
        <f>$M$9</f>
        <v>0.1</v>
      </c>
      <c r="H3312" s="19">
        <f>H3311*G3312</f>
        <v>35815.5</v>
      </c>
      <c r="I3312" s="47"/>
    </row>
    <row r="3313" spans="3:11" x14ac:dyDescent="0.3">
      <c r="C3313" s="30" t="s">
        <v>37</v>
      </c>
      <c r="D3313" s="31" t="s">
        <v>38</v>
      </c>
      <c r="E3313" s="32"/>
      <c r="F3313" s="32"/>
      <c r="G3313" s="33"/>
      <c r="H3313" s="48">
        <f>SUM(H3311:H3312)</f>
        <v>393970.5</v>
      </c>
      <c r="I3313" s="47"/>
    </row>
    <row r="3314" spans="3:11" x14ac:dyDescent="0.3">
      <c r="C3314" s="50"/>
      <c r="D3314" s="51"/>
      <c r="E3314" s="51"/>
      <c r="F3314" s="51"/>
      <c r="G3314" s="51"/>
      <c r="H3314" s="52"/>
    </row>
    <row r="3315" spans="3:11" x14ac:dyDescent="0.3">
      <c r="C3315" s="40" t="s">
        <v>650</v>
      </c>
      <c r="D3315" s="68" t="s">
        <v>651</v>
      </c>
      <c r="E3315" s="44"/>
      <c r="F3315" s="44"/>
      <c r="G3315" s="44"/>
      <c r="H3315" s="44"/>
      <c r="I3315" s="10">
        <f>ROUNDDOWN(H3330,0)</f>
        <v>421470</v>
      </c>
      <c r="J3315" s="15" t="s">
        <v>595</v>
      </c>
      <c r="K3315" s="39"/>
    </row>
    <row r="3316" spans="3:11" ht="27.6" x14ac:dyDescent="0.3">
      <c r="C3316" s="11" t="s">
        <v>9</v>
      </c>
      <c r="D3316" s="11" t="s">
        <v>10</v>
      </c>
      <c r="E3316" s="11" t="s">
        <v>11</v>
      </c>
      <c r="F3316" s="11" t="s">
        <v>12</v>
      </c>
      <c r="G3316" s="11" t="s">
        <v>13</v>
      </c>
      <c r="H3316" s="11" t="s">
        <v>14</v>
      </c>
    </row>
    <row r="3317" spans="3:11" x14ac:dyDescent="0.25">
      <c r="C3317" s="12" t="s">
        <v>15</v>
      </c>
      <c r="D3317" s="13" t="s">
        <v>16</v>
      </c>
      <c r="E3317" s="14"/>
      <c r="F3317" s="14"/>
      <c r="G3317" s="14"/>
      <c r="H3317" s="14"/>
    </row>
    <row r="3318" spans="3:11" x14ac:dyDescent="0.3">
      <c r="C3318" s="16">
        <v>1</v>
      </c>
      <c r="D3318" s="13" t="s">
        <v>18</v>
      </c>
      <c r="E3318" s="17" t="s">
        <v>19</v>
      </c>
      <c r="F3318" s="18">
        <v>0.11899999999999999</v>
      </c>
      <c r="G3318" s="19">
        <f>VLOOKUP(D3318,upahbahan,3,FALSE)</f>
        <v>100000</v>
      </c>
      <c r="H3318" s="19">
        <f t="shared" ref="H3318:H3321" si="347">F3318*G3318</f>
        <v>11900</v>
      </c>
    </row>
    <row r="3319" spans="3:11" x14ac:dyDescent="0.3">
      <c r="C3319" s="16">
        <v>2</v>
      </c>
      <c r="D3319" s="13" t="s">
        <v>214</v>
      </c>
      <c r="E3319" s="17" t="s">
        <v>19</v>
      </c>
      <c r="F3319" s="18">
        <v>0.19900000000000001</v>
      </c>
      <c r="G3319" s="19">
        <f>VLOOKUP(D3319,upahbahan,3,FALSE)</f>
        <v>145000</v>
      </c>
      <c r="H3319" s="19">
        <f t="shared" si="347"/>
        <v>28855</v>
      </c>
    </row>
    <row r="3320" spans="3:11" x14ac:dyDescent="0.3">
      <c r="C3320" s="16">
        <v>3</v>
      </c>
      <c r="D3320" s="13" t="s">
        <v>22</v>
      </c>
      <c r="E3320" s="17" t="s">
        <v>19</v>
      </c>
      <c r="F3320" s="18">
        <v>0.02</v>
      </c>
      <c r="G3320" s="19">
        <f>VLOOKUP(D3320,upahbahan,3,FALSE)</f>
        <v>175000</v>
      </c>
      <c r="H3320" s="19">
        <f t="shared" si="347"/>
        <v>3500</v>
      </c>
    </row>
    <row r="3321" spans="3:11" x14ac:dyDescent="0.3">
      <c r="C3321" s="16">
        <v>4</v>
      </c>
      <c r="D3321" s="13" t="s">
        <v>23</v>
      </c>
      <c r="E3321" s="17" t="s">
        <v>19</v>
      </c>
      <c r="F3321" s="18">
        <v>7.0000000000000001E-3</v>
      </c>
      <c r="G3321" s="19">
        <f>VLOOKUP(D3321,upahbahan,3,FALSE)</f>
        <v>200000</v>
      </c>
      <c r="H3321" s="19">
        <f t="shared" si="347"/>
        <v>1400</v>
      </c>
    </row>
    <row r="3322" spans="3:11" x14ac:dyDescent="0.3">
      <c r="C3322" s="21" t="s">
        <v>24</v>
      </c>
      <c r="D3322" s="22"/>
      <c r="E3322" s="22"/>
      <c r="F3322" s="54"/>
      <c r="G3322" s="24"/>
      <c r="H3322" s="19">
        <f>SUM(H3318:H3321)</f>
        <v>45655</v>
      </c>
      <c r="I3322" s="25"/>
    </row>
    <row r="3323" spans="3:11" x14ac:dyDescent="0.25">
      <c r="C3323" s="12" t="s">
        <v>25</v>
      </c>
      <c r="D3323" s="13" t="s">
        <v>26</v>
      </c>
      <c r="E3323" s="14"/>
      <c r="F3323" s="55"/>
      <c r="G3323" s="14"/>
      <c r="H3323" s="14"/>
    </row>
    <row r="3324" spans="3:11" x14ac:dyDescent="0.3">
      <c r="C3324" s="63" t="s">
        <v>202</v>
      </c>
      <c r="D3324" s="26" t="s">
        <v>652</v>
      </c>
      <c r="E3324" s="27" t="s">
        <v>617</v>
      </c>
      <c r="F3324" s="59">
        <v>1.25</v>
      </c>
      <c r="G3324" s="19">
        <f>VLOOKUP(D3324,upahbahan,3,FALSE)</f>
        <v>270000</v>
      </c>
      <c r="H3324" s="19">
        <f t="shared" ref="H3324" si="348">F3324*G3324</f>
        <v>337500</v>
      </c>
    </row>
    <row r="3325" spans="3:11" x14ac:dyDescent="0.3">
      <c r="C3325" s="21" t="s">
        <v>29</v>
      </c>
      <c r="D3325" s="22"/>
      <c r="E3325" s="22"/>
      <c r="F3325" s="22"/>
      <c r="G3325" s="28"/>
      <c r="H3325" s="19">
        <f>SUM(H3324:H3324)</f>
        <v>337500</v>
      </c>
    </row>
    <row r="3326" spans="3:11" x14ac:dyDescent="0.25">
      <c r="C3326" s="12" t="s">
        <v>30</v>
      </c>
      <c r="D3326" s="13" t="s">
        <v>31</v>
      </c>
      <c r="E3326" s="14"/>
      <c r="F3326" s="14"/>
      <c r="G3326" s="14"/>
      <c r="H3326" s="14"/>
    </row>
    <row r="3327" spans="3:11" x14ac:dyDescent="0.3">
      <c r="C3327" s="21" t="s">
        <v>32</v>
      </c>
      <c r="D3327" s="22"/>
      <c r="E3327" s="22"/>
      <c r="F3327" s="22"/>
      <c r="G3327" s="28"/>
      <c r="H3327" s="29">
        <v>0</v>
      </c>
    </row>
    <row r="3328" spans="3:11" x14ac:dyDescent="0.3">
      <c r="C3328" s="30" t="s">
        <v>33</v>
      </c>
      <c r="D3328" s="31" t="s">
        <v>34</v>
      </c>
      <c r="E3328" s="32"/>
      <c r="F3328" s="32"/>
      <c r="G3328" s="33"/>
      <c r="H3328" s="46">
        <f>H3327+H3325+H3322</f>
        <v>383155</v>
      </c>
      <c r="I3328" s="47"/>
    </row>
    <row r="3329" spans="3:11" x14ac:dyDescent="0.3">
      <c r="C3329" s="30" t="s">
        <v>35</v>
      </c>
      <c r="D3329" s="31" t="s">
        <v>36</v>
      </c>
      <c r="E3329" s="32"/>
      <c r="F3329" s="33"/>
      <c r="G3329" s="34">
        <f>$M$9</f>
        <v>0.1</v>
      </c>
      <c r="H3329" s="19">
        <f>H3328*G3329</f>
        <v>38315.5</v>
      </c>
      <c r="I3329" s="47"/>
    </row>
    <row r="3330" spans="3:11" x14ac:dyDescent="0.3">
      <c r="C3330" s="30" t="s">
        <v>37</v>
      </c>
      <c r="D3330" s="31" t="s">
        <v>38</v>
      </c>
      <c r="E3330" s="32"/>
      <c r="F3330" s="32"/>
      <c r="G3330" s="33"/>
      <c r="H3330" s="48">
        <f>SUM(H3328:H3329)</f>
        <v>421470.5</v>
      </c>
      <c r="I3330" s="47"/>
    </row>
    <row r="3331" spans="3:11" x14ac:dyDescent="0.3">
      <c r="C3331" s="50"/>
      <c r="D3331" s="51"/>
      <c r="E3331" s="51"/>
      <c r="F3331" s="51"/>
      <c r="G3331" s="51"/>
      <c r="H3331" s="52"/>
    </row>
    <row r="3332" spans="3:11" x14ac:dyDescent="0.3">
      <c r="C3332" s="40" t="s">
        <v>653</v>
      </c>
      <c r="D3332" s="68" t="s">
        <v>654</v>
      </c>
      <c r="E3332" s="44"/>
      <c r="F3332" s="44"/>
      <c r="G3332" s="44"/>
      <c r="H3332" s="44"/>
      <c r="I3332" s="10">
        <f>ROUNDDOWN(H3347,0)</f>
        <v>435220</v>
      </c>
      <c r="J3332" s="15" t="s">
        <v>595</v>
      </c>
      <c r="K3332" s="39"/>
    </row>
    <row r="3333" spans="3:11" ht="27.6" x14ac:dyDescent="0.3">
      <c r="C3333" s="11" t="s">
        <v>9</v>
      </c>
      <c r="D3333" s="11" t="s">
        <v>10</v>
      </c>
      <c r="E3333" s="11" t="s">
        <v>11</v>
      </c>
      <c r="F3333" s="11" t="s">
        <v>12</v>
      </c>
      <c r="G3333" s="11" t="s">
        <v>13</v>
      </c>
      <c r="H3333" s="11" t="s">
        <v>14</v>
      </c>
    </row>
    <row r="3334" spans="3:11" x14ac:dyDescent="0.25">
      <c r="C3334" s="12" t="s">
        <v>15</v>
      </c>
      <c r="D3334" s="13" t="s">
        <v>16</v>
      </c>
      <c r="E3334" s="14"/>
      <c r="F3334" s="14"/>
      <c r="G3334" s="14"/>
      <c r="H3334" s="14"/>
    </row>
    <row r="3335" spans="3:11" x14ac:dyDescent="0.3">
      <c r="C3335" s="16">
        <v>1</v>
      </c>
      <c r="D3335" s="13" t="s">
        <v>18</v>
      </c>
      <c r="E3335" s="17" t="s">
        <v>19</v>
      </c>
      <c r="F3335" s="18">
        <v>0.11899999999999999</v>
      </c>
      <c r="G3335" s="19">
        <f>VLOOKUP(D3335,upahbahan,3,FALSE)</f>
        <v>100000</v>
      </c>
      <c r="H3335" s="19">
        <f t="shared" ref="H3335:H3338" si="349">F3335*G3335</f>
        <v>11900</v>
      </c>
    </row>
    <row r="3336" spans="3:11" x14ac:dyDescent="0.3">
      <c r="C3336" s="16">
        <v>2</v>
      </c>
      <c r="D3336" s="13" t="s">
        <v>214</v>
      </c>
      <c r="E3336" s="17" t="s">
        <v>19</v>
      </c>
      <c r="F3336" s="18">
        <v>0.19900000000000001</v>
      </c>
      <c r="G3336" s="19">
        <f>VLOOKUP(D3336,upahbahan,3,FALSE)</f>
        <v>145000</v>
      </c>
      <c r="H3336" s="19">
        <f t="shared" si="349"/>
        <v>28855</v>
      </c>
    </row>
    <row r="3337" spans="3:11" x14ac:dyDescent="0.3">
      <c r="C3337" s="16">
        <v>3</v>
      </c>
      <c r="D3337" s="13" t="s">
        <v>22</v>
      </c>
      <c r="E3337" s="17" t="s">
        <v>19</v>
      </c>
      <c r="F3337" s="18">
        <v>0.02</v>
      </c>
      <c r="G3337" s="19">
        <f>VLOOKUP(D3337,upahbahan,3,FALSE)</f>
        <v>175000</v>
      </c>
      <c r="H3337" s="19">
        <f t="shared" si="349"/>
        <v>3500</v>
      </c>
    </row>
    <row r="3338" spans="3:11" x14ac:dyDescent="0.3">
      <c r="C3338" s="16">
        <v>4</v>
      </c>
      <c r="D3338" s="13" t="s">
        <v>23</v>
      </c>
      <c r="E3338" s="17" t="s">
        <v>19</v>
      </c>
      <c r="F3338" s="18">
        <v>7.0000000000000001E-3</v>
      </c>
      <c r="G3338" s="19">
        <f>VLOOKUP(D3338,upahbahan,3,FALSE)</f>
        <v>200000</v>
      </c>
      <c r="H3338" s="19">
        <f t="shared" si="349"/>
        <v>1400</v>
      </c>
    </row>
    <row r="3339" spans="3:11" x14ac:dyDescent="0.3">
      <c r="C3339" s="21" t="s">
        <v>24</v>
      </c>
      <c r="D3339" s="22"/>
      <c r="E3339" s="22"/>
      <c r="F3339" s="54"/>
      <c r="G3339" s="24"/>
      <c r="H3339" s="19">
        <f>SUM(H3335:H3338)</f>
        <v>45655</v>
      </c>
      <c r="I3339" s="25"/>
    </row>
    <row r="3340" spans="3:11" x14ac:dyDescent="0.25">
      <c r="C3340" s="12" t="s">
        <v>25</v>
      </c>
      <c r="D3340" s="13" t="s">
        <v>26</v>
      </c>
      <c r="E3340" s="14"/>
      <c r="F3340" s="55"/>
      <c r="G3340" s="14"/>
      <c r="H3340" s="14"/>
    </row>
    <row r="3341" spans="3:11" x14ac:dyDescent="0.3">
      <c r="C3341" s="63" t="s">
        <v>202</v>
      </c>
      <c r="D3341" s="26" t="s">
        <v>655</v>
      </c>
      <c r="E3341" s="27" t="s">
        <v>617</v>
      </c>
      <c r="F3341" s="59">
        <v>1.25</v>
      </c>
      <c r="G3341" s="19">
        <f>VLOOKUP(D3341,upahbahan,3,FALSE)</f>
        <v>280000</v>
      </c>
      <c r="H3341" s="19">
        <f t="shared" ref="H3341" si="350">F3341*G3341</f>
        <v>350000</v>
      </c>
    </row>
    <row r="3342" spans="3:11" x14ac:dyDescent="0.3">
      <c r="C3342" s="21" t="s">
        <v>29</v>
      </c>
      <c r="D3342" s="22"/>
      <c r="E3342" s="22"/>
      <c r="F3342" s="22"/>
      <c r="G3342" s="28"/>
      <c r="H3342" s="19">
        <f>SUM(H3341:H3341)</f>
        <v>350000</v>
      </c>
    </row>
    <row r="3343" spans="3:11" x14ac:dyDescent="0.25">
      <c r="C3343" s="12" t="s">
        <v>30</v>
      </c>
      <c r="D3343" s="13" t="s">
        <v>31</v>
      </c>
      <c r="E3343" s="14"/>
      <c r="F3343" s="14"/>
      <c r="G3343" s="14"/>
      <c r="H3343" s="14"/>
    </row>
    <row r="3344" spans="3:11" x14ac:dyDescent="0.3">
      <c r="C3344" s="21" t="s">
        <v>32</v>
      </c>
      <c r="D3344" s="22"/>
      <c r="E3344" s="22"/>
      <c r="F3344" s="22"/>
      <c r="G3344" s="28"/>
      <c r="H3344" s="29">
        <v>0</v>
      </c>
    </row>
    <row r="3345" spans="3:11" x14ac:dyDescent="0.3">
      <c r="C3345" s="30" t="s">
        <v>33</v>
      </c>
      <c r="D3345" s="31" t="s">
        <v>34</v>
      </c>
      <c r="E3345" s="32"/>
      <c r="F3345" s="32"/>
      <c r="G3345" s="33"/>
      <c r="H3345" s="46">
        <f>H3344+H3342+H3339</f>
        <v>395655</v>
      </c>
      <c r="I3345" s="47"/>
    </row>
    <row r="3346" spans="3:11" x14ac:dyDescent="0.3">
      <c r="C3346" s="30" t="s">
        <v>35</v>
      </c>
      <c r="D3346" s="31" t="s">
        <v>36</v>
      </c>
      <c r="E3346" s="32"/>
      <c r="F3346" s="33"/>
      <c r="G3346" s="34">
        <f>$M$9</f>
        <v>0.1</v>
      </c>
      <c r="H3346" s="19">
        <f>H3345*G3346</f>
        <v>39565.5</v>
      </c>
      <c r="I3346" s="47"/>
    </row>
    <row r="3347" spans="3:11" x14ac:dyDescent="0.3">
      <c r="C3347" s="30" t="s">
        <v>37</v>
      </c>
      <c r="D3347" s="31" t="s">
        <v>38</v>
      </c>
      <c r="E3347" s="32"/>
      <c r="F3347" s="32"/>
      <c r="G3347" s="33"/>
      <c r="H3347" s="48">
        <f>SUM(H3345:H3346)</f>
        <v>435220.5</v>
      </c>
      <c r="I3347" s="47"/>
    </row>
    <row r="3348" spans="3:11" x14ac:dyDescent="0.3">
      <c r="C3348" s="50"/>
      <c r="D3348" s="51"/>
      <c r="E3348" s="51"/>
      <c r="F3348" s="51"/>
      <c r="G3348" s="51"/>
      <c r="H3348" s="52"/>
    </row>
    <row r="3349" spans="3:11" x14ac:dyDescent="0.3">
      <c r="C3349" s="40" t="s">
        <v>656</v>
      </c>
      <c r="D3349" s="68" t="s">
        <v>657</v>
      </c>
      <c r="E3349" s="44"/>
      <c r="F3349" s="44"/>
      <c r="G3349" s="44"/>
      <c r="H3349" s="44"/>
      <c r="I3349" s="10">
        <f>ROUNDDOWN(H3364,0)</f>
        <v>462720</v>
      </c>
      <c r="J3349" s="15" t="s">
        <v>595</v>
      </c>
      <c r="K3349" s="39"/>
    </row>
    <row r="3350" spans="3:11" ht="27.6" x14ac:dyDescent="0.3">
      <c r="C3350" s="11" t="s">
        <v>9</v>
      </c>
      <c r="D3350" s="11" t="s">
        <v>10</v>
      </c>
      <c r="E3350" s="11" t="s">
        <v>11</v>
      </c>
      <c r="F3350" s="11" t="s">
        <v>12</v>
      </c>
      <c r="G3350" s="11" t="s">
        <v>13</v>
      </c>
      <c r="H3350" s="11" t="s">
        <v>14</v>
      </c>
    </row>
    <row r="3351" spans="3:11" x14ac:dyDescent="0.25">
      <c r="C3351" s="12" t="s">
        <v>15</v>
      </c>
      <c r="D3351" s="13" t="s">
        <v>16</v>
      </c>
      <c r="E3351" s="14"/>
      <c r="F3351" s="14"/>
      <c r="G3351" s="14"/>
      <c r="H3351" s="14"/>
    </row>
    <row r="3352" spans="3:11" x14ac:dyDescent="0.3">
      <c r="C3352" s="16">
        <v>1</v>
      </c>
      <c r="D3352" s="13" t="s">
        <v>18</v>
      </c>
      <c r="E3352" s="17" t="s">
        <v>19</v>
      </c>
      <c r="F3352" s="18">
        <v>0.11899999999999999</v>
      </c>
      <c r="G3352" s="19">
        <f>VLOOKUP(D3352,upahbahan,3,FALSE)</f>
        <v>100000</v>
      </c>
      <c r="H3352" s="19">
        <f t="shared" ref="H3352:H3355" si="351">F3352*G3352</f>
        <v>11900</v>
      </c>
    </row>
    <row r="3353" spans="3:11" x14ac:dyDescent="0.3">
      <c r="C3353" s="16">
        <v>2</v>
      </c>
      <c r="D3353" s="13" t="s">
        <v>214</v>
      </c>
      <c r="E3353" s="17" t="s">
        <v>19</v>
      </c>
      <c r="F3353" s="18">
        <v>0.19900000000000001</v>
      </c>
      <c r="G3353" s="19">
        <f>VLOOKUP(D3353,upahbahan,3,FALSE)</f>
        <v>145000</v>
      </c>
      <c r="H3353" s="19">
        <f t="shared" si="351"/>
        <v>28855</v>
      </c>
    </row>
    <row r="3354" spans="3:11" x14ac:dyDescent="0.3">
      <c r="C3354" s="16">
        <v>3</v>
      </c>
      <c r="D3354" s="13" t="s">
        <v>22</v>
      </c>
      <c r="E3354" s="17" t="s">
        <v>19</v>
      </c>
      <c r="F3354" s="18">
        <v>0.02</v>
      </c>
      <c r="G3354" s="19">
        <f>VLOOKUP(D3354,upahbahan,3,FALSE)</f>
        <v>175000</v>
      </c>
      <c r="H3354" s="19">
        <f t="shared" si="351"/>
        <v>3500</v>
      </c>
    </row>
    <row r="3355" spans="3:11" x14ac:dyDescent="0.3">
      <c r="C3355" s="16">
        <v>4</v>
      </c>
      <c r="D3355" s="13" t="s">
        <v>23</v>
      </c>
      <c r="E3355" s="17" t="s">
        <v>19</v>
      </c>
      <c r="F3355" s="18">
        <v>7.0000000000000001E-3</v>
      </c>
      <c r="G3355" s="19">
        <f>VLOOKUP(D3355,upahbahan,3,FALSE)</f>
        <v>200000</v>
      </c>
      <c r="H3355" s="19">
        <f t="shared" si="351"/>
        <v>1400</v>
      </c>
    </row>
    <row r="3356" spans="3:11" x14ac:dyDescent="0.3">
      <c r="C3356" s="21" t="s">
        <v>24</v>
      </c>
      <c r="D3356" s="22"/>
      <c r="E3356" s="22"/>
      <c r="F3356" s="54"/>
      <c r="G3356" s="24"/>
      <c r="H3356" s="19">
        <f>SUM(H3352:H3355)</f>
        <v>45655</v>
      </c>
      <c r="I3356" s="25"/>
    </row>
    <row r="3357" spans="3:11" x14ac:dyDescent="0.25">
      <c r="C3357" s="12" t="s">
        <v>25</v>
      </c>
      <c r="D3357" s="13" t="s">
        <v>26</v>
      </c>
      <c r="E3357" s="14"/>
      <c r="F3357" s="55"/>
      <c r="G3357" s="14"/>
      <c r="H3357" s="14"/>
    </row>
    <row r="3358" spans="3:11" x14ac:dyDescent="0.3">
      <c r="C3358" s="63" t="s">
        <v>202</v>
      </c>
      <c r="D3358" s="26" t="s">
        <v>658</v>
      </c>
      <c r="E3358" s="27" t="s">
        <v>617</v>
      </c>
      <c r="F3358" s="59">
        <v>1.25</v>
      </c>
      <c r="G3358" s="19">
        <f>VLOOKUP(D3358,upahbahan,3,FALSE)</f>
        <v>300000</v>
      </c>
      <c r="H3358" s="19">
        <f t="shared" ref="H3358" si="352">F3358*G3358</f>
        <v>375000</v>
      </c>
    </row>
    <row r="3359" spans="3:11" x14ac:dyDescent="0.3">
      <c r="C3359" s="21" t="s">
        <v>29</v>
      </c>
      <c r="D3359" s="22"/>
      <c r="E3359" s="22"/>
      <c r="F3359" s="22"/>
      <c r="G3359" s="28"/>
      <c r="H3359" s="19">
        <f>SUM(H3358:H3358)</f>
        <v>375000</v>
      </c>
    </row>
    <row r="3360" spans="3:11" x14ac:dyDescent="0.25">
      <c r="C3360" s="12" t="s">
        <v>30</v>
      </c>
      <c r="D3360" s="13" t="s">
        <v>31</v>
      </c>
      <c r="E3360" s="14"/>
      <c r="F3360" s="14"/>
      <c r="G3360" s="14"/>
      <c r="H3360" s="14"/>
    </row>
    <row r="3361" spans="3:11" x14ac:dyDescent="0.3">
      <c r="C3361" s="21" t="s">
        <v>32</v>
      </c>
      <c r="D3361" s="22"/>
      <c r="E3361" s="22"/>
      <c r="F3361" s="22"/>
      <c r="G3361" s="28"/>
      <c r="H3361" s="29">
        <v>0</v>
      </c>
    </row>
    <row r="3362" spans="3:11" x14ac:dyDescent="0.3">
      <c r="C3362" s="30" t="s">
        <v>33</v>
      </c>
      <c r="D3362" s="31" t="s">
        <v>34</v>
      </c>
      <c r="E3362" s="32"/>
      <c r="F3362" s="32"/>
      <c r="G3362" s="33"/>
      <c r="H3362" s="46">
        <f>H3361+H3359+H3356</f>
        <v>420655</v>
      </c>
      <c r="I3362" s="47"/>
    </row>
    <row r="3363" spans="3:11" x14ac:dyDescent="0.3">
      <c r="C3363" s="30" t="s">
        <v>35</v>
      </c>
      <c r="D3363" s="31" t="s">
        <v>36</v>
      </c>
      <c r="E3363" s="32"/>
      <c r="F3363" s="33"/>
      <c r="G3363" s="34">
        <f>$M$9</f>
        <v>0.1</v>
      </c>
      <c r="H3363" s="19">
        <f>H3362*G3363</f>
        <v>42065.5</v>
      </c>
      <c r="I3363" s="47"/>
    </row>
    <row r="3364" spans="3:11" x14ac:dyDescent="0.3">
      <c r="C3364" s="30" t="s">
        <v>37</v>
      </c>
      <c r="D3364" s="31" t="s">
        <v>38</v>
      </c>
      <c r="E3364" s="32"/>
      <c r="F3364" s="32"/>
      <c r="G3364" s="33"/>
      <c r="H3364" s="48">
        <f>SUM(H3362:H3363)</f>
        <v>462720.5</v>
      </c>
      <c r="I3364" s="47"/>
    </row>
    <row r="3365" spans="3:11" x14ac:dyDescent="0.3">
      <c r="C3365" s="50"/>
      <c r="D3365" s="51"/>
      <c r="E3365" s="51"/>
      <c r="F3365" s="51"/>
      <c r="G3365" s="51"/>
      <c r="H3365" s="52"/>
    </row>
    <row r="3366" spans="3:11" x14ac:dyDescent="0.3">
      <c r="C3366" s="40" t="s">
        <v>659</v>
      </c>
      <c r="D3366" s="68" t="s">
        <v>660</v>
      </c>
      <c r="E3366" s="44"/>
      <c r="F3366" s="44"/>
      <c r="G3366" s="44"/>
      <c r="H3366" s="44"/>
      <c r="I3366" s="10">
        <f>ROUNDDOWN(H3381,0)</f>
        <v>393970</v>
      </c>
      <c r="J3366" s="15" t="s">
        <v>595</v>
      </c>
      <c r="K3366" s="39"/>
    </row>
    <row r="3367" spans="3:11" ht="27.6" x14ac:dyDescent="0.3">
      <c r="C3367" s="11" t="s">
        <v>9</v>
      </c>
      <c r="D3367" s="11" t="s">
        <v>10</v>
      </c>
      <c r="E3367" s="11" t="s">
        <v>11</v>
      </c>
      <c r="F3367" s="11" t="s">
        <v>12</v>
      </c>
      <c r="G3367" s="11" t="s">
        <v>13</v>
      </c>
      <c r="H3367" s="11" t="s">
        <v>14</v>
      </c>
    </row>
    <row r="3368" spans="3:11" x14ac:dyDescent="0.25">
      <c r="C3368" s="12" t="s">
        <v>15</v>
      </c>
      <c r="D3368" s="13" t="s">
        <v>16</v>
      </c>
      <c r="E3368" s="14"/>
      <c r="F3368" s="14"/>
      <c r="G3368" s="14"/>
      <c r="H3368" s="14"/>
    </row>
    <row r="3369" spans="3:11" x14ac:dyDescent="0.3">
      <c r="C3369" s="16">
        <v>1</v>
      </c>
      <c r="D3369" s="13" t="s">
        <v>18</v>
      </c>
      <c r="E3369" s="17" t="s">
        <v>19</v>
      </c>
      <c r="F3369" s="18">
        <v>0.11899999999999999</v>
      </c>
      <c r="G3369" s="19">
        <f>VLOOKUP(D3369,upahbahan,3,FALSE)</f>
        <v>100000</v>
      </c>
      <c r="H3369" s="19">
        <f t="shared" ref="H3369:H3372" si="353">F3369*G3369</f>
        <v>11900</v>
      </c>
    </row>
    <row r="3370" spans="3:11" x14ac:dyDescent="0.3">
      <c r="C3370" s="16">
        <v>2</v>
      </c>
      <c r="D3370" s="13" t="s">
        <v>214</v>
      </c>
      <c r="E3370" s="17" t="s">
        <v>19</v>
      </c>
      <c r="F3370" s="18">
        <v>0.19900000000000001</v>
      </c>
      <c r="G3370" s="19">
        <f>VLOOKUP(D3370,upahbahan,3,FALSE)</f>
        <v>145000</v>
      </c>
      <c r="H3370" s="19">
        <f t="shared" si="353"/>
        <v>28855</v>
      </c>
    </row>
    <row r="3371" spans="3:11" x14ac:dyDescent="0.3">
      <c r="C3371" s="16">
        <v>3</v>
      </c>
      <c r="D3371" s="13" t="s">
        <v>22</v>
      </c>
      <c r="E3371" s="17" t="s">
        <v>19</v>
      </c>
      <c r="F3371" s="18">
        <v>0.02</v>
      </c>
      <c r="G3371" s="19">
        <f>VLOOKUP(D3371,upahbahan,3,FALSE)</f>
        <v>175000</v>
      </c>
      <c r="H3371" s="19">
        <f t="shared" si="353"/>
        <v>3500</v>
      </c>
    </row>
    <row r="3372" spans="3:11" x14ac:dyDescent="0.3">
      <c r="C3372" s="16">
        <v>4</v>
      </c>
      <c r="D3372" s="13" t="s">
        <v>23</v>
      </c>
      <c r="E3372" s="17" t="s">
        <v>19</v>
      </c>
      <c r="F3372" s="18">
        <v>7.0000000000000001E-3</v>
      </c>
      <c r="G3372" s="19">
        <f>VLOOKUP(D3372,upahbahan,3,FALSE)</f>
        <v>200000</v>
      </c>
      <c r="H3372" s="19">
        <f t="shared" si="353"/>
        <v>1400</v>
      </c>
    </row>
    <row r="3373" spans="3:11" x14ac:dyDescent="0.3">
      <c r="C3373" s="21" t="s">
        <v>24</v>
      </c>
      <c r="D3373" s="22"/>
      <c r="E3373" s="22"/>
      <c r="F3373" s="54"/>
      <c r="G3373" s="24"/>
      <c r="H3373" s="19">
        <f>SUM(H3369:H3372)</f>
        <v>45655</v>
      </c>
      <c r="I3373" s="25"/>
    </row>
    <row r="3374" spans="3:11" x14ac:dyDescent="0.25">
      <c r="C3374" s="12" t="s">
        <v>25</v>
      </c>
      <c r="D3374" s="13" t="s">
        <v>26</v>
      </c>
      <c r="E3374" s="14"/>
      <c r="F3374" s="55"/>
      <c r="G3374" s="14"/>
      <c r="H3374" s="14"/>
    </row>
    <row r="3375" spans="3:11" x14ac:dyDescent="0.3">
      <c r="C3375" s="63" t="s">
        <v>202</v>
      </c>
      <c r="D3375" s="26" t="s">
        <v>661</v>
      </c>
      <c r="E3375" s="27" t="s">
        <v>617</v>
      </c>
      <c r="F3375" s="59">
        <v>1.25</v>
      </c>
      <c r="G3375" s="19">
        <f>VLOOKUP(D3375,upahbahan,3,FALSE)</f>
        <v>250000</v>
      </c>
      <c r="H3375" s="19">
        <f t="shared" ref="H3375" si="354">F3375*G3375</f>
        <v>312500</v>
      </c>
    </row>
    <row r="3376" spans="3:11" x14ac:dyDescent="0.3">
      <c r="C3376" s="21" t="s">
        <v>29</v>
      </c>
      <c r="D3376" s="22"/>
      <c r="E3376" s="22"/>
      <c r="F3376" s="22"/>
      <c r="G3376" s="28"/>
      <c r="H3376" s="19">
        <f>SUM(H3375:H3375)</f>
        <v>312500</v>
      </c>
    </row>
    <row r="3377" spans="3:11" x14ac:dyDescent="0.25">
      <c r="C3377" s="12" t="s">
        <v>30</v>
      </c>
      <c r="D3377" s="13" t="s">
        <v>31</v>
      </c>
      <c r="E3377" s="14"/>
      <c r="F3377" s="14"/>
      <c r="G3377" s="14"/>
      <c r="H3377" s="14"/>
    </row>
    <row r="3378" spans="3:11" x14ac:dyDescent="0.3">
      <c r="C3378" s="21" t="s">
        <v>32</v>
      </c>
      <c r="D3378" s="22"/>
      <c r="E3378" s="22"/>
      <c r="F3378" s="22"/>
      <c r="G3378" s="28"/>
      <c r="H3378" s="29">
        <v>0</v>
      </c>
    </row>
    <row r="3379" spans="3:11" x14ac:dyDescent="0.3">
      <c r="C3379" s="30" t="s">
        <v>33</v>
      </c>
      <c r="D3379" s="31" t="s">
        <v>34</v>
      </c>
      <c r="E3379" s="32"/>
      <c r="F3379" s="32"/>
      <c r="G3379" s="33"/>
      <c r="H3379" s="46">
        <f>H3378+H3376+H3373</f>
        <v>358155</v>
      </c>
      <c r="I3379" s="47"/>
    </row>
    <row r="3380" spans="3:11" x14ac:dyDescent="0.3">
      <c r="C3380" s="30" t="s">
        <v>35</v>
      </c>
      <c r="D3380" s="31" t="s">
        <v>36</v>
      </c>
      <c r="E3380" s="32"/>
      <c r="F3380" s="33"/>
      <c r="G3380" s="34">
        <f>$M$9</f>
        <v>0.1</v>
      </c>
      <c r="H3380" s="19">
        <f>H3379*G3380</f>
        <v>35815.5</v>
      </c>
      <c r="I3380" s="47"/>
    </row>
    <row r="3381" spans="3:11" x14ac:dyDescent="0.3">
      <c r="C3381" s="30" t="s">
        <v>37</v>
      </c>
      <c r="D3381" s="31" t="s">
        <v>38</v>
      </c>
      <c r="E3381" s="32"/>
      <c r="F3381" s="32"/>
      <c r="G3381" s="33"/>
      <c r="H3381" s="48">
        <f>SUM(H3379:H3380)</f>
        <v>393970.5</v>
      </c>
      <c r="I3381" s="47"/>
    </row>
    <row r="3382" spans="3:11" x14ac:dyDescent="0.3">
      <c r="C3382" s="50"/>
      <c r="D3382" s="51"/>
      <c r="E3382" s="51"/>
      <c r="F3382" s="51"/>
      <c r="G3382" s="51"/>
      <c r="H3382" s="52"/>
    </row>
    <row r="3383" spans="3:11" x14ac:dyDescent="0.3">
      <c r="C3383" s="40" t="s">
        <v>662</v>
      </c>
      <c r="D3383" s="68" t="s">
        <v>663</v>
      </c>
      <c r="E3383" s="44"/>
      <c r="F3383" s="44"/>
      <c r="G3383" s="44"/>
      <c r="H3383" s="44"/>
      <c r="I3383" s="10">
        <f>ROUNDDOWN(H3398,0)</f>
        <v>407720</v>
      </c>
      <c r="J3383" s="15" t="s">
        <v>595</v>
      </c>
      <c r="K3383" s="39"/>
    </row>
    <row r="3384" spans="3:11" ht="27.6" x14ac:dyDescent="0.3">
      <c r="C3384" s="11" t="s">
        <v>9</v>
      </c>
      <c r="D3384" s="11" t="s">
        <v>10</v>
      </c>
      <c r="E3384" s="11" t="s">
        <v>11</v>
      </c>
      <c r="F3384" s="11" t="s">
        <v>12</v>
      </c>
      <c r="G3384" s="11" t="s">
        <v>13</v>
      </c>
      <c r="H3384" s="11" t="s">
        <v>14</v>
      </c>
    </row>
    <row r="3385" spans="3:11" x14ac:dyDescent="0.25">
      <c r="C3385" s="12" t="s">
        <v>15</v>
      </c>
      <c r="D3385" s="13" t="s">
        <v>16</v>
      </c>
      <c r="E3385" s="14"/>
      <c r="F3385" s="14"/>
      <c r="G3385" s="14"/>
      <c r="H3385" s="14"/>
    </row>
    <row r="3386" spans="3:11" x14ac:dyDescent="0.3">
      <c r="C3386" s="16">
        <v>1</v>
      </c>
      <c r="D3386" s="13" t="s">
        <v>18</v>
      </c>
      <c r="E3386" s="17" t="s">
        <v>19</v>
      </c>
      <c r="F3386" s="18">
        <v>0.11899999999999999</v>
      </c>
      <c r="G3386" s="19">
        <f>VLOOKUP(D3386,upahbahan,3,FALSE)</f>
        <v>100000</v>
      </c>
      <c r="H3386" s="19">
        <f t="shared" ref="H3386:H3389" si="355">F3386*G3386</f>
        <v>11900</v>
      </c>
    </row>
    <row r="3387" spans="3:11" x14ac:dyDescent="0.3">
      <c r="C3387" s="16">
        <v>2</v>
      </c>
      <c r="D3387" s="13" t="s">
        <v>214</v>
      </c>
      <c r="E3387" s="17" t="s">
        <v>19</v>
      </c>
      <c r="F3387" s="18">
        <v>0.19900000000000001</v>
      </c>
      <c r="G3387" s="19">
        <f>VLOOKUP(D3387,upahbahan,3,FALSE)</f>
        <v>145000</v>
      </c>
      <c r="H3387" s="19">
        <f t="shared" si="355"/>
        <v>28855</v>
      </c>
    </row>
    <row r="3388" spans="3:11" x14ac:dyDescent="0.3">
      <c r="C3388" s="16">
        <v>3</v>
      </c>
      <c r="D3388" s="13" t="s">
        <v>22</v>
      </c>
      <c r="E3388" s="17" t="s">
        <v>19</v>
      </c>
      <c r="F3388" s="18">
        <v>0.02</v>
      </c>
      <c r="G3388" s="19">
        <f>VLOOKUP(D3388,upahbahan,3,FALSE)</f>
        <v>175000</v>
      </c>
      <c r="H3388" s="19">
        <f t="shared" si="355"/>
        <v>3500</v>
      </c>
    </row>
    <row r="3389" spans="3:11" x14ac:dyDescent="0.3">
      <c r="C3389" s="16">
        <v>4</v>
      </c>
      <c r="D3389" s="13" t="s">
        <v>23</v>
      </c>
      <c r="E3389" s="17" t="s">
        <v>19</v>
      </c>
      <c r="F3389" s="18">
        <v>7.0000000000000001E-3</v>
      </c>
      <c r="G3389" s="19">
        <f>VLOOKUP(D3389,upahbahan,3,FALSE)</f>
        <v>200000</v>
      </c>
      <c r="H3389" s="19">
        <f t="shared" si="355"/>
        <v>1400</v>
      </c>
    </row>
    <row r="3390" spans="3:11" x14ac:dyDescent="0.3">
      <c r="C3390" s="21" t="s">
        <v>24</v>
      </c>
      <c r="D3390" s="22"/>
      <c r="E3390" s="22"/>
      <c r="F3390" s="54"/>
      <c r="G3390" s="24"/>
      <c r="H3390" s="19">
        <f>SUM(H3386:H3389)</f>
        <v>45655</v>
      </c>
      <c r="I3390" s="25"/>
    </row>
    <row r="3391" spans="3:11" x14ac:dyDescent="0.25">
      <c r="C3391" s="12" t="s">
        <v>25</v>
      </c>
      <c r="D3391" s="13" t="s">
        <v>26</v>
      </c>
      <c r="E3391" s="14"/>
      <c r="F3391" s="55"/>
      <c r="G3391" s="14"/>
      <c r="H3391" s="14"/>
    </row>
    <row r="3392" spans="3:11" x14ac:dyDescent="0.3">
      <c r="C3392" s="63" t="s">
        <v>202</v>
      </c>
      <c r="D3392" s="26" t="s">
        <v>664</v>
      </c>
      <c r="E3392" s="27" t="s">
        <v>617</v>
      </c>
      <c r="F3392" s="59">
        <v>1.25</v>
      </c>
      <c r="G3392" s="19">
        <f>VLOOKUP(D3392,upahbahan,3,FALSE)</f>
        <v>260000</v>
      </c>
      <c r="H3392" s="19">
        <f t="shared" ref="H3392" si="356">F3392*G3392</f>
        <v>325000</v>
      </c>
    </row>
    <row r="3393" spans="3:11" x14ac:dyDescent="0.3">
      <c r="C3393" s="21" t="s">
        <v>29</v>
      </c>
      <c r="D3393" s="22"/>
      <c r="E3393" s="22"/>
      <c r="F3393" s="22"/>
      <c r="G3393" s="28"/>
      <c r="H3393" s="19">
        <f>SUM(H3392:H3392)</f>
        <v>325000</v>
      </c>
    </row>
    <row r="3394" spans="3:11" x14ac:dyDescent="0.25">
      <c r="C3394" s="12" t="s">
        <v>30</v>
      </c>
      <c r="D3394" s="13" t="s">
        <v>31</v>
      </c>
      <c r="E3394" s="14"/>
      <c r="F3394" s="14"/>
      <c r="G3394" s="14"/>
      <c r="H3394" s="14"/>
    </row>
    <row r="3395" spans="3:11" x14ac:dyDescent="0.3">
      <c r="C3395" s="21" t="s">
        <v>32</v>
      </c>
      <c r="D3395" s="22"/>
      <c r="E3395" s="22"/>
      <c r="F3395" s="22"/>
      <c r="G3395" s="28"/>
      <c r="H3395" s="29">
        <v>0</v>
      </c>
    </row>
    <row r="3396" spans="3:11" x14ac:dyDescent="0.3">
      <c r="C3396" s="30" t="s">
        <v>33</v>
      </c>
      <c r="D3396" s="31" t="s">
        <v>34</v>
      </c>
      <c r="E3396" s="32"/>
      <c r="F3396" s="32"/>
      <c r="G3396" s="33"/>
      <c r="H3396" s="46">
        <f>H3395+H3393+H3390</f>
        <v>370655</v>
      </c>
      <c r="I3396" s="47"/>
    </row>
    <row r="3397" spans="3:11" x14ac:dyDescent="0.3">
      <c r="C3397" s="30" t="s">
        <v>35</v>
      </c>
      <c r="D3397" s="31" t="s">
        <v>36</v>
      </c>
      <c r="E3397" s="32"/>
      <c r="F3397" s="33"/>
      <c r="G3397" s="34">
        <f>$M$9</f>
        <v>0.1</v>
      </c>
      <c r="H3397" s="19">
        <f>H3396*G3397</f>
        <v>37065.5</v>
      </c>
      <c r="I3397" s="47"/>
    </row>
    <row r="3398" spans="3:11" x14ac:dyDescent="0.3">
      <c r="C3398" s="30" t="s">
        <v>37</v>
      </c>
      <c r="D3398" s="31" t="s">
        <v>38</v>
      </c>
      <c r="E3398" s="32"/>
      <c r="F3398" s="32"/>
      <c r="G3398" s="33"/>
      <c r="H3398" s="48">
        <f>SUM(H3396:H3397)</f>
        <v>407720.5</v>
      </c>
      <c r="I3398" s="47"/>
    </row>
    <row r="3399" spans="3:11" x14ac:dyDescent="0.3">
      <c r="C3399" s="50"/>
      <c r="D3399" s="51"/>
      <c r="E3399" s="51"/>
      <c r="F3399" s="51"/>
      <c r="G3399" s="51"/>
      <c r="H3399" s="52"/>
    </row>
    <row r="3400" spans="3:11" x14ac:dyDescent="0.3">
      <c r="C3400" s="40" t="s">
        <v>665</v>
      </c>
      <c r="D3400" s="68" t="s">
        <v>666</v>
      </c>
      <c r="E3400" s="44"/>
      <c r="F3400" s="44"/>
      <c r="G3400" s="44"/>
      <c r="H3400" s="44"/>
      <c r="I3400" s="10">
        <f>ROUNDDOWN(H3415,0)</f>
        <v>435220</v>
      </c>
      <c r="J3400" s="15" t="s">
        <v>595</v>
      </c>
      <c r="K3400" s="39"/>
    </row>
    <row r="3401" spans="3:11" ht="27.6" x14ac:dyDescent="0.3">
      <c r="C3401" s="11" t="s">
        <v>9</v>
      </c>
      <c r="D3401" s="11" t="s">
        <v>10</v>
      </c>
      <c r="E3401" s="11" t="s">
        <v>11</v>
      </c>
      <c r="F3401" s="11" t="s">
        <v>12</v>
      </c>
      <c r="G3401" s="11" t="s">
        <v>13</v>
      </c>
      <c r="H3401" s="11" t="s">
        <v>14</v>
      </c>
    </row>
    <row r="3402" spans="3:11" x14ac:dyDescent="0.25">
      <c r="C3402" s="12" t="s">
        <v>15</v>
      </c>
      <c r="D3402" s="13" t="s">
        <v>16</v>
      </c>
      <c r="E3402" s="14"/>
      <c r="F3402" s="14"/>
      <c r="G3402" s="14"/>
      <c r="H3402" s="14"/>
    </row>
    <row r="3403" spans="3:11" x14ac:dyDescent="0.3">
      <c r="C3403" s="16">
        <v>1</v>
      </c>
      <c r="D3403" s="13" t="s">
        <v>18</v>
      </c>
      <c r="E3403" s="17" t="s">
        <v>19</v>
      </c>
      <c r="F3403" s="18">
        <v>0.11899999999999999</v>
      </c>
      <c r="G3403" s="19">
        <f>VLOOKUP(D3403,upahbahan,3,FALSE)</f>
        <v>100000</v>
      </c>
      <c r="H3403" s="19">
        <f t="shared" ref="H3403:H3406" si="357">F3403*G3403</f>
        <v>11900</v>
      </c>
    </row>
    <row r="3404" spans="3:11" x14ac:dyDescent="0.3">
      <c r="C3404" s="16">
        <v>2</v>
      </c>
      <c r="D3404" s="13" t="s">
        <v>214</v>
      </c>
      <c r="E3404" s="17" t="s">
        <v>19</v>
      </c>
      <c r="F3404" s="18">
        <v>0.19900000000000001</v>
      </c>
      <c r="G3404" s="19">
        <f>VLOOKUP(D3404,upahbahan,3,FALSE)</f>
        <v>145000</v>
      </c>
      <c r="H3404" s="19">
        <f t="shared" si="357"/>
        <v>28855</v>
      </c>
    </row>
    <row r="3405" spans="3:11" x14ac:dyDescent="0.3">
      <c r="C3405" s="16">
        <v>3</v>
      </c>
      <c r="D3405" s="13" t="s">
        <v>22</v>
      </c>
      <c r="E3405" s="17" t="s">
        <v>19</v>
      </c>
      <c r="F3405" s="18">
        <v>0.02</v>
      </c>
      <c r="G3405" s="19">
        <f>VLOOKUP(D3405,upahbahan,3,FALSE)</f>
        <v>175000</v>
      </c>
      <c r="H3405" s="19">
        <f t="shared" si="357"/>
        <v>3500</v>
      </c>
    </row>
    <row r="3406" spans="3:11" x14ac:dyDescent="0.3">
      <c r="C3406" s="16">
        <v>4</v>
      </c>
      <c r="D3406" s="13" t="s">
        <v>23</v>
      </c>
      <c r="E3406" s="17" t="s">
        <v>19</v>
      </c>
      <c r="F3406" s="18">
        <v>7.0000000000000001E-3</v>
      </c>
      <c r="G3406" s="19">
        <f>VLOOKUP(D3406,upahbahan,3,FALSE)</f>
        <v>200000</v>
      </c>
      <c r="H3406" s="19">
        <f t="shared" si="357"/>
        <v>1400</v>
      </c>
    </row>
    <row r="3407" spans="3:11" x14ac:dyDescent="0.3">
      <c r="C3407" s="21" t="s">
        <v>24</v>
      </c>
      <c r="D3407" s="22"/>
      <c r="E3407" s="22"/>
      <c r="F3407" s="54"/>
      <c r="G3407" s="24"/>
      <c r="H3407" s="19">
        <f>SUM(H3403:H3406)</f>
        <v>45655</v>
      </c>
      <c r="I3407" s="25"/>
    </row>
    <row r="3408" spans="3:11" x14ac:dyDescent="0.25">
      <c r="C3408" s="12" t="s">
        <v>25</v>
      </c>
      <c r="D3408" s="13" t="s">
        <v>26</v>
      </c>
      <c r="E3408" s="14"/>
      <c r="F3408" s="55"/>
      <c r="G3408" s="14"/>
      <c r="H3408" s="14"/>
    </row>
    <row r="3409" spans="3:11" x14ac:dyDescent="0.3">
      <c r="C3409" s="63" t="s">
        <v>202</v>
      </c>
      <c r="D3409" s="26" t="s">
        <v>667</v>
      </c>
      <c r="E3409" s="27" t="s">
        <v>617</v>
      </c>
      <c r="F3409" s="59">
        <v>1.25</v>
      </c>
      <c r="G3409" s="19">
        <f>VLOOKUP(D3409,upahbahan,3,FALSE)</f>
        <v>280000</v>
      </c>
      <c r="H3409" s="19">
        <f t="shared" ref="H3409" si="358">F3409*G3409</f>
        <v>350000</v>
      </c>
    </row>
    <row r="3410" spans="3:11" x14ac:dyDescent="0.3">
      <c r="C3410" s="21" t="s">
        <v>29</v>
      </c>
      <c r="D3410" s="22"/>
      <c r="E3410" s="22"/>
      <c r="F3410" s="22"/>
      <c r="G3410" s="28"/>
      <c r="H3410" s="19">
        <f>SUM(H3409:H3409)</f>
        <v>350000</v>
      </c>
    </row>
    <row r="3411" spans="3:11" x14ac:dyDescent="0.25">
      <c r="C3411" s="12" t="s">
        <v>30</v>
      </c>
      <c r="D3411" s="13" t="s">
        <v>31</v>
      </c>
      <c r="E3411" s="14"/>
      <c r="F3411" s="14"/>
      <c r="G3411" s="14"/>
      <c r="H3411" s="14"/>
    </row>
    <row r="3412" spans="3:11" x14ac:dyDescent="0.3">
      <c r="C3412" s="21" t="s">
        <v>32</v>
      </c>
      <c r="D3412" s="22"/>
      <c r="E3412" s="22"/>
      <c r="F3412" s="22"/>
      <c r="G3412" s="28"/>
      <c r="H3412" s="29">
        <v>0</v>
      </c>
    </row>
    <row r="3413" spans="3:11" x14ac:dyDescent="0.3">
      <c r="C3413" s="30" t="s">
        <v>33</v>
      </c>
      <c r="D3413" s="31" t="s">
        <v>34</v>
      </c>
      <c r="E3413" s="32"/>
      <c r="F3413" s="32"/>
      <c r="G3413" s="33"/>
      <c r="H3413" s="46">
        <f>H3412+H3410+H3407</f>
        <v>395655</v>
      </c>
      <c r="I3413" s="47"/>
    </row>
    <row r="3414" spans="3:11" x14ac:dyDescent="0.3">
      <c r="C3414" s="30" t="s">
        <v>35</v>
      </c>
      <c r="D3414" s="31" t="s">
        <v>36</v>
      </c>
      <c r="E3414" s="32"/>
      <c r="F3414" s="33"/>
      <c r="G3414" s="34">
        <f>$M$9</f>
        <v>0.1</v>
      </c>
      <c r="H3414" s="19">
        <f>H3413*G3414</f>
        <v>39565.5</v>
      </c>
      <c r="I3414" s="47"/>
    </row>
    <row r="3415" spans="3:11" x14ac:dyDescent="0.3">
      <c r="C3415" s="30" t="s">
        <v>37</v>
      </c>
      <c r="D3415" s="31" t="s">
        <v>38</v>
      </c>
      <c r="E3415" s="32"/>
      <c r="F3415" s="32"/>
      <c r="G3415" s="33"/>
      <c r="H3415" s="48">
        <f>SUM(H3413:H3414)</f>
        <v>435220.5</v>
      </c>
      <c r="I3415" s="47"/>
    </row>
    <row r="3416" spans="3:11" x14ac:dyDescent="0.3">
      <c r="C3416" s="50"/>
      <c r="D3416" s="51"/>
      <c r="E3416" s="51"/>
      <c r="F3416" s="51"/>
      <c r="G3416" s="51"/>
      <c r="H3416" s="52"/>
    </row>
    <row r="3417" spans="3:11" x14ac:dyDescent="0.3">
      <c r="C3417" s="40" t="s">
        <v>668</v>
      </c>
      <c r="D3417" s="68" t="s">
        <v>669</v>
      </c>
      <c r="E3417" s="44"/>
      <c r="F3417" s="44"/>
      <c r="G3417" s="44"/>
      <c r="H3417" s="44"/>
      <c r="I3417" s="10">
        <f>ROUNDDOWN(H3432,0)</f>
        <v>462720</v>
      </c>
      <c r="J3417" s="15" t="s">
        <v>595</v>
      </c>
      <c r="K3417" s="39"/>
    </row>
    <row r="3418" spans="3:11" ht="27.6" x14ac:dyDescent="0.3">
      <c r="C3418" s="11" t="s">
        <v>9</v>
      </c>
      <c r="D3418" s="11" t="s">
        <v>10</v>
      </c>
      <c r="E3418" s="11" t="s">
        <v>11</v>
      </c>
      <c r="F3418" s="11" t="s">
        <v>12</v>
      </c>
      <c r="G3418" s="11" t="s">
        <v>13</v>
      </c>
      <c r="H3418" s="11" t="s">
        <v>14</v>
      </c>
    </row>
    <row r="3419" spans="3:11" x14ac:dyDescent="0.25">
      <c r="C3419" s="12" t="s">
        <v>15</v>
      </c>
      <c r="D3419" s="13" t="s">
        <v>16</v>
      </c>
      <c r="E3419" s="14"/>
      <c r="F3419" s="14"/>
      <c r="G3419" s="14"/>
      <c r="H3419" s="14"/>
    </row>
    <row r="3420" spans="3:11" x14ac:dyDescent="0.3">
      <c r="C3420" s="16">
        <v>1</v>
      </c>
      <c r="D3420" s="13" t="s">
        <v>18</v>
      </c>
      <c r="E3420" s="17" t="s">
        <v>19</v>
      </c>
      <c r="F3420" s="18">
        <v>0.11899999999999999</v>
      </c>
      <c r="G3420" s="19">
        <f>VLOOKUP(D3420,upahbahan,3,FALSE)</f>
        <v>100000</v>
      </c>
      <c r="H3420" s="19">
        <f t="shared" ref="H3420:H3423" si="359">F3420*G3420</f>
        <v>11900</v>
      </c>
    </row>
    <row r="3421" spans="3:11" x14ac:dyDescent="0.3">
      <c r="C3421" s="16">
        <v>2</v>
      </c>
      <c r="D3421" s="13" t="s">
        <v>214</v>
      </c>
      <c r="E3421" s="17" t="s">
        <v>19</v>
      </c>
      <c r="F3421" s="18">
        <v>0.19900000000000001</v>
      </c>
      <c r="G3421" s="19">
        <f>VLOOKUP(D3421,upahbahan,3,FALSE)</f>
        <v>145000</v>
      </c>
      <c r="H3421" s="19">
        <f t="shared" si="359"/>
        <v>28855</v>
      </c>
    </row>
    <row r="3422" spans="3:11" x14ac:dyDescent="0.3">
      <c r="C3422" s="16">
        <v>3</v>
      </c>
      <c r="D3422" s="13" t="s">
        <v>22</v>
      </c>
      <c r="E3422" s="17" t="s">
        <v>19</v>
      </c>
      <c r="F3422" s="18">
        <v>0.02</v>
      </c>
      <c r="G3422" s="19">
        <f>VLOOKUP(D3422,upahbahan,3,FALSE)</f>
        <v>175000</v>
      </c>
      <c r="H3422" s="19">
        <f t="shared" si="359"/>
        <v>3500</v>
      </c>
    </row>
    <row r="3423" spans="3:11" x14ac:dyDescent="0.3">
      <c r="C3423" s="16">
        <v>4</v>
      </c>
      <c r="D3423" s="13" t="s">
        <v>23</v>
      </c>
      <c r="E3423" s="17" t="s">
        <v>19</v>
      </c>
      <c r="F3423" s="18">
        <v>7.0000000000000001E-3</v>
      </c>
      <c r="G3423" s="19">
        <f>VLOOKUP(D3423,upahbahan,3,FALSE)</f>
        <v>200000</v>
      </c>
      <c r="H3423" s="19">
        <f t="shared" si="359"/>
        <v>1400</v>
      </c>
    </row>
    <row r="3424" spans="3:11" x14ac:dyDescent="0.3">
      <c r="C3424" s="21" t="s">
        <v>24</v>
      </c>
      <c r="D3424" s="22"/>
      <c r="E3424" s="22"/>
      <c r="F3424" s="54"/>
      <c r="G3424" s="24"/>
      <c r="H3424" s="19">
        <f>SUM(H3420:H3423)</f>
        <v>45655</v>
      </c>
      <c r="I3424" s="25"/>
    </row>
    <row r="3425" spans="3:11" x14ac:dyDescent="0.25">
      <c r="C3425" s="12" t="s">
        <v>25</v>
      </c>
      <c r="D3425" s="13" t="s">
        <v>26</v>
      </c>
      <c r="E3425" s="14"/>
      <c r="F3425" s="55"/>
      <c r="G3425" s="14"/>
      <c r="H3425" s="14"/>
    </row>
    <row r="3426" spans="3:11" x14ac:dyDescent="0.3">
      <c r="C3426" s="63" t="s">
        <v>202</v>
      </c>
      <c r="D3426" s="26" t="s">
        <v>670</v>
      </c>
      <c r="E3426" s="27" t="s">
        <v>617</v>
      </c>
      <c r="F3426" s="59">
        <v>1.25</v>
      </c>
      <c r="G3426" s="19">
        <f>VLOOKUP(D3426,upahbahan,3,FALSE)</f>
        <v>300000</v>
      </c>
      <c r="H3426" s="19">
        <f t="shared" ref="H3426" si="360">F3426*G3426</f>
        <v>375000</v>
      </c>
    </row>
    <row r="3427" spans="3:11" x14ac:dyDescent="0.3">
      <c r="C3427" s="21" t="s">
        <v>29</v>
      </c>
      <c r="D3427" s="22"/>
      <c r="E3427" s="22"/>
      <c r="F3427" s="22"/>
      <c r="G3427" s="28"/>
      <c r="H3427" s="19">
        <f>SUM(H3426:H3426)</f>
        <v>375000</v>
      </c>
    </row>
    <row r="3428" spans="3:11" x14ac:dyDescent="0.25">
      <c r="C3428" s="12" t="s">
        <v>30</v>
      </c>
      <c r="D3428" s="13" t="s">
        <v>31</v>
      </c>
      <c r="E3428" s="14"/>
      <c r="F3428" s="14"/>
      <c r="G3428" s="14"/>
      <c r="H3428" s="14"/>
    </row>
    <row r="3429" spans="3:11" x14ac:dyDescent="0.3">
      <c r="C3429" s="21" t="s">
        <v>32</v>
      </c>
      <c r="D3429" s="22"/>
      <c r="E3429" s="22"/>
      <c r="F3429" s="22"/>
      <c r="G3429" s="28"/>
      <c r="H3429" s="29">
        <v>0</v>
      </c>
    </row>
    <row r="3430" spans="3:11" x14ac:dyDescent="0.3">
      <c r="C3430" s="30" t="s">
        <v>33</v>
      </c>
      <c r="D3430" s="31" t="s">
        <v>34</v>
      </c>
      <c r="E3430" s="32"/>
      <c r="F3430" s="32"/>
      <c r="G3430" s="33"/>
      <c r="H3430" s="46">
        <f>H3429+H3427+H3424</f>
        <v>420655</v>
      </c>
      <c r="I3430" s="47"/>
    </row>
    <row r="3431" spans="3:11" x14ac:dyDescent="0.3">
      <c r="C3431" s="30" t="s">
        <v>35</v>
      </c>
      <c r="D3431" s="31" t="s">
        <v>36</v>
      </c>
      <c r="E3431" s="32"/>
      <c r="F3431" s="33"/>
      <c r="G3431" s="34">
        <f>$M$9</f>
        <v>0.1</v>
      </c>
      <c r="H3431" s="19">
        <f>H3430*G3431</f>
        <v>42065.5</v>
      </c>
      <c r="I3431" s="47"/>
    </row>
    <row r="3432" spans="3:11" x14ac:dyDescent="0.3">
      <c r="C3432" s="30" t="s">
        <v>37</v>
      </c>
      <c r="D3432" s="31" t="s">
        <v>38</v>
      </c>
      <c r="E3432" s="32"/>
      <c r="F3432" s="32"/>
      <c r="G3432" s="33"/>
      <c r="H3432" s="48">
        <f>SUM(H3430:H3431)</f>
        <v>462720.5</v>
      </c>
      <c r="I3432" s="47"/>
    </row>
    <row r="3433" spans="3:11" x14ac:dyDescent="0.3">
      <c r="C3433" s="50"/>
      <c r="D3433" s="51"/>
      <c r="E3433" s="51"/>
      <c r="F3433" s="51"/>
      <c r="G3433" s="51"/>
      <c r="H3433" s="52"/>
    </row>
    <row r="3434" spans="3:11" x14ac:dyDescent="0.3">
      <c r="C3434" s="40" t="s">
        <v>671</v>
      </c>
      <c r="D3434" s="68" t="s">
        <v>672</v>
      </c>
      <c r="E3434" s="44"/>
      <c r="F3434" s="44"/>
      <c r="G3434" s="44"/>
      <c r="H3434" s="44"/>
      <c r="I3434" s="10">
        <f>ROUNDDOWN(H3449,0)</f>
        <v>490220</v>
      </c>
      <c r="J3434" s="15" t="s">
        <v>595</v>
      </c>
      <c r="K3434" s="39"/>
    </row>
    <row r="3435" spans="3:11" ht="27.6" x14ac:dyDescent="0.3">
      <c r="C3435" s="11" t="s">
        <v>9</v>
      </c>
      <c r="D3435" s="11" t="s">
        <v>10</v>
      </c>
      <c r="E3435" s="11" t="s">
        <v>11</v>
      </c>
      <c r="F3435" s="11" t="s">
        <v>12</v>
      </c>
      <c r="G3435" s="11" t="s">
        <v>13</v>
      </c>
      <c r="H3435" s="11" t="s">
        <v>14</v>
      </c>
    </row>
    <row r="3436" spans="3:11" x14ac:dyDescent="0.25">
      <c r="C3436" s="12" t="s">
        <v>15</v>
      </c>
      <c r="D3436" s="13" t="s">
        <v>16</v>
      </c>
      <c r="E3436" s="14"/>
      <c r="F3436" s="14"/>
      <c r="G3436" s="14"/>
      <c r="H3436" s="14"/>
    </row>
    <row r="3437" spans="3:11" x14ac:dyDescent="0.3">
      <c r="C3437" s="16">
        <v>1</v>
      </c>
      <c r="D3437" s="13" t="s">
        <v>18</v>
      </c>
      <c r="E3437" s="17" t="s">
        <v>19</v>
      </c>
      <c r="F3437" s="18">
        <v>0.11899999999999999</v>
      </c>
      <c r="G3437" s="19">
        <f>VLOOKUP(D3437,upahbahan,3,FALSE)</f>
        <v>100000</v>
      </c>
      <c r="H3437" s="19">
        <f t="shared" ref="H3437:H3440" si="361">F3437*G3437</f>
        <v>11900</v>
      </c>
    </row>
    <row r="3438" spans="3:11" x14ac:dyDescent="0.3">
      <c r="C3438" s="16">
        <v>2</v>
      </c>
      <c r="D3438" s="13" t="s">
        <v>214</v>
      </c>
      <c r="E3438" s="17" t="s">
        <v>19</v>
      </c>
      <c r="F3438" s="18">
        <v>0.19900000000000001</v>
      </c>
      <c r="G3438" s="19">
        <f>VLOOKUP(D3438,upahbahan,3,FALSE)</f>
        <v>145000</v>
      </c>
      <c r="H3438" s="19">
        <f t="shared" si="361"/>
        <v>28855</v>
      </c>
    </row>
    <row r="3439" spans="3:11" x14ac:dyDescent="0.3">
      <c r="C3439" s="16">
        <v>3</v>
      </c>
      <c r="D3439" s="13" t="s">
        <v>22</v>
      </c>
      <c r="E3439" s="17" t="s">
        <v>19</v>
      </c>
      <c r="F3439" s="18">
        <v>0.02</v>
      </c>
      <c r="G3439" s="19">
        <f>VLOOKUP(D3439,upahbahan,3,FALSE)</f>
        <v>175000</v>
      </c>
      <c r="H3439" s="19">
        <f t="shared" si="361"/>
        <v>3500</v>
      </c>
    </row>
    <row r="3440" spans="3:11" x14ac:dyDescent="0.3">
      <c r="C3440" s="16">
        <v>4</v>
      </c>
      <c r="D3440" s="13" t="s">
        <v>23</v>
      </c>
      <c r="E3440" s="17" t="s">
        <v>19</v>
      </c>
      <c r="F3440" s="18">
        <v>7.0000000000000001E-3</v>
      </c>
      <c r="G3440" s="19">
        <f>VLOOKUP(D3440,upahbahan,3,FALSE)</f>
        <v>200000</v>
      </c>
      <c r="H3440" s="19">
        <f t="shared" si="361"/>
        <v>1400</v>
      </c>
    </row>
    <row r="3441" spans="3:11" x14ac:dyDescent="0.3">
      <c r="C3441" s="21" t="s">
        <v>24</v>
      </c>
      <c r="D3441" s="22"/>
      <c r="E3441" s="22"/>
      <c r="F3441" s="54"/>
      <c r="G3441" s="24"/>
      <c r="H3441" s="19">
        <f>SUM(H3437:H3440)</f>
        <v>45655</v>
      </c>
      <c r="I3441" s="25"/>
    </row>
    <row r="3442" spans="3:11" x14ac:dyDescent="0.25">
      <c r="C3442" s="12" t="s">
        <v>25</v>
      </c>
      <c r="D3442" s="13" t="s">
        <v>26</v>
      </c>
      <c r="E3442" s="14"/>
      <c r="F3442" s="55"/>
      <c r="G3442" s="14"/>
      <c r="H3442" s="14"/>
    </row>
    <row r="3443" spans="3:11" x14ac:dyDescent="0.3">
      <c r="C3443" s="63" t="s">
        <v>202</v>
      </c>
      <c r="D3443" s="26" t="s">
        <v>673</v>
      </c>
      <c r="E3443" s="27" t="s">
        <v>617</v>
      </c>
      <c r="F3443" s="59">
        <v>1.25</v>
      </c>
      <c r="G3443" s="19">
        <f>VLOOKUP(D3443,upahbahan,3,FALSE)</f>
        <v>320000</v>
      </c>
      <c r="H3443" s="19">
        <f t="shared" ref="H3443" si="362">F3443*G3443</f>
        <v>400000</v>
      </c>
    </row>
    <row r="3444" spans="3:11" x14ac:dyDescent="0.3">
      <c r="C3444" s="21" t="s">
        <v>29</v>
      </c>
      <c r="D3444" s="22"/>
      <c r="E3444" s="22"/>
      <c r="F3444" s="22"/>
      <c r="G3444" s="28"/>
      <c r="H3444" s="19">
        <f>SUM(H3443:H3443)</f>
        <v>400000</v>
      </c>
    </row>
    <row r="3445" spans="3:11" x14ac:dyDescent="0.25">
      <c r="C3445" s="12" t="s">
        <v>30</v>
      </c>
      <c r="D3445" s="13" t="s">
        <v>31</v>
      </c>
      <c r="E3445" s="14"/>
      <c r="F3445" s="14"/>
      <c r="G3445" s="14"/>
      <c r="H3445" s="14"/>
    </row>
    <row r="3446" spans="3:11" x14ac:dyDescent="0.3">
      <c r="C3446" s="21" t="s">
        <v>32</v>
      </c>
      <c r="D3446" s="22"/>
      <c r="E3446" s="22"/>
      <c r="F3446" s="22"/>
      <c r="G3446" s="28"/>
      <c r="H3446" s="29">
        <v>0</v>
      </c>
    </row>
    <row r="3447" spans="3:11" x14ac:dyDescent="0.3">
      <c r="C3447" s="30" t="s">
        <v>33</v>
      </c>
      <c r="D3447" s="31" t="s">
        <v>34</v>
      </c>
      <c r="E3447" s="32"/>
      <c r="F3447" s="32"/>
      <c r="G3447" s="33"/>
      <c r="H3447" s="46">
        <f>H3446+H3444+H3441</f>
        <v>445655</v>
      </c>
      <c r="I3447" s="47"/>
    </row>
    <row r="3448" spans="3:11" x14ac:dyDescent="0.3">
      <c r="C3448" s="30" t="s">
        <v>35</v>
      </c>
      <c r="D3448" s="31" t="s">
        <v>36</v>
      </c>
      <c r="E3448" s="32"/>
      <c r="F3448" s="33"/>
      <c r="G3448" s="34">
        <f>$M$9</f>
        <v>0.1</v>
      </c>
      <c r="H3448" s="19">
        <f>H3447*G3448</f>
        <v>44565.5</v>
      </c>
      <c r="I3448" s="47"/>
    </row>
    <row r="3449" spans="3:11" x14ac:dyDescent="0.3">
      <c r="C3449" s="30" t="s">
        <v>37</v>
      </c>
      <c r="D3449" s="31" t="s">
        <v>38</v>
      </c>
      <c r="E3449" s="32"/>
      <c r="F3449" s="32"/>
      <c r="G3449" s="33"/>
      <c r="H3449" s="48">
        <f>SUM(H3447:H3448)</f>
        <v>490220.5</v>
      </c>
      <c r="I3449" s="47"/>
    </row>
    <row r="3450" spans="3:11" x14ac:dyDescent="0.3">
      <c r="C3450" s="50"/>
      <c r="D3450" s="51"/>
      <c r="E3450" s="51"/>
      <c r="F3450" s="51"/>
      <c r="G3450" s="51"/>
      <c r="H3450" s="52"/>
    </row>
    <row r="3451" spans="3:11" x14ac:dyDescent="0.3">
      <c r="C3451" s="40" t="s">
        <v>674</v>
      </c>
      <c r="D3451" s="68" t="s">
        <v>675</v>
      </c>
      <c r="E3451" s="44"/>
      <c r="F3451" s="44"/>
      <c r="G3451" s="44"/>
      <c r="H3451" s="44"/>
      <c r="I3451" s="10">
        <f>ROUNDDOWN(H3466,0)</f>
        <v>556446</v>
      </c>
      <c r="J3451" s="15" t="s">
        <v>595</v>
      </c>
      <c r="K3451" s="39"/>
    </row>
    <row r="3452" spans="3:11" ht="27.6" x14ac:dyDescent="0.3">
      <c r="C3452" s="11" t="s">
        <v>9</v>
      </c>
      <c r="D3452" s="11" t="s">
        <v>10</v>
      </c>
      <c r="E3452" s="11" t="s">
        <v>11</v>
      </c>
      <c r="F3452" s="11" t="s">
        <v>12</v>
      </c>
      <c r="G3452" s="11" t="s">
        <v>13</v>
      </c>
      <c r="H3452" s="11" t="s">
        <v>14</v>
      </c>
    </row>
    <row r="3453" spans="3:11" x14ac:dyDescent="0.25">
      <c r="C3453" s="12" t="s">
        <v>15</v>
      </c>
      <c r="D3453" s="13" t="s">
        <v>16</v>
      </c>
      <c r="E3453" s="14"/>
      <c r="F3453" s="14"/>
      <c r="G3453" s="14"/>
      <c r="H3453" s="14"/>
    </row>
    <row r="3454" spans="3:11" x14ac:dyDescent="0.3">
      <c r="C3454" s="16">
        <v>1</v>
      </c>
      <c r="D3454" s="13" t="s">
        <v>18</v>
      </c>
      <c r="E3454" s="17" t="s">
        <v>19</v>
      </c>
      <c r="F3454" s="18">
        <v>0.17899999999999999</v>
      </c>
      <c r="G3454" s="19">
        <f>VLOOKUP(D3454,upahbahan,3,FALSE)</f>
        <v>100000</v>
      </c>
      <c r="H3454" s="19">
        <f t="shared" ref="H3454:H3457" si="363">F3454*G3454</f>
        <v>17900</v>
      </c>
    </row>
    <row r="3455" spans="3:11" x14ac:dyDescent="0.3">
      <c r="C3455" s="16">
        <v>2</v>
      </c>
      <c r="D3455" s="13" t="s">
        <v>214</v>
      </c>
      <c r="E3455" s="17" t="s">
        <v>19</v>
      </c>
      <c r="F3455" s="18">
        <v>0.29799999999999999</v>
      </c>
      <c r="G3455" s="19">
        <f>VLOOKUP(D3455,upahbahan,3,FALSE)</f>
        <v>145000</v>
      </c>
      <c r="H3455" s="19">
        <f t="shared" si="363"/>
        <v>43210</v>
      </c>
    </row>
    <row r="3456" spans="3:11" x14ac:dyDescent="0.3">
      <c r="C3456" s="16">
        <v>3</v>
      </c>
      <c r="D3456" s="13" t="s">
        <v>22</v>
      </c>
      <c r="E3456" s="17" t="s">
        <v>19</v>
      </c>
      <c r="F3456" s="18">
        <v>0.03</v>
      </c>
      <c r="G3456" s="19">
        <f>VLOOKUP(D3456,upahbahan,3,FALSE)</f>
        <v>175000</v>
      </c>
      <c r="H3456" s="19">
        <f t="shared" si="363"/>
        <v>5250</v>
      </c>
    </row>
    <row r="3457" spans="3:11" x14ac:dyDescent="0.3">
      <c r="C3457" s="16">
        <v>4</v>
      </c>
      <c r="D3457" s="13" t="s">
        <v>23</v>
      </c>
      <c r="E3457" s="17" t="s">
        <v>19</v>
      </c>
      <c r="F3457" s="18">
        <v>0.01</v>
      </c>
      <c r="G3457" s="19">
        <f>VLOOKUP(D3457,upahbahan,3,FALSE)</f>
        <v>200000</v>
      </c>
      <c r="H3457" s="19">
        <f t="shared" si="363"/>
        <v>2000</v>
      </c>
    </row>
    <row r="3458" spans="3:11" x14ac:dyDescent="0.3">
      <c r="C3458" s="21" t="s">
        <v>24</v>
      </c>
      <c r="D3458" s="22"/>
      <c r="E3458" s="22"/>
      <c r="F3458" s="54"/>
      <c r="G3458" s="24"/>
      <c r="H3458" s="19">
        <f>SUM(H3454:H3457)</f>
        <v>68360</v>
      </c>
      <c r="I3458" s="25"/>
    </row>
    <row r="3459" spans="3:11" x14ac:dyDescent="0.25">
      <c r="C3459" s="12" t="s">
        <v>25</v>
      </c>
      <c r="D3459" s="13" t="s">
        <v>26</v>
      </c>
      <c r="E3459" s="14"/>
      <c r="F3459" s="55">
        <v>1.2</v>
      </c>
      <c r="G3459" s="14"/>
      <c r="H3459" s="14"/>
    </row>
    <row r="3460" spans="3:11" x14ac:dyDescent="0.3">
      <c r="C3460" s="63" t="s">
        <v>202</v>
      </c>
      <c r="D3460" s="26" t="s">
        <v>676</v>
      </c>
      <c r="E3460" s="27" t="s">
        <v>617</v>
      </c>
      <c r="F3460" s="59">
        <v>1.25</v>
      </c>
      <c r="G3460" s="19">
        <f>VLOOKUP(D3460,upahbahan,3,FALSE)</f>
        <v>350000</v>
      </c>
      <c r="H3460" s="19">
        <f t="shared" ref="H3460" si="364">F3460*G3460</f>
        <v>437500</v>
      </c>
    </row>
    <row r="3461" spans="3:11" x14ac:dyDescent="0.3">
      <c r="C3461" s="21" t="s">
        <v>29</v>
      </c>
      <c r="D3461" s="22"/>
      <c r="E3461" s="22"/>
      <c r="F3461" s="22"/>
      <c r="G3461" s="28"/>
      <c r="H3461" s="19">
        <f>SUM(H3460:H3460)</f>
        <v>437500</v>
      </c>
    </row>
    <row r="3462" spans="3:11" x14ac:dyDescent="0.25">
      <c r="C3462" s="12" t="s">
        <v>30</v>
      </c>
      <c r="D3462" s="13" t="s">
        <v>31</v>
      </c>
      <c r="E3462" s="14"/>
      <c r="F3462" s="14"/>
      <c r="G3462" s="14"/>
      <c r="H3462" s="14"/>
    </row>
    <row r="3463" spans="3:11" x14ac:dyDescent="0.3">
      <c r="C3463" s="21" t="s">
        <v>32</v>
      </c>
      <c r="D3463" s="22"/>
      <c r="E3463" s="22"/>
      <c r="F3463" s="22"/>
      <c r="G3463" s="28"/>
      <c r="H3463" s="29">
        <v>0</v>
      </c>
    </row>
    <row r="3464" spans="3:11" x14ac:dyDescent="0.3">
      <c r="C3464" s="30" t="s">
        <v>33</v>
      </c>
      <c r="D3464" s="31" t="s">
        <v>34</v>
      </c>
      <c r="E3464" s="32"/>
      <c r="F3464" s="32"/>
      <c r="G3464" s="33"/>
      <c r="H3464" s="46">
        <f>H3463+H3461+H3458</f>
        <v>505860</v>
      </c>
      <c r="I3464" s="47"/>
    </row>
    <row r="3465" spans="3:11" x14ac:dyDescent="0.3">
      <c r="C3465" s="30" t="s">
        <v>35</v>
      </c>
      <c r="D3465" s="31" t="s">
        <v>36</v>
      </c>
      <c r="E3465" s="32"/>
      <c r="F3465" s="33"/>
      <c r="G3465" s="34">
        <f>$M$9</f>
        <v>0.1</v>
      </c>
      <c r="H3465" s="19">
        <f>H3464*G3465</f>
        <v>50586</v>
      </c>
      <c r="I3465" s="47"/>
    </row>
    <row r="3466" spans="3:11" x14ac:dyDescent="0.3">
      <c r="C3466" s="30" t="s">
        <v>37</v>
      </c>
      <c r="D3466" s="31" t="s">
        <v>38</v>
      </c>
      <c r="E3466" s="32"/>
      <c r="F3466" s="32"/>
      <c r="G3466" s="33"/>
      <c r="H3466" s="48">
        <f>SUM(H3464:H3465)</f>
        <v>556446</v>
      </c>
      <c r="I3466" s="47"/>
    </row>
    <row r="3467" spans="3:11" x14ac:dyDescent="0.3">
      <c r="C3467" s="50"/>
      <c r="D3467" s="51"/>
      <c r="E3467" s="51"/>
      <c r="F3467" s="51"/>
      <c r="G3467" s="51"/>
      <c r="H3467" s="52"/>
    </row>
    <row r="3468" spans="3:11" x14ac:dyDescent="0.3">
      <c r="C3468" s="40" t="s">
        <v>677</v>
      </c>
      <c r="D3468" s="68" t="s">
        <v>678</v>
      </c>
      <c r="E3468" s="44"/>
      <c r="F3468" s="44"/>
      <c r="G3468" s="44"/>
      <c r="H3468" s="44"/>
      <c r="I3468" s="10">
        <f>ROUNDDOWN(H3483,0)</f>
        <v>531470</v>
      </c>
      <c r="J3468" s="15" t="s">
        <v>595</v>
      </c>
      <c r="K3468" s="39"/>
    </row>
    <row r="3469" spans="3:11" ht="27.6" x14ac:dyDescent="0.3">
      <c r="C3469" s="11" t="s">
        <v>9</v>
      </c>
      <c r="D3469" s="11" t="s">
        <v>10</v>
      </c>
      <c r="E3469" s="11" t="s">
        <v>11</v>
      </c>
      <c r="F3469" s="11" t="s">
        <v>12</v>
      </c>
      <c r="G3469" s="11" t="s">
        <v>13</v>
      </c>
      <c r="H3469" s="11" t="s">
        <v>14</v>
      </c>
    </row>
    <row r="3470" spans="3:11" x14ac:dyDescent="0.25">
      <c r="C3470" s="12" t="s">
        <v>15</v>
      </c>
      <c r="D3470" s="13" t="s">
        <v>16</v>
      </c>
      <c r="E3470" s="14"/>
      <c r="F3470" s="14"/>
      <c r="G3470" s="14"/>
      <c r="H3470" s="14"/>
    </row>
    <row r="3471" spans="3:11" x14ac:dyDescent="0.3">
      <c r="C3471" s="16">
        <v>1</v>
      </c>
      <c r="D3471" s="13" t="s">
        <v>18</v>
      </c>
      <c r="E3471" s="17" t="s">
        <v>19</v>
      </c>
      <c r="F3471" s="18">
        <v>0.11899999999999999</v>
      </c>
      <c r="G3471" s="19">
        <f>VLOOKUP(D3471,upahbahan,3,FALSE)</f>
        <v>100000</v>
      </c>
      <c r="H3471" s="19">
        <f t="shared" ref="H3471:H3474" si="365">F3471*G3471</f>
        <v>11900</v>
      </c>
    </row>
    <row r="3472" spans="3:11" x14ac:dyDescent="0.3">
      <c r="C3472" s="16">
        <v>2</v>
      </c>
      <c r="D3472" s="13" t="s">
        <v>214</v>
      </c>
      <c r="E3472" s="17" t="s">
        <v>19</v>
      </c>
      <c r="F3472" s="18">
        <v>0.19900000000000001</v>
      </c>
      <c r="G3472" s="19">
        <f>VLOOKUP(D3472,upahbahan,3,FALSE)</f>
        <v>145000</v>
      </c>
      <c r="H3472" s="19">
        <f t="shared" si="365"/>
        <v>28855</v>
      </c>
    </row>
    <row r="3473" spans="3:11" x14ac:dyDescent="0.3">
      <c r="C3473" s="16">
        <v>3</v>
      </c>
      <c r="D3473" s="13" t="s">
        <v>22</v>
      </c>
      <c r="E3473" s="17" t="s">
        <v>19</v>
      </c>
      <c r="F3473" s="18">
        <v>0.02</v>
      </c>
      <c r="G3473" s="19">
        <f>VLOOKUP(D3473,upahbahan,3,FALSE)</f>
        <v>175000</v>
      </c>
      <c r="H3473" s="19">
        <f t="shared" si="365"/>
        <v>3500</v>
      </c>
    </row>
    <row r="3474" spans="3:11" x14ac:dyDescent="0.3">
      <c r="C3474" s="16">
        <v>4</v>
      </c>
      <c r="D3474" s="13" t="s">
        <v>23</v>
      </c>
      <c r="E3474" s="17" t="s">
        <v>19</v>
      </c>
      <c r="F3474" s="18">
        <v>7.0000000000000001E-3</v>
      </c>
      <c r="G3474" s="19">
        <f>VLOOKUP(D3474,upahbahan,3,FALSE)</f>
        <v>200000</v>
      </c>
      <c r="H3474" s="19">
        <f t="shared" si="365"/>
        <v>1400</v>
      </c>
    </row>
    <row r="3475" spans="3:11" x14ac:dyDescent="0.3">
      <c r="C3475" s="21" t="s">
        <v>24</v>
      </c>
      <c r="D3475" s="22"/>
      <c r="E3475" s="22"/>
      <c r="F3475" s="54"/>
      <c r="G3475" s="24"/>
      <c r="H3475" s="19">
        <f>SUM(H3471:H3474)</f>
        <v>45655</v>
      </c>
      <c r="I3475" s="25"/>
    </row>
    <row r="3476" spans="3:11" x14ac:dyDescent="0.25">
      <c r="C3476" s="12" t="s">
        <v>25</v>
      </c>
      <c r="D3476" s="13" t="s">
        <v>26</v>
      </c>
      <c r="E3476" s="14"/>
      <c r="F3476" s="55"/>
      <c r="G3476" s="14"/>
      <c r="H3476" s="14"/>
    </row>
    <row r="3477" spans="3:11" x14ac:dyDescent="0.3">
      <c r="C3477" s="63" t="s">
        <v>202</v>
      </c>
      <c r="D3477" s="26" t="s">
        <v>676</v>
      </c>
      <c r="E3477" s="27" t="s">
        <v>617</v>
      </c>
      <c r="F3477" s="59">
        <v>1.25</v>
      </c>
      <c r="G3477" s="19">
        <f>VLOOKUP(D3477,upahbahan,3,FALSE)</f>
        <v>350000</v>
      </c>
      <c r="H3477" s="19">
        <f t="shared" ref="H3477" si="366">F3477*G3477</f>
        <v>437500</v>
      </c>
    </row>
    <row r="3478" spans="3:11" x14ac:dyDescent="0.3">
      <c r="C3478" s="21" t="s">
        <v>29</v>
      </c>
      <c r="D3478" s="22"/>
      <c r="E3478" s="22"/>
      <c r="F3478" s="22"/>
      <c r="G3478" s="28"/>
      <c r="H3478" s="19">
        <f>SUM(H3477:H3477)</f>
        <v>437500</v>
      </c>
    </row>
    <row r="3479" spans="3:11" x14ac:dyDescent="0.25">
      <c r="C3479" s="12" t="s">
        <v>30</v>
      </c>
      <c r="D3479" s="13" t="s">
        <v>31</v>
      </c>
      <c r="E3479" s="14"/>
      <c r="F3479" s="14"/>
      <c r="G3479" s="14"/>
      <c r="H3479" s="14"/>
    </row>
    <row r="3480" spans="3:11" x14ac:dyDescent="0.3">
      <c r="C3480" s="21" t="s">
        <v>32</v>
      </c>
      <c r="D3480" s="22"/>
      <c r="E3480" s="22"/>
      <c r="F3480" s="22"/>
      <c r="G3480" s="28"/>
      <c r="H3480" s="29">
        <v>0</v>
      </c>
    </row>
    <row r="3481" spans="3:11" x14ac:dyDescent="0.3">
      <c r="C3481" s="30" t="s">
        <v>33</v>
      </c>
      <c r="D3481" s="31" t="s">
        <v>34</v>
      </c>
      <c r="E3481" s="32"/>
      <c r="F3481" s="32"/>
      <c r="G3481" s="33"/>
      <c r="H3481" s="46">
        <f>H3480+H3478+H3475</f>
        <v>483155</v>
      </c>
      <c r="I3481" s="47"/>
    </row>
    <row r="3482" spans="3:11" x14ac:dyDescent="0.3">
      <c r="C3482" s="30" t="s">
        <v>35</v>
      </c>
      <c r="D3482" s="31" t="s">
        <v>36</v>
      </c>
      <c r="E3482" s="32"/>
      <c r="F3482" s="33"/>
      <c r="G3482" s="34">
        <f>$M$9</f>
        <v>0.1</v>
      </c>
      <c r="H3482" s="19">
        <f>H3481*G3482</f>
        <v>48315.5</v>
      </c>
      <c r="I3482" s="47"/>
    </row>
    <row r="3483" spans="3:11" x14ac:dyDescent="0.3">
      <c r="C3483" s="30" t="s">
        <v>37</v>
      </c>
      <c r="D3483" s="31" t="s">
        <v>38</v>
      </c>
      <c r="E3483" s="32"/>
      <c r="F3483" s="32"/>
      <c r="G3483" s="33"/>
      <c r="H3483" s="48">
        <f>SUM(H3481:H3482)</f>
        <v>531470.5</v>
      </c>
      <c r="I3483" s="47"/>
    </row>
    <row r="3484" spans="3:11" x14ac:dyDescent="0.3">
      <c r="C3484" s="50"/>
      <c r="D3484" s="51"/>
      <c r="E3484" s="51"/>
      <c r="F3484" s="51"/>
      <c r="G3484" s="51"/>
      <c r="H3484" s="52"/>
    </row>
    <row r="3485" spans="3:11" x14ac:dyDescent="0.3">
      <c r="C3485" s="40" t="s">
        <v>679</v>
      </c>
      <c r="D3485" s="68" t="s">
        <v>680</v>
      </c>
      <c r="E3485" s="44"/>
      <c r="F3485" s="44"/>
      <c r="G3485" s="44"/>
      <c r="H3485" s="44"/>
      <c r="I3485" s="10">
        <f>ROUNDDOWN(H3500,0)</f>
        <v>563596</v>
      </c>
      <c r="J3485" s="15" t="s">
        <v>595</v>
      </c>
      <c r="K3485" s="39"/>
    </row>
    <row r="3486" spans="3:11" ht="27.6" x14ac:dyDescent="0.3">
      <c r="C3486" s="11" t="s">
        <v>9</v>
      </c>
      <c r="D3486" s="11" t="s">
        <v>10</v>
      </c>
      <c r="E3486" s="11" t="s">
        <v>11</v>
      </c>
      <c r="F3486" s="11" t="s">
        <v>12</v>
      </c>
      <c r="G3486" s="11" t="s">
        <v>13</v>
      </c>
      <c r="H3486" s="11" t="s">
        <v>14</v>
      </c>
    </row>
    <row r="3487" spans="3:11" x14ac:dyDescent="0.25">
      <c r="C3487" s="12" t="s">
        <v>15</v>
      </c>
      <c r="D3487" s="13" t="s">
        <v>16</v>
      </c>
      <c r="E3487" s="14"/>
      <c r="F3487" s="14"/>
      <c r="G3487" s="14"/>
      <c r="H3487" s="14"/>
    </row>
    <row r="3488" spans="3:11" x14ac:dyDescent="0.3">
      <c r="C3488" s="16">
        <v>1</v>
      </c>
      <c r="D3488" s="13" t="s">
        <v>18</v>
      </c>
      <c r="E3488" s="17" t="s">
        <v>19</v>
      </c>
      <c r="F3488" s="18">
        <v>0.17899999999999999</v>
      </c>
      <c r="G3488" s="19">
        <f>VLOOKUP(D3488,upahbahan,3,FALSE)</f>
        <v>100000</v>
      </c>
      <c r="H3488" s="19">
        <f t="shared" ref="H3488:H3491" si="367">F3488*G3488</f>
        <v>17900</v>
      </c>
    </row>
    <row r="3489" spans="3:11" x14ac:dyDescent="0.3">
      <c r="C3489" s="16">
        <v>2</v>
      </c>
      <c r="D3489" s="13" t="s">
        <v>214</v>
      </c>
      <c r="E3489" s="17" t="s">
        <v>19</v>
      </c>
      <c r="F3489" s="18">
        <v>0.29799999999999999</v>
      </c>
      <c r="G3489" s="19">
        <f>VLOOKUP(D3489,upahbahan,3,FALSE)</f>
        <v>145000</v>
      </c>
      <c r="H3489" s="19">
        <f t="shared" si="367"/>
        <v>43210</v>
      </c>
    </row>
    <row r="3490" spans="3:11" x14ac:dyDescent="0.3">
      <c r="C3490" s="16">
        <v>3</v>
      </c>
      <c r="D3490" s="13" t="s">
        <v>22</v>
      </c>
      <c r="E3490" s="17" t="s">
        <v>19</v>
      </c>
      <c r="F3490" s="18">
        <v>0.03</v>
      </c>
      <c r="G3490" s="19">
        <f>VLOOKUP(D3490,upahbahan,3,FALSE)</f>
        <v>175000</v>
      </c>
      <c r="H3490" s="19">
        <f t="shared" si="367"/>
        <v>5250</v>
      </c>
    </row>
    <row r="3491" spans="3:11" x14ac:dyDescent="0.3">
      <c r="C3491" s="16">
        <v>4</v>
      </c>
      <c r="D3491" s="13" t="s">
        <v>23</v>
      </c>
      <c r="E3491" s="17" t="s">
        <v>19</v>
      </c>
      <c r="F3491" s="18">
        <v>0.01</v>
      </c>
      <c r="G3491" s="19">
        <f>VLOOKUP(D3491,upahbahan,3,FALSE)</f>
        <v>200000</v>
      </c>
      <c r="H3491" s="19">
        <f t="shared" si="367"/>
        <v>2000</v>
      </c>
    </row>
    <row r="3492" spans="3:11" x14ac:dyDescent="0.3">
      <c r="C3492" s="21" t="s">
        <v>24</v>
      </c>
      <c r="D3492" s="22"/>
      <c r="E3492" s="22"/>
      <c r="F3492" s="54"/>
      <c r="G3492" s="24"/>
      <c r="H3492" s="19">
        <f>SUM(H3488:H3491)</f>
        <v>68360</v>
      </c>
      <c r="I3492" s="25"/>
    </row>
    <row r="3493" spans="3:11" x14ac:dyDescent="0.25">
      <c r="C3493" s="12" t="s">
        <v>25</v>
      </c>
      <c r="D3493" s="13" t="s">
        <v>26</v>
      </c>
      <c r="E3493" s="14"/>
      <c r="F3493" s="55"/>
      <c r="G3493" s="14"/>
      <c r="H3493" s="14"/>
    </row>
    <row r="3494" spans="3:11" x14ac:dyDescent="0.3">
      <c r="C3494" s="63" t="s">
        <v>202</v>
      </c>
      <c r="D3494" s="26" t="s">
        <v>681</v>
      </c>
      <c r="E3494" s="27" t="s">
        <v>617</v>
      </c>
      <c r="F3494" s="59">
        <v>1.2</v>
      </c>
      <c r="G3494" s="19">
        <f>VLOOKUP(D3494,upahbahan,3,FALSE)</f>
        <v>370000</v>
      </c>
      <c r="H3494" s="19">
        <f t="shared" ref="H3494" si="368">F3494*G3494</f>
        <v>444000</v>
      </c>
    </row>
    <row r="3495" spans="3:11" x14ac:dyDescent="0.3">
      <c r="C3495" s="21" t="s">
        <v>29</v>
      </c>
      <c r="D3495" s="22"/>
      <c r="E3495" s="22"/>
      <c r="F3495" s="22"/>
      <c r="G3495" s="28"/>
      <c r="H3495" s="19">
        <f>SUM(H3494:H3494)</f>
        <v>444000</v>
      </c>
    </row>
    <row r="3496" spans="3:11" x14ac:dyDescent="0.25">
      <c r="C3496" s="12" t="s">
        <v>30</v>
      </c>
      <c r="D3496" s="13" t="s">
        <v>31</v>
      </c>
      <c r="E3496" s="14"/>
      <c r="F3496" s="14"/>
      <c r="G3496" s="14"/>
      <c r="H3496" s="14"/>
    </row>
    <row r="3497" spans="3:11" x14ac:dyDescent="0.3">
      <c r="C3497" s="21" t="s">
        <v>32</v>
      </c>
      <c r="D3497" s="22"/>
      <c r="E3497" s="22"/>
      <c r="F3497" s="22"/>
      <c r="G3497" s="28"/>
      <c r="H3497" s="29">
        <v>0</v>
      </c>
    </row>
    <row r="3498" spans="3:11" x14ac:dyDescent="0.3">
      <c r="C3498" s="30" t="s">
        <v>33</v>
      </c>
      <c r="D3498" s="31" t="s">
        <v>34</v>
      </c>
      <c r="E3498" s="32"/>
      <c r="F3498" s="32"/>
      <c r="G3498" s="33"/>
      <c r="H3498" s="46">
        <f>H3497+H3495+H3492</f>
        <v>512360</v>
      </c>
      <c r="I3498" s="47"/>
    </row>
    <row r="3499" spans="3:11" x14ac:dyDescent="0.3">
      <c r="C3499" s="30" t="s">
        <v>35</v>
      </c>
      <c r="D3499" s="31" t="s">
        <v>36</v>
      </c>
      <c r="E3499" s="32"/>
      <c r="F3499" s="33"/>
      <c r="G3499" s="34">
        <f>$M$9</f>
        <v>0.1</v>
      </c>
      <c r="H3499" s="19">
        <f>H3498*G3499</f>
        <v>51236</v>
      </c>
      <c r="I3499" s="47"/>
    </row>
    <row r="3500" spans="3:11" x14ac:dyDescent="0.3">
      <c r="C3500" s="30" t="s">
        <v>37</v>
      </c>
      <c r="D3500" s="31" t="s">
        <v>38</v>
      </c>
      <c r="E3500" s="32"/>
      <c r="F3500" s="32"/>
      <c r="G3500" s="33"/>
      <c r="H3500" s="48">
        <f>SUM(H3498:H3499)</f>
        <v>563596</v>
      </c>
      <c r="I3500" s="47"/>
    </row>
    <row r="3501" spans="3:11" x14ac:dyDescent="0.3">
      <c r="C3501" s="50"/>
      <c r="D3501" s="51"/>
      <c r="E3501" s="51"/>
      <c r="F3501" s="51"/>
      <c r="G3501" s="51"/>
      <c r="H3501" s="52"/>
    </row>
    <row r="3502" spans="3:11" x14ac:dyDescent="0.3">
      <c r="C3502" s="40" t="s">
        <v>682</v>
      </c>
      <c r="D3502" s="68" t="s">
        <v>683</v>
      </c>
      <c r="E3502" s="44"/>
      <c r="F3502" s="44"/>
      <c r="G3502" s="44"/>
      <c r="H3502" s="44"/>
      <c r="I3502" s="10">
        <f>ROUNDDOWN(H3517,0)</f>
        <v>589996</v>
      </c>
      <c r="J3502" s="15" t="s">
        <v>595</v>
      </c>
      <c r="K3502" s="39"/>
    </row>
    <row r="3503" spans="3:11" ht="27.6" x14ac:dyDescent="0.3">
      <c r="C3503" s="11" t="s">
        <v>9</v>
      </c>
      <c r="D3503" s="11" t="s">
        <v>10</v>
      </c>
      <c r="E3503" s="11" t="s">
        <v>11</v>
      </c>
      <c r="F3503" s="11" t="s">
        <v>12</v>
      </c>
      <c r="G3503" s="11" t="s">
        <v>13</v>
      </c>
      <c r="H3503" s="11" t="s">
        <v>14</v>
      </c>
    </row>
    <row r="3504" spans="3:11" x14ac:dyDescent="0.25">
      <c r="C3504" s="12" t="s">
        <v>15</v>
      </c>
      <c r="D3504" s="13" t="s">
        <v>16</v>
      </c>
      <c r="E3504" s="14"/>
      <c r="F3504" s="14"/>
      <c r="G3504" s="14"/>
      <c r="H3504" s="14"/>
    </row>
    <row r="3505" spans="3:11" x14ac:dyDescent="0.3">
      <c r="C3505" s="16">
        <v>1</v>
      </c>
      <c r="D3505" s="13" t="s">
        <v>18</v>
      </c>
      <c r="E3505" s="17" t="s">
        <v>19</v>
      </c>
      <c r="F3505" s="18">
        <v>0.17899999999999999</v>
      </c>
      <c r="G3505" s="19">
        <f>VLOOKUP(D3505,upahbahan,3,FALSE)</f>
        <v>100000</v>
      </c>
      <c r="H3505" s="19">
        <f t="shared" ref="H3505:H3508" si="369">F3505*G3505</f>
        <v>17900</v>
      </c>
    </row>
    <row r="3506" spans="3:11" x14ac:dyDescent="0.3">
      <c r="C3506" s="16">
        <v>2</v>
      </c>
      <c r="D3506" s="13" t="s">
        <v>214</v>
      </c>
      <c r="E3506" s="17" t="s">
        <v>19</v>
      </c>
      <c r="F3506" s="18">
        <v>0.29799999999999999</v>
      </c>
      <c r="G3506" s="19">
        <f>VLOOKUP(D3506,upahbahan,3,FALSE)</f>
        <v>145000</v>
      </c>
      <c r="H3506" s="19">
        <f t="shared" si="369"/>
        <v>43210</v>
      </c>
    </row>
    <row r="3507" spans="3:11" x14ac:dyDescent="0.3">
      <c r="C3507" s="16">
        <v>3</v>
      </c>
      <c r="D3507" s="13" t="s">
        <v>22</v>
      </c>
      <c r="E3507" s="17" t="s">
        <v>19</v>
      </c>
      <c r="F3507" s="18">
        <v>0.03</v>
      </c>
      <c r="G3507" s="19">
        <f>VLOOKUP(D3507,upahbahan,3,FALSE)</f>
        <v>175000</v>
      </c>
      <c r="H3507" s="19">
        <f t="shared" si="369"/>
        <v>5250</v>
      </c>
    </row>
    <row r="3508" spans="3:11" x14ac:dyDescent="0.3">
      <c r="C3508" s="16">
        <v>4</v>
      </c>
      <c r="D3508" s="13" t="s">
        <v>23</v>
      </c>
      <c r="E3508" s="17" t="s">
        <v>19</v>
      </c>
      <c r="F3508" s="18">
        <v>0.01</v>
      </c>
      <c r="G3508" s="19">
        <f>VLOOKUP(D3508,upahbahan,3,FALSE)</f>
        <v>200000</v>
      </c>
      <c r="H3508" s="19">
        <f t="shared" si="369"/>
        <v>2000</v>
      </c>
    </row>
    <row r="3509" spans="3:11" x14ac:dyDescent="0.3">
      <c r="C3509" s="21" t="s">
        <v>24</v>
      </c>
      <c r="D3509" s="22"/>
      <c r="E3509" s="22"/>
      <c r="F3509" s="54"/>
      <c r="G3509" s="24"/>
      <c r="H3509" s="19">
        <f>SUM(H3505:H3508)</f>
        <v>68360</v>
      </c>
      <c r="I3509" s="25"/>
    </row>
    <row r="3510" spans="3:11" x14ac:dyDescent="0.25">
      <c r="C3510" s="12" t="s">
        <v>25</v>
      </c>
      <c r="D3510" s="13" t="s">
        <v>26</v>
      </c>
      <c r="E3510" s="14"/>
      <c r="F3510" s="55"/>
      <c r="G3510" s="14"/>
      <c r="H3510" s="14"/>
    </row>
    <row r="3511" spans="3:11" x14ac:dyDescent="0.3">
      <c r="C3511" s="63" t="s">
        <v>202</v>
      </c>
      <c r="D3511" s="26" t="s">
        <v>684</v>
      </c>
      <c r="E3511" s="27" t="s">
        <v>617</v>
      </c>
      <c r="F3511" s="59">
        <v>1.2</v>
      </c>
      <c r="G3511" s="19">
        <f>VLOOKUP(D3511,upahbahan,3,FALSE)</f>
        <v>390000</v>
      </c>
      <c r="H3511" s="19">
        <f t="shared" ref="H3511" si="370">F3511*G3511</f>
        <v>468000</v>
      </c>
    </row>
    <row r="3512" spans="3:11" x14ac:dyDescent="0.3">
      <c r="C3512" s="21" t="s">
        <v>29</v>
      </c>
      <c r="D3512" s="22"/>
      <c r="E3512" s="22"/>
      <c r="F3512" s="22"/>
      <c r="G3512" s="28"/>
      <c r="H3512" s="19">
        <f>SUM(H3511:H3511)</f>
        <v>468000</v>
      </c>
    </row>
    <row r="3513" spans="3:11" x14ac:dyDescent="0.25">
      <c r="C3513" s="12" t="s">
        <v>30</v>
      </c>
      <c r="D3513" s="13" t="s">
        <v>31</v>
      </c>
      <c r="E3513" s="14"/>
      <c r="F3513" s="14"/>
      <c r="G3513" s="14"/>
      <c r="H3513" s="14"/>
    </row>
    <row r="3514" spans="3:11" x14ac:dyDescent="0.3">
      <c r="C3514" s="21" t="s">
        <v>32</v>
      </c>
      <c r="D3514" s="22"/>
      <c r="E3514" s="22"/>
      <c r="F3514" s="22"/>
      <c r="G3514" s="28"/>
      <c r="H3514" s="29">
        <v>0</v>
      </c>
    </row>
    <row r="3515" spans="3:11" x14ac:dyDescent="0.3">
      <c r="C3515" s="30" t="s">
        <v>33</v>
      </c>
      <c r="D3515" s="31" t="s">
        <v>34</v>
      </c>
      <c r="E3515" s="32"/>
      <c r="F3515" s="32"/>
      <c r="G3515" s="33"/>
      <c r="H3515" s="46">
        <f>H3514+H3512+H3509</f>
        <v>536360</v>
      </c>
      <c r="I3515" s="47"/>
    </row>
    <row r="3516" spans="3:11" x14ac:dyDescent="0.3">
      <c r="C3516" s="30" t="s">
        <v>35</v>
      </c>
      <c r="D3516" s="31" t="s">
        <v>36</v>
      </c>
      <c r="E3516" s="32"/>
      <c r="F3516" s="33"/>
      <c r="G3516" s="34">
        <f>$M$9</f>
        <v>0.1</v>
      </c>
      <c r="H3516" s="19">
        <f>H3515*G3516</f>
        <v>53636</v>
      </c>
      <c r="I3516" s="47"/>
    </row>
    <row r="3517" spans="3:11" x14ac:dyDescent="0.3">
      <c r="C3517" s="30" t="s">
        <v>37</v>
      </c>
      <c r="D3517" s="31" t="s">
        <v>38</v>
      </c>
      <c r="E3517" s="32"/>
      <c r="F3517" s="32"/>
      <c r="G3517" s="33"/>
      <c r="H3517" s="48">
        <f>SUM(H3515:H3516)</f>
        <v>589996</v>
      </c>
      <c r="I3517" s="47"/>
    </row>
    <row r="3518" spans="3:11" x14ac:dyDescent="0.3">
      <c r="C3518" s="50"/>
      <c r="D3518" s="51"/>
      <c r="E3518" s="51"/>
      <c r="F3518" s="51"/>
      <c r="G3518" s="51"/>
      <c r="H3518" s="52"/>
    </row>
    <row r="3519" spans="3:11" x14ac:dyDescent="0.3">
      <c r="C3519" s="40" t="s">
        <v>685</v>
      </c>
      <c r="D3519" s="68" t="s">
        <v>686</v>
      </c>
      <c r="E3519" s="44"/>
      <c r="F3519" s="44"/>
      <c r="G3519" s="44"/>
      <c r="H3519" s="44"/>
      <c r="I3519" s="10">
        <f>ROUNDDOWN(H3534,0)</f>
        <v>603196</v>
      </c>
      <c r="J3519" s="15" t="s">
        <v>595</v>
      </c>
      <c r="K3519" s="39"/>
    </row>
    <row r="3520" spans="3:11" ht="27.6" x14ac:dyDescent="0.3">
      <c r="C3520" s="11" t="s">
        <v>9</v>
      </c>
      <c r="D3520" s="11" t="s">
        <v>10</v>
      </c>
      <c r="E3520" s="11" t="s">
        <v>11</v>
      </c>
      <c r="F3520" s="11" t="s">
        <v>12</v>
      </c>
      <c r="G3520" s="11" t="s">
        <v>13</v>
      </c>
      <c r="H3520" s="11" t="s">
        <v>14</v>
      </c>
    </row>
    <row r="3521" spans="3:11" x14ac:dyDescent="0.25">
      <c r="C3521" s="12" t="s">
        <v>15</v>
      </c>
      <c r="D3521" s="13" t="s">
        <v>16</v>
      </c>
      <c r="E3521" s="14"/>
      <c r="F3521" s="14"/>
      <c r="G3521" s="14"/>
      <c r="H3521" s="14"/>
    </row>
    <row r="3522" spans="3:11" x14ac:dyDescent="0.3">
      <c r="C3522" s="16">
        <v>1</v>
      </c>
      <c r="D3522" s="13" t="s">
        <v>18</v>
      </c>
      <c r="E3522" s="17" t="s">
        <v>19</v>
      </c>
      <c r="F3522" s="18">
        <v>0.17899999999999999</v>
      </c>
      <c r="G3522" s="19">
        <f>VLOOKUP(D3522,upahbahan,3,FALSE)</f>
        <v>100000</v>
      </c>
      <c r="H3522" s="19">
        <f t="shared" ref="H3522:H3525" si="371">F3522*G3522</f>
        <v>17900</v>
      </c>
    </row>
    <row r="3523" spans="3:11" x14ac:dyDescent="0.3">
      <c r="C3523" s="16">
        <v>2</v>
      </c>
      <c r="D3523" s="13" t="s">
        <v>214</v>
      </c>
      <c r="E3523" s="17" t="s">
        <v>19</v>
      </c>
      <c r="F3523" s="18">
        <v>0.29799999999999999</v>
      </c>
      <c r="G3523" s="19">
        <f>VLOOKUP(D3523,upahbahan,3,FALSE)</f>
        <v>145000</v>
      </c>
      <c r="H3523" s="19">
        <f t="shared" si="371"/>
        <v>43210</v>
      </c>
    </row>
    <row r="3524" spans="3:11" x14ac:dyDescent="0.3">
      <c r="C3524" s="16">
        <v>3</v>
      </c>
      <c r="D3524" s="13" t="s">
        <v>22</v>
      </c>
      <c r="E3524" s="17" t="s">
        <v>19</v>
      </c>
      <c r="F3524" s="18">
        <v>0.03</v>
      </c>
      <c r="G3524" s="19">
        <f>VLOOKUP(D3524,upahbahan,3,FALSE)</f>
        <v>175000</v>
      </c>
      <c r="H3524" s="19">
        <f t="shared" si="371"/>
        <v>5250</v>
      </c>
    </row>
    <row r="3525" spans="3:11" x14ac:dyDescent="0.3">
      <c r="C3525" s="16">
        <v>4</v>
      </c>
      <c r="D3525" s="13" t="s">
        <v>23</v>
      </c>
      <c r="E3525" s="17" t="s">
        <v>19</v>
      </c>
      <c r="F3525" s="18">
        <v>0.01</v>
      </c>
      <c r="G3525" s="19">
        <f>VLOOKUP(D3525,upahbahan,3,FALSE)</f>
        <v>200000</v>
      </c>
      <c r="H3525" s="19">
        <f t="shared" si="371"/>
        <v>2000</v>
      </c>
    </row>
    <row r="3526" spans="3:11" x14ac:dyDescent="0.3">
      <c r="C3526" s="21" t="s">
        <v>24</v>
      </c>
      <c r="D3526" s="22"/>
      <c r="E3526" s="22"/>
      <c r="F3526" s="54"/>
      <c r="G3526" s="24"/>
      <c r="H3526" s="19">
        <f>SUM(H3522:H3525)</f>
        <v>68360</v>
      </c>
      <c r="I3526" s="25"/>
    </row>
    <row r="3527" spans="3:11" x14ac:dyDescent="0.25">
      <c r="C3527" s="12" t="s">
        <v>25</v>
      </c>
      <c r="D3527" s="13" t="s">
        <v>26</v>
      </c>
      <c r="E3527" s="14"/>
      <c r="F3527" s="55"/>
      <c r="G3527" s="14"/>
      <c r="H3527" s="14"/>
    </row>
    <row r="3528" spans="3:11" x14ac:dyDescent="0.3">
      <c r="C3528" s="63" t="s">
        <v>202</v>
      </c>
      <c r="D3528" s="26" t="s">
        <v>687</v>
      </c>
      <c r="E3528" s="27" t="s">
        <v>617</v>
      </c>
      <c r="F3528" s="59">
        <v>1.2</v>
      </c>
      <c r="G3528" s="19">
        <f>VLOOKUP(D3528,upahbahan,3,FALSE)</f>
        <v>400000</v>
      </c>
      <c r="H3528" s="19">
        <f t="shared" ref="H3528" si="372">F3528*G3528</f>
        <v>480000</v>
      </c>
    </row>
    <row r="3529" spans="3:11" x14ac:dyDescent="0.3">
      <c r="C3529" s="21" t="s">
        <v>29</v>
      </c>
      <c r="D3529" s="22"/>
      <c r="E3529" s="22"/>
      <c r="F3529" s="22"/>
      <c r="G3529" s="28"/>
      <c r="H3529" s="19">
        <f>SUM(H3528:H3528)</f>
        <v>480000</v>
      </c>
    </row>
    <row r="3530" spans="3:11" x14ac:dyDescent="0.25">
      <c r="C3530" s="12" t="s">
        <v>30</v>
      </c>
      <c r="D3530" s="13" t="s">
        <v>31</v>
      </c>
      <c r="E3530" s="14"/>
      <c r="F3530" s="14"/>
      <c r="G3530" s="14"/>
      <c r="H3530" s="14"/>
    </row>
    <row r="3531" spans="3:11" x14ac:dyDescent="0.3">
      <c r="C3531" s="21" t="s">
        <v>32</v>
      </c>
      <c r="D3531" s="22"/>
      <c r="E3531" s="22"/>
      <c r="F3531" s="22"/>
      <c r="G3531" s="28"/>
      <c r="H3531" s="29">
        <v>0</v>
      </c>
    </row>
    <row r="3532" spans="3:11" x14ac:dyDescent="0.3">
      <c r="C3532" s="30" t="s">
        <v>33</v>
      </c>
      <c r="D3532" s="31" t="s">
        <v>34</v>
      </c>
      <c r="E3532" s="32"/>
      <c r="F3532" s="32"/>
      <c r="G3532" s="33"/>
      <c r="H3532" s="46">
        <f>H3531+H3529+H3526</f>
        <v>548360</v>
      </c>
      <c r="I3532" s="47"/>
    </row>
    <row r="3533" spans="3:11" x14ac:dyDescent="0.3">
      <c r="C3533" s="30" t="s">
        <v>35</v>
      </c>
      <c r="D3533" s="31" t="s">
        <v>36</v>
      </c>
      <c r="E3533" s="32"/>
      <c r="F3533" s="33"/>
      <c r="G3533" s="34">
        <f>$M$9</f>
        <v>0.1</v>
      </c>
      <c r="H3533" s="19">
        <f>H3532*G3533</f>
        <v>54836</v>
      </c>
      <c r="I3533" s="47"/>
    </row>
    <row r="3534" spans="3:11" x14ac:dyDescent="0.3">
      <c r="C3534" s="30" t="s">
        <v>37</v>
      </c>
      <c r="D3534" s="31" t="s">
        <v>38</v>
      </c>
      <c r="E3534" s="32"/>
      <c r="F3534" s="32"/>
      <c r="G3534" s="33"/>
      <c r="H3534" s="48">
        <f>SUM(H3532:H3533)</f>
        <v>603196</v>
      </c>
      <c r="I3534" s="47"/>
    </row>
    <row r="3535" spans="3:11" x14ac:dyDescent="0.3">
      <c r="C3535" s="50"/>
      <c r="D3535" s="51"/>
      <c r="E3535" s="51"/>
      <c r="F3535" s="51"/>
      <c r="G3535" s="51"/>
      <c r="H3535" s="52"/>
    </row>
    <row r="3536" spans="3:11" x14ac:dyDescent="0.3">
      <c r="C3536" s="40" t="s">
        <v>688</v>
      </c>
      <c r="D3536" s="68" t="s">
        <v>689</v>
      </c>
      <c r="E3536" s="44"/>
      <c r="F3536" s="44"/>
      <c r="G3536" s="44"/>
      <c r="H3536" s="44"/>
      <c r="I3536" s="10">
        <f>ROUNDDOWN(H3551,0)</f>
        <v>616396</v>
      </c>
      <c r="J3536" s="15" t="s">
        <v>595</v>
      </c>
      <c r="K3536" s="39"/>
    </row>
    <row r="3537" spans="3:9" ht="27.6" x14ac:dyDescent="0.3">
      <c r="C3537" s="11" t="s">
        <v>9</v>
      </c>
      <c r="D3537" s="11" t="s">
        <v>10</v>
      </c>
      <c r="E3537" s="11" t="s">
        <v>11</v>
      </c>
      <c r="F3537" s="11" t="s">
        <v>12</v>
      </c>
      <c r="G3537" s="11" t="s">
        <v>13</v>
      </c>
      <c r="H3537" s="11" t="s">
        <v>14</v>
      </c>
    </row>
    <row r="3538" spans="3:9" x14ac:dyDescent="0.25">
      <c r="C3538" s="12" t="s">
        <v>15</v>
      </c>
      <c r="D3538" s="13" t="s">
        <v>16</v>
      </c>
      <c r="E3538" s="14"/>
      <c r="F3538" s="14"/>
      <c r="G3538" s="14"/>
      <c r="H3538" s="14"/>
    </row>
    <row r="3539" spans="3:9" x14ac:dyDescent="0.3">
      <c r="C3539" s="16">
        <v>1</v>
      </c>
      <c r="D3539" s="13" t="s">
        <v>18</v>
      </c>
      <c r="E3539" s="17" t="s">
        <v>19</v>
      </c>
      <c r="F3539" s="18">
        <v>0.17899999999999999</v>
      </c>
      <c r="G3539" s="19">
        <f>VLOOKUP(D3539,upahbahan,3,FALSE)</f>
        <v>100000</v>
      </c>
      <c r="H3539" s="19">
        <f t="shared" ref="H3539:H3542" si="373">F3539*G3539</f>
        <v>17900</v>
      </c>
    </row>
    <row r="3540" spans="3:9" x14ac:dyDescent="0.3">
      <c r="C3540" s="16">
        <v>2</v>
      </c>
      <c r="D3540" s="13" t="s">
        <v>214</v>
      </c>
      <c r="E3540" s="17" t="s">
        <v>19</v>
      </c>
      <c r="F3540" s="18">
        <v>0.29799999999999999</v>
      </c>
      <c r="G3540" s="19">
        <f>VLOOKUP(D3540,upahbahan,3,FALSE)</f>
        <v>145000</v>
      </c>
      <c r="H3540" s="19">
        <f t="shared" si="373"/>
        <v>43210</v>
      </c>
    </row>
    <row r="3541" spans="3:9" x14ac:dyDescent="0.3">
      <c r="C3541" s="16">
        <v>3</v>
      </c>
      <c r="D3541" s="13" t="s">
        <v>22</v>
      </c>
      <c r="E3541" s="17" t="s">
        <v>19</v>
      </c>
      <c r="F3541" s="18">
        <v>0.03</v>
      </c>
      <c r="G3541" s="19">
        <f>VLOOKUP(D3541,upahbahan,3,FALSE)</f>
        <v>175000</v>
      </c>
      <c r="H3541" s="19">
        <f t="shared" si="373"/>
        <v>5250</v>
      </c>
    </row>
    <row r="3542" spans="3:9" x14ac:dyDescent="0.3">
      <c r="C3542" s="16">
        <v>4</v>
      </c>
      <c r="D3542" s="13" t="s">
        <v>23</v>
      </c>
      <c r="E3542" s="17" t="s">
        <v>19</v>
      </c>
      <c r="F3542" s="18">
        <v>0.01</v>
      </c>
      <c r="G3542" s="19">
        <f>VLOOKUP(D3542,upahbahan,3,FALSE)</f>
        <v>200000</v>
      </c>
      <c r="H3542" s="19">
        <f t="shared" si="373"/>
        <v>2000</v>
      </c>
    </row>
    <row r="3543" spans="3:9" x14ac:dyDescent="0.3">
      <c r="C3543" s="21" t="s">
        <v>24</v>
      </c>
      <c r="D3543" s="22"/>
      <c r="E3543" s="22"/>
      <c r="F3543" s="54"/>
      <c r="G3543" s="24"/>
      <c r="H3543" s="19">
        <f>SUM(H3539:H3542)</f>
        <v>68360</v>
      </c>
      <c r="I3543" s="25"/>
    </row>
    <row r="3544" spans="3:9" x14ac:dyDescent="0.25">
      <c r="C3544" s="12" t="s">
        <v>25</v>
      </c>
      <c r="D3544" s="13" t="s">
        <v>26</v>
      </c>
      <c r="E3544" s="14"/>
      <c r="F3544" s="55"/>
      <c r="G3544" s="14"/>
      <c r="H3544" s="14"/>
    </row>
    <row r="3545" spans="3:9" x14ac:dyDescent="0.3">
      <c r="C3545" s="63" t="s">
        <v>202</v>
      </c>
      <c r="D3545" s="26" t="s">
        <v>690</v>
      </c>
      <c r="E3545" s="27" t="s">
        <v>617</v>
      </c>
      <c r="F3545" s="59">
        <v>1.2</v>
      </c>
      <c r="G3545" s="19">
        <f>VLOOKUP(D3545,upahbahan,3,FALSE)</f>
        <v>410000</v>
      </c>
      <c r="H3545" s="19">
        <f t="shared" ref="H3545" si="374">F3545*G3545</f>
        <v>492000</v>
      </c>
    </row>
    <row r="3546" spans="3:9" x14ac:dyDescent="0.3">
      <c r="C3546" s="21" t="s">
        <v>29</v>
      </c>
      <c r="D3546" s="22"/>
      <c r="E3546" s="22"/>
      <c r="F3546" s="22"/>
      <c r="G3546" s="28"/>
      <c r="H3546" s="19">
        <f>SUM(H3545:H3545)</f>
        <v>492000</v>
      </c>
    </row>
    <row r="3547" spans="3:9" x14ac:dyDescent="0.25">
      <c r="C3547" s="12" t="s">
        <v>30</v>
      </c>
      <c r="D3547" s="13" t="s">
        <v>31</v>
      </c>
      <c r="E3547" s="14"/>
      <c r="F3547" s="14"/>
      <c r="G3547" s="14"/>
      <c r="H3547" s="14"/>
    </row>
    <row r="3548" spans="3:9" x14ac:dyDescent="0.3">
      <c r="C3548" s="21" t="s">
        <v>32</v>
      </c>
      <c r="D3548" s="22"/>
      <c r="E3548" s="22"/>
      <c r="F3548" s="22"/>
      <c r="G3548" s="28"/>
      <c r="H3548" s="29">
        <v>0</v>
      </c>
    </row>
    <row r="3549" spans="3:9" x14ac:dyDescent="0.3">
      <c r="C3549" s="30" t="s">
        <v>33</v>
      </c>
      <c r="D3549" s="31" t="s">
        <v>34</v>
      </c>
      <c r="E3549" s="32"/>
      <c r="F3549" s="32"/>
      <c r="G3549" s="33"/>
      <c r="H3549" s="46">
        <f>H3548+H3546+H3543</f>
        <v>560360</v>
      </c>
      <c r="I3549" s="47"/>
    </row>
    <row r="3550" spans="3:9" x14ac:dyDescent="0.3">
      <c r="C3550" s="30" t="s">
        <v>35</v>
      </c>
      <c r="D3550" s="31" t="s">
        <v>36</v>
      </c>
      <c r="E3550" s="32"/>
      <c r="F3550" s="33"/>
      <c r="G3550" s="34">
        <f>$M$9</f>
        <v>0.1</v>
      </c>
      <c r="H3550" s="19">
        <f>H3549*G3550</f>
        <v>56036</v>
      </c>
      <c r="I3550" s="47"/>
    </row>
    <row r="3551" spans="3:9" x14ac:dyDescent="0.3">
      <c r="C3551" s="30" t="s">
        <v>37</v>
      </c>
      <c r="D3551" s="31" t="s">
        <v>38</v>
      </c>
      <c r="E3551" s="32"/>
      <c r="F3551" s="32"/>
      <c r="G3551" s="33"/>
      <c r="H3551" s="48">
        <f>SUM(H3549:H3550)</f>
        <v>616396</v>
      </c>
      <c r="I3551" s="47"/>
    </row>
    <row r="3552" spans="3:9" x14ac:dyDescent="0.3">
      <c r="C3552" s="50"/>
      <c r="D3552" s="51"/>
      <c r="E3552" s="51"/>
      <c r="F3552" s="51"/>
      <c r="G3552" s="51"/>
      <c r="H3552" s="52"/>
    </row>
    <row r="3553" spans="3:11" x14ac:dyDescent="0.3">
      <c r="C3553" s="40" t="s">
        <v>691</v>
      </c>
      <c r="D3553" s="68" t="s">
        <v>692</v>
      </c>
      <c r="E3553" s="44"/>
      <c r="F3553" s="44"/>
      <c r="G3553" s="44"/>
      <c r="H3553" s="44"/>
      <c r="I3553" s="10">
        <f>ROUNDDOWN(H3568,0)</f>
        <v>629596</v>
      </c>
      <c r="J3553" s="15" t="s">
        <v>595</v>
      </c>
      <c r="K3553" s="39"/>
    </row>
    <row r="3554" spans="3:11" ht="27.6" x14ac:dyDescent="0.3">
      <c r="C3554" s="11" t="s">
        <v>9</v>
      </c>
      <c r="D3554" s="11" t="s">
        <v>10</v>
      </c>
      <c r="E3554" s="11" t="s">
        <v>11</v>
      </c>
      <c r="F3554" s="11" t="s">
        <v>12</v>
      </c>
      <c r="G3554" s="11" t="s">
        <v>13</v>
      </c>
      <c r="H3554" s="11" t="s">
        <v>14</v>
      </c>
    </row>
    <row r="3555" spans="3:11" x14ac:dyDescent="0.25">
      <c r="C3555" s="12" t="s">
        <v>15</v>
      </c>
      <c r="D3555" s="13" t="s">
        <v>16</v>
      </c>
      <c r="E3555" s="14"/>
      <c r="F3555" s="14"/>
      <c r="G3555" s="14"/>
      <c r="H3555" s="14"/>
    </row>
    <row r="3556" spans="3:11" x14ac:dyDescent="0.3">
      <c r="C3556" s="16">
        <v>1</v>
      </c>
      <c r="D3556" s="13" t="s">
        <v>18</v>
      </c>
      <c r="E3556" s="17" t="s">
        <v>19</v>
      </c>
      <c r="F3556" s="18">
        <v>0.17899999999999999</v>
      </c>
      <c r="G3556" s="19">
        <f>VLOOKUP(D3556,upahbahan,3,FALSE)</f>
        <v>100000</v>
      </c>
      <c r="H3556" s="19">
        <f t="shared" ref="H3556:H3559" si="375">F3556*G3556</f>
        <v>17900</v>
      </c>
    </row>
    <row r="3557" spans="3:11" x14ac:dyDescent="0.3">
      <c r="C3557" s="16">
        <v>2</v>
      </c>
      <c r="D3557" s="13" t="s">
        <v>214</v>
      </c>
      <c r="E3557" s="17" t="s">
        <v>19</v>
      </c>
      <c r="F3557" s="18">
        <v>0.29799999999999999</v>
      </c>
      <c r="G3557" s="19">
        <f>VLOOKUP(D3557,upahbahan,3,FALSE)</f>
        <v>145000</v>
      </c>
      <c r="H3557" s="19">
        <f t="shared" si="375"/>
        <v>43210</v>
      </c>
    </row>
    <row r="3558" spans="3:11" x14ac:dyDescent="0.3">
      <c r="C3558" s="16">
        <v>3</v>
      </c>
      <c r="D3558" s="13" t="s">
        <v>22</v>
      </c>
      <c r="E3558" s="17" t="s">
        <v>19</v>
      </c>
      <c r="F3558" s="18">
        <v>0.03</v>
      </c>
      <c r="G3558" s="19">
        <f>VLOOKUP(D3558,upahbahan,3,FALSE)</f>
        <v>175000</v>
      </c>
      <c r="H3558" s="19">
        <f t="shared" si="375"/>
        <v>5250</v>
      </c>
    </row>
    <row r="3559" spans="3:11" x14ac:dyDescent="0.3">
      <c r="C3559" s="16">
        <v>4</v>
      </c>
      <c r="D3559" s="13" t="s">
        <v>23</v>
      </c>
      <c r="E3559" s="17" t="s">
        <v>19</v>
      </c>
      <c r="F3559" s="18">
        <v>0.01</v>
      </c>
      <c r="G3559" s="19">
        <f>VLOOKUP(D3559,upahbahan,3,FALSE)</f>
        <v>200000</v>
      </c>
      <c r="H3559" s="19">
        <f t="shared" si="375"/>
        <v>2000</v>
      </c>
    </row>
    <row r="3560" spans="3:11" x14ac:dyDescent="0.3">
      <c r="C3560" s="21" t="s">
        <v>24</v>
      </c>
      <c r="D3560" s="22"/>
      <c r="E3560" s="22"/>
      <c r="F3560" s="54"/>
      <c r="G3560" s="24"/>
      <c r="H3560" s="19">
        <f>SUM(H3556:H3559)</f>
        <v>68360</v>
      </c>
      <c r="I3560" s="25"/>
    </row>
    <row r="3561" spans="3:11" x14ac:dyDescent="0.25">
      <c r="C3561" s="12" t="s">
        <v>25</v>
      </c>
      <c r="D3561" s="13" t="s">
        <v>26</v>
      </c>
      <c r="E3561" s="14"/>
      <c r="F3561" s="55"/>
      <c r="G3561" s="14"/>
      <c r="H3561" s="14"/>
    </row>
    <row r="3562" spans="3:11" x14ac:dyDescent="0.3">
      <c r="C3562" s="63" t="s">
        <v>202</v>
      </c>
      <c r="D3562" s="26" t="s">
        <v>693</v>
      </c>
      <c r="E3562" s="27" t="s">
        <v>617</v>
      </c>
      <c r="F3562" s="59">
        <v>1.2</v>
      </c>
      <c r="G3562" s="19">
        <f>VLOOKUP(D3562,upahbahan,3,FALSE)</f>
        <v>420000</v>
      </c>
      <c r="H3562" s="19">
        <f t="shared" ref="H3562" si="376">F3562*G3562</f>
        <v>504000</v>
      </c>
    </row>
    <row r="3563" spans="3:11" x14ac:dyDescent="0.3">
      <c r="C3563" s="21" t="s">
        <v>29</v>
      </c>
      <c r="D3563" s="22"/>
      <c r="E3563" s="22"/>
      <c r="F3563" s="22"/>
      <c r="G3563" s="28"/>
      <c r="H3563" s="19">
        <f>SUM(H3562:H3562)</f>
        <v>504000</v>
      </c>
    </row>
    <row r="3564" spans="3:11" x14ac:dyDescent="0.25">
      <c r="C3564" s="12" t="s">
        <v>30</v>
      </c>
      <c r="D3564" s="13" t="s">
        <v>31</v>
      </c>
      <c r="E3564" s="14"/>
      <c r="F3564" s="14"/>
      <c r="G3564" s="14"/>
      <c r="H3564" s="14"/>
    </row>
    <row r="3565" spans="3:11" x14ac:dyDescent="0.3">
      <c r="C3565" s="21" t="s">
        <v>32</v>
      </c>
      <c r="D3565" s="22"/>
      <c r="E3565" s="22"/>
      <c r="F3565" s="22"/>
      <c r="G3565" s="28"/>
      <c r="H3565" s="29">
        <v>0</v>
      </c>
    </row>
    <row r="3566" spans="3:11" x14ac:dyDescent="0.3">
      <c r="C3566" s="30" t="s">
        <v>33</v>
      </c>
      <c r="D3566" s="31" t="s">
        <v>34</v>
      </c>
      <c r="E3566" s="32"/>
      <c r="F3566" s="32"/>
      <c r="G3566" s="33"/>
      <c r="H3566" s="46">
        <f>H3565+H3563+H3560</f>
        <v>572360</v>
      </c>
      <c r="I3566" s="47"/>
    </row>
    <row r="3567" spans="3:11" x14ac:dyDescent="0.3">
      <c r="C3567" s="30" t="s">
        <v>35</v>
      </c>
      <c r="D3567" s="31" t="s">
        <v>36</v>
      </c>
      <c r="E3567" s="32"/>
      <c r="F3567" s="33"/>
      <c r="G3567" s="34">
        <f>$M$9</f>
        <v>0.1</v>
      </c>
      <c r="H3567" s="19">
        <f>H3566*G3567</f>
        <v>57236</v>
      </c>
      <c r="I3567" s="47"/>
    </row>
    <row r="3568" spans="3:11" x14ac:dyDescent="0.3">
      <c r="C3568" s="30" t="s">
        <v>37</v>
      </c>
      <c r="D3568" s="31" t="s">
        <v>38</v>
      </c>
      <c r="E3568" s="32"/>
      <c r="F3568" s="32"/>
      <c r="G3568" s="33"/>
      <c r="H3568" s="48">
        <f>SUM(H3566:H3567)</f>
        <v>629596</v>
      </c>
      <c r="I3568" s="47"/>
    </row>
    <row r="3569" spans="3:11" x14ac:dyDescent="0.3">
      <c r="C3569" s="50"/>
      <c r="D3569" s="51"/>
      <c r="E3569" s="51"/>
      <c r="F3569" s="51"/>
      <c r="G3569" s="51"/>
      <c r="H3569" s="52"/>
    </row>
    <row r="3570" spans="3:11" x14ac:dyDescent="0.3">
      <c r="C3570" s="40" t="s">
        <v>694</v>
      </c>
      <c r="D3570" s="68" t="s">
        <v>695</v>
      </c>
      <c r="E3570" s="44"/>
      <c r="F3570" s="44"/>
      <c r="G3570" s="44"/>
      <c r="H3570" s="44"/>
      <c r="I3570" s="10">
        <f>ROUNDDOWN(H3585,0)</f>
        <v>523996</v>
      </c>
      <c r="J3570" s="15" t="s">
        <v>595</v>
      </c>
      <c r="K3570" s="39"/>
    </row>
    <row r="3571" spans="3:11" ht="27.6" x14ac:dyDescent="0.3">
      <c r="C3571" s="11" t="s">
        <v>9</v>
      </c>
      <c r="D3571" s="11" t="s">
        <v>10</v>
      </c>
      <c r="E3571" s="11" t="s">
        <v>11</v>
      </c>
      <c r="F3571" s="11" t="s">
        <v>12</v>
      </c>
      <c r="G3571" s="11" t="s">
        <v>13</v>
      </c>
      <c r="H3571" s="11" t="s">
        <v>14</v>
      </c>
    </row>
    <row r="3572" spans="3:11" x14ac:dyDescent="0.25">
      <c r="C3572" s="12" t="s">
        <v>15</v>
      </c>
      <c r="D3572" s="13" t="s">
        <v>16</v>
      </c>
      <c r="E3572" s="14"/>
      <c r="F3572" s="14"/>
      <c r="G3572" s="14"/>
      <c r="H3572" s="14"/>
    </row>
    <row r="3573" spans="3:11" x14ac:dyDescent="0.3">
      <c r="C3573" s="16">
        <v>1</v>
      </c>
      <c r="D3573" s="13" t="s">
        <v>18</v>
      </c>
      <c r="E3573" s="17" t="s">
        <v>19</v>
      </c>
      <c r="F3573" s="18">
        <v>0.17899999999999999</v>
      </c>
      <c r="G3573" s="19">
        <f>VLOOKUP(D3573,upahbahan,3,FALSE)</f>
        <v>100000</v>
      </c>
      <c r="H3573" s="19">
        <f t="shared" ref="H3573:H3576" si="377">F3573*G3573</f>
        <v>17900</v>
      </c>
    </row>
    <row r="3574" spans="3:11" x14ac:dyDescent="0.3">
      <c r="C3574" s="16">
        <v>2</v>
      </c>
      <c r="D3574" s="13" t="s">
        <v>214</v>
      </c>
      <c r="E3574" s="17" t="s">
        <v>19</v>
      </c>
      <c r="F3574" s="18">
        <v>0.29799999999999999</v>
      </c>
      <c r="G3574" s="19">
        <f>VLOOKUP(D3574,upahbahan,3,FALSE)</f>
        <v>145000</v>
      </c>
      <c r="H3574" s="19">
        <f t="shared" si="377"/>
        <v>43210</v>
      </c>
    </row>
    <row r="3575" spans="3:11" x14ac:dyDescent="0.3">
      <c r="C3575" s="16">
        <v>3</v>
      </c>
      <c r="D3575" s="13" t="s">
        <v>22</v>
      </c>
      <c r="E3575" s="17" t="s">
        <v>19</v>
      </c>
      <c r="F3575" s="18">
        <v>0.03</v>
      </c>
      <c r="G3575" s="19">
        <f>VLOOKUP(D3575,upahbahan,3,FALSE)</f>
        <v>175000</v>
      </c>
      <c r="H3575" s="19">
        <f t="shared" si="377"/>
        <v>5250</v>
      </c>
    </row>
    <row r="3576" spans="3:11" x14ac:dyDescent="0.3">
      <c r="C3576" s="16">
        <v>4</v>
      </c>
      <c r="D3576" s="13" t="s">
        <v>23</v>
      </c>
      <c r="E3576" s="17" t="s">
        <v>19</v>
      </c>
      <c r="F3576" s="18">
        <v>0.01</v>
      </c>
      <c r="G3576" s="19">
        <f>VLOOKUP(D3576,upahbahan,3,FALSE)</f>
        <v>200000</v>
      </c>
      <c r="H3576" s="19">
        <f t="shared" si="377"/>
        <v>2000</v>
      </c>
    </row>
    <row r="3577" spans="3:11" x14ac:dyDescent="0.3">
      <c r="C3577" s="21" t="s">
        <v>24</v>
      </c>
      <c r="D3577" s="22"/>
      <c r="E3577" s="22"/>
      <c r="F3577" s="54"/>
      <c r="G3577" s="24"/>
      <c r="H3577" s="19">
        <f>SUM(H3573:H3576)</f>
        <v>68360</v>
      </c>
      <c r="I3577" s="25"/>
    </row>
    <row r="3578" spans="3:11" x14ac:dyDescent="0.25">
      <c r="C3578" s="12" t="s">
        <v>25</v>
      </c>
      <c r="D3578" s="13" t="s">
        <v>26</v>
      </c>
      <c r="E3578" s="14"/>
      <c r="F3578" s="55"/>
      <c r="G3578" s="14"/>
      <c r="H3578" s="14"/>
    </row>
    <row r="3579" spans="3:11" x14ac:dyDescent="0.3">
      <c r="C3579" s="63" t="s">
        <v>202</v>
      </c>
      <c r="D3579" s="26" t="s">
        <v>696</v>
      </c>
      <c r="E3579" s="27" t="s">
        <v>617</v>
      </c>
      <c r="F3579" s="59">
        <v>1.2</v>
      </c>
      <c r="G3579" s="19">
        <f>VLOOKUP(D3579,upahbahan,3,FALSE)</f>
        <v>340000</v>
      </c>
      <c r="H3579" s="19">
        <f t="shared" ref="H3579" si="378">F3579*G3579</f>
        <v>408000</v>
      </c>
    </row>
    <row r="3580" spans="3:11" x14ac:dyDescent="0.3">
      <c r="C3580" s="21" t="s">
        <v>29</v>
      </c>
      <c r="D3580" s="22"/>
      <c r="E3580" s="22"/>
      <c r="F3580" s="22"/>
      <c r="G3580" s="28"/>
      <c r="H3580" s="19">
        <f>SUM(H3579:H3579)</f>
        <v>408000</v>
      </c>
    </row>
    <row r="3581" spans="3:11" x14ac:dyDescent="0.25">
      <c r="C3581" s="12" t="s">
        <v>30</v>
      </c>
      <c r="D3581" s="13" t="s">
        <v>31</v>
      </c>
      <c r="E3581" s="14"/>
      <c r="F3581" s="14"/>
      <c r="G3581" s="14"/>
      <c r="H3581" s="14"/>
    </row>
    <row r="3582" spans="3:11" x14ac:dyDescent="0.3">
      <c r="C3582" s="21" t="s">
        <v>32</v>
      </c>
      <c r="D3582" s="22"/>
      <c r="E3582" s="22"/>
      <c r="F3582" s="22"/>
      <c r="G3582" s="28"/>
      <c r="H3582" s="29">
        <v>0</v>
      </c>
    </row>
    <row r="3583" spans="3:11" x14ac:dyDescent="0.3">
      <c r="C3583" s="30" t="s">
        <v>33</v>
      </c>
      <c r="D3583" s="31" t="s">
        <v>34</v>
      </c>
      <c r="E3583" s="32"/>
      <c r="F3583" s="32"/>
      <c r="G3583" s="33"/>
      <c r="H3583" s="46">
        <f>H3582+H3580+H3577</f>
        <v>476360</v>
      </c>
      <c r="I3583" s="47"/>
    </row>
    <row r="3584" spans="3:11" x14ac:dyDescent="0.3">
      <c r="C3584" s="30" t="s">
        <v>35</v>
      </c>
      <c r="D3584" s="31" t="s">
        <v>36</v>
      </c>
      <c r="E3584" s="32"/>
      <c r="F3584" s="33"/>
      <c r="G3584" s="34">
        <f>$M$9</f>
        <v>0.1</v>
      </c>
      <c r="H3584" s="19">
        <f>H3583*G3584</f>
        <v>47636</v>
      </c>
      <c r="I3584" s="47"/>
    </row>
    <row r="3585" spans="3:11" x14ac:dyDescent="0.3">
      <c r="C3585" s="30" t="s">
        <v>37</v>
      </c>
      <c r="D3585" s="31" t="s">
        <v>38</v>
      </c>
      <c r="E3585" s="32"/>
      <c r="F3585" s="32"/>
      <c r="G3585" s="33"/>
      <c r="H3585" s="48">
        <f>SUM(H3583:H3584)</f>
        <v>523996</v>
      </c>
      <c r="I3585" s="47"/>
    </row>
    <row r="3586" spans="3:11" x14ac:dyDescent="0.3">
      <c r="C3586" s="50"/>
      <c r="D3586" s="51"/>
      <c r="E3586" s="51"/>
      <c r="F3586" s="51"/>
      <c r="G3586" s="51"/>
      <c r="H3586" s="52"/>
    </row>
    <row r="3587" spans="3:11" x14ac:dyDescent="0.3">
      <c r="C3587" s="40" t="s">
        <v>697</v>
      </c>
      <c r="D3587" s="68" t="s">
        <v>698</v>
      </c>
      <c r="E3587" s="44"/>
      <c r="F3587" s="44"/>
      <c r="G3587" s="44"/>
      <c r="H3587" s="44"/>
      <c r="I3587" s="10">
        <f>ROUNDDOWN(H3602,0)</f>
        <v>537196</v>
      </c>
      <c r="J3587" s="15" t="s">
        <v>595</v>
      </c>
      <c r="K3587" s="39"/>
    </row>
    <row r="3588" spans="3:11" ht="27.6" x14ac:dyDescent="0.3">
      <c r="C3588" s="11" t="s">
        <v>9</v>
      </c>
      <c r="D3588" s="11" t="s">
        <v>10</v>
      </c>
      <c r="E3588" s="11" t="s">
        <v>11</v>
      </c>
      <c r="F3588" s="11" t="s">
        <v>12</v>
      </c>
      <c r="G3588" s="11" t="s">
        <v>13</v>
      </c>
      <c r="H3588" s="11" t="s">
        <v>14</v>
      </c>
    </row>
    <row r="3589" spans="3:11" x14ac:dyDescent="0.25">
      <c r="C3589" s="12" t="s">
        <v>15</v>
      </c>
      <c r="D3589" s="13" t="s">
        <v>16</v>
      </c>
      <c r="E3589" s="14"/>
      <c r="F3589" s="14"/>
      <c r="G3589" s="14"/>
      <c r="H3589" s="14"/>
    </row>
    <row r="3590" spans="3:11" x14ac:dyDescent="0.3">
      <c r="C3590" s="16">
        <v>1</v>
      </c>
      <c r="D3590" s="13" t="s">
        <v>18</v>
      </c>
      <c r="E3590" s="17" t="s">
        <v>19</v>
      </c>
      <c r="F3590" s="18">
        <v>0.17899999999999999</v>
      </c>
      <c r="G3590" s="19">
        <f>VLOOKUP(D3590,upahbahan,3,FALSE)</f>
        <v>100000</v>
      </c>
      <c r="H3590" s="19">
        <f t="shared" ref="H3590:H3593" si="379">F3590*G3590</f>
        <v>17900</v>
      </c>
    </row>
    <row r="3591" spans="3:11" x14ac:dyDescent="0.3">
      <c r="C3591" s="16">
        <v>2</v>
      </c>
      <c r="D3591" s="13" t="s">
        <v>214</v>
      </c>
      <c r="E3591" s="17" t="s">
        <v>19</v>
      </c>
      <c r="F3591" s="18">
        <v>0.29799999999999999</v>
      </c>
      <c r="G3591" s="19">
        <f>VLOOKUP(D3591,upahbahan,3,FALSE)</f>
        <v>145000</v>
      </c>
      <c r="H3591" s="19">
        <f t="shared" si="379"/>
        <v>43210</v>
      </c>
    </row>
    <row r="3592" spans="3:11" x14ac:dyDescent="0.3">
      <c r="C3592" s="16">
        <v>3</v>
      </c>
      <c r="D3592" s="13" t="s">
        <v>22</v>
      </c>
      <c r="E3592" s="17" t="s">
        <v>19</v>
      </c>
      <c r="F3592" s="18">
        <v>0.03</v>
      </c>
      <c r="G3592" s="19">
        <f>VLOOKUP(D3592,upahbahan,3,FALSE)</f>
        <v>175000</v>
      </c>
      <c r="H3592" s="19">
        <f t="shared" si="379"/>
        <v>5250</v>
      </c>
    </row>
    <row r="3593" spans="3:11" x14ac:dyDescent="0.3">
      <c r="C3593" s="16">
        <v>4</v>
      </c>
      <c r="D3593" s="13" t="s">
        <v>23</v>
      </c>
      <c r="E3593" s="17" t="s">
        <v>19</v>
      </c>
      <c r="F3593" s="18">
        <v>0.01</v>
      </c>
      <c r="G3593" s="19">
        <f>VLOOKUP(D3593,upahbahan,3,FALSE)</f>
        <v>200000</v>
      </c>
      <c r="H3593" s="19">
        <f t="shared" si="379"/>
        <v>2000</v>
      </c>
    </row>
    <row r="3594" spans="3:11" x14ac:dyDescent="0.3">
      <c r="C3594" s="21" t="s">
        <v>24</v>
      </c>
      <c r="D3594" s="22"/>
      <c r="E3594" s="22"/>
      <c r="F3594" s="54"/>
      <c r="G3594" s="24"/>
      <c r="H3594" s="19">
        <f>SUM(H3590:H3593)</f>
        <v>68360</v>
      </c>
      <c r="I3594" s="25"/>
    </row>
    <row r="3595" spans="3:11" x14ac:dyDescent="0.25">
      <c r="C3595" s="12" t="s">
        <v>25</v>
      </c>
      <c r="D3595" s="13" t="s">
        <v>26</v>
      </c>
      <c r="E3595" s="14"/>
      <c r="F3595" s="55"/>
      <c r="G3595" s="14"/>
      <c r="H3595" s="14"/>
    </row>
    <row r="3596" spans="3:11" x14ac:dyDescent="0.3">
      <c r="C3596" s="63" t="s">
        <v>202</v>
      </c>
      <c r="D3596" s="26" t="s">
        <v>699</v>
      </c>
      <c r="E3596" s="27" t="s">
        <v>617</v>
      </c>
      <c r="F3596" s="59">
        <v>1.2</v>
      </c>
      <c r="G3596" s="19">
        <f>VLOOKUP(D3596,upahbahan,3,FALSE)</f>
        <v>350000</v>
      </c>
      <c r="H3596" s="19">
        <f t="shared" ref="H3596" si="380">F3596*G3596</f>
        <v>420000</v>
      </c>
    </row>
    <row r="3597" spans="3:11" x14ac:dyDescent="0.3">
      <c r="C3597" s="21" t="s">
        <v>29</v>
      </c>
      <c r="D3597" s="22"/>
      <c r="E3597" s="22"/>
      <c r="F3597" s="22"/>
      <c r="G3597" s="28"/>
      <c r="H3597" s="19">
        <f>SUM(H3596:H3596)</f>
        <v>420000</v>
      </c>
    </row>
    <row r="3598" spans="3:11" x14ac:dyDescent="0.25">
      <c r="C3598" s="12" t="s">
        <v>30</v>
      </c>
      <c r="D3598" s="13" t="s">
        <v>31</v>
      </c>
      <c r="E3598" s="14"/>
      <c r="F3598" s="14"/>
      <c r="G3598" s="14"/>
      <c r="H3598" s="14"/>
    </row>
    <row r="3599" spans="3:11" x14ac:dyDescent="0.3">
      <c r="C3599" s="21" t="s">
        <v>32</v>
      </c>
      <c r="D3599" s="22"/>
      <c r="E3599" s="22"/>
      <c r="F3599" s="22"/>
      <c r="G3599" s="28"/>
      <c r="H3599" s="29">
        <v>0</v>
      </c>
    </row>
    <row r="3600" spans="3:11" x14ac:dyDescent="0.3">
      <c r="C3600" s="30" t="s">
        <v>33</v>
      </c>
      <c r="D3600" s="31" t="s">
        <v>34</v>
      </c>
      <c r="E3600" s="32"/>
      <c r="F3600" s="32"/>
      <c r="G3600" s="33"/>
      <c r="H3600" s="46">
        <f>H3599+H3597+H3594</f>
        <v>488360</v>
      </c>
      <c r="I3600" s="47"/>
    </row>
    <row r="3601" spans="3:11" x14ac:dyDescent="0.3">
      <c r="C3601" s="30" t="s">
        <v>35</v>
      </c>
      <c r="D3601" s="31" t="s">
        <v>36</v>
      </c>
      <c r="E3601" s="32"/>
      <c r="F3601" s="33"/>
      <c r="G3601" s="34">
        <f>$M$9</f>
        <v>0.1</v>
      </c>
      <c r="H3601" s="19">
        <f>H3600*G3601</f>
        <v>48836</v>
      </c>
      <c r="I3601" s="47"/>
    </row>
    <row r="3602" spans="3:11" x14ac:dyDescent="0.3">
      <c r="C3602" s="30" t="s">
        <v>37</v>
      </c>
      <c r="D3602" s="31" t="s">
        <v>38</v>
      </c>
      <c r="E3602" s="32"/>
      <c r="F3602" s="32"/>
      <c r="G3602" s="33"/>
      <c r="H3602" s="48">
        <f>SUM(H3600:H3601)</f>
        <v>537196</v>
      </c>
      <c r="I3602" s="47"/>
    </row>
    <row r="3603" spans="3:11" x14ac:dyDescent="0.3">
      <c r="C3603" s="50"/>
      <c r="D3603" s="51"/>
      <c r="E3603" s="51"/>
      <c r="F3603" s="51"/>
      <c r="G3603" s="51"/>
      <c r="H3603" s="52"/>
    </row>
    <row r="3604" spans="3:11" x14ac:dyDescent="0.3">
      <c r="C3604" s="40" t="s">
        <v>700</v>
      </c>
      <c r="D3604" s="68" t="s">
        <v>701</v>
      </c>
      <c r="E3604" s="44"/>
      <c r="F3604" s="44"/>
      <c r="G3604" s="44"/>
      <c r="H3604" s="44"/>
      <c r="I3604" s="10">
        <f>ROUNDDOWN(H3619,0)</f>
        <v>550396</v>
      </c>
      <c r="J3604" s="15" t="s">
        <v>595</v>
      </c>
      <c r="K3604" s="39"/>
    </row>
    <row r="3605" spans="3:11" ht="27.6" x14ac:dyDescent="0.3">
      <c r="C3605" s="11" t="s">
        <v>9</v>
      </c>
      <c r="D3605" s="11" t="s">
        <v>10</v>
      </c>
      <c r="E3605" s="11" t="s">
        <v>11</v>
      </c>
      <c r="F3605" s="11" t="s">
        <v>12</v>
      </c>
      <c r="G3605" s="11" t="s">
        <v>13</v>
      </c>
      <c r="H3605" s="11" t="s">
        <v>14</v>
      </c>
    </row>
    <row r="3606" spans="3:11" x14ac:dyDescent="0.25">
      <c r="C3606" s="12" t="s">
        <v>15</v>
      </c>
      <c r="D3606" s="13" t="s">
        <v>16</v>
      </c>
      <c r="E3606" s="14"/>
      <c r="F3606" s="14"/>
      <c r="G3606" s="14"/>
      <c r="H3606" s="14"/>
    </row>
    <row r="3607" spans="3:11" x14ac:dyDescent="0.3">
      <c r="C3607" s="16">
        <v>1</v>
      </c>
      <c r="D3607" s="13" t="s">
        <v>18</v>
      </c>
      <c r="E3607" s="17" t="s">
        <v>19</v>
      </c>
      <c r="F3607" s="18">
        <v>0.17899999999999999</v>
      </c>
      <c r="G3607" s="19">
        <f>VLOOKUP(D3607,upahbahan,3,FALSE)</f>
        <v>100000</v>
      </c>
      <c r="H3607" s="19">
        <f t="shared" ref="H3607:H3610" si="381">F3607*G3607</f>
        <v>17900</v>
      </c>
    </row>
    <row r="3608" spans="3:11" x14ac:dyDescent="0.3">
      <c r="C3608" s="16">
        <v>2</v>
      </c>
      <c r="D3608" s="13" t="s">
        <v>214</v>
      </c>
      <c r="E3608" s="17" t="s">
        <v>19</v>
      </c>
      <c r="F3608" s="18">
        <v>0.29799999999999999</v>
      </c>
      <c r="G3608" s="19">
        <f>VLOOKUP(D3608,upahbahan,3,FALSE)</f>
        <v>145000</v>
      </c>
      <c r="H3608" s="19">
        <f t="shared" si="381"/>
        <v>43210</v>
      </c>
    </row>
    <row r="3609" spans="3:11" x14ac:dyDescent="0.3">
      <c r="C3609" s="16">
        <v>3</v>
      </c>
      <c r="D3609" s="13" t="s">
        <v>22</v>
      </c>
      <c r="E3609" s="17" t="s">
        <v>19</v>
      </c>
      <c r="F3609" s="18">
        <v>0.03</v>
      </c>
      <c r="G3609" s="19">
        <f>VLOOKUP(D3609,upahbahan,3,FALSE)</f>
        <v>175000</v>
      </c>
      <c r="H3609" s="19">
        <f t="shared" si="381"/>
        <v>5250</v>
      </c>
    </row>
    <row r="3610" spans="3:11" x14ac:dyDescent="0.3">
      <c r="C3610" s="16">
        <v>4</v>
      </c>
      <c r="D3610" s="13" t="s">
        <v>23</v>
      </c>
      <c r="E3610" s="17" t="s">
        <v>19</v>
      </c>
      <c r="F3610" s="18">
        <v>0.01</v>
      </c>
      <c r="G3610" s="19">
        <f>VLOOKUP(D3610,upahbahan,3,FALSE)</f>
        <v>200000</v>
      </c>
      <c r="H3610" s="19">
        <f t="shared" si="381"/>
        <v>2000</v>
      </c>
    </row>
    <row r="3611" spans="3:11" x14ac:dyDescent="0.3">
      <c r="C3611" s="21" t="s">
        <v>24</v>
      </c>
      <c r="D3611" s="22"/>
      <c r="E3611" s="22"/>
      <c r="F3611" s="54"/>
      <c r="G3611" s="24"/>
      <c r="H3611" s="19">
        <f>SUM(H3607:H3610)</f>
        <v>68360</v>
      </c>
      <c r="I3611" s="25"/>
    </row>
    <row r="3612" spans="3:11" x14ac:dyDescent="0.25">
      <c r="C3612" s="12" t="s">
        <v>25</v>
      </c>
      <c r="D3612" s="13" t="s">
        <v>26</v>
      </c>
      <c r="E3612" s="14"/>
      <c r="F3612" s="55"/>
      <c r="G3612" s="14"/>
      <c r="H3612" s="14"/>
    </row>
    <row r="3613" spans="3:11" x14ac:dyDescent="0.3">
      <c r="C3613" s="63" t="s">
        <v>202</v>
      </c>
      <c r="D3613" s="26" t="s">
        <v>702</v>
      </c>
      <c r="E3613" s="27" t="s">
        <v>617</v>
      </c>
      <c r="F3613" s="59">
        <v>1.2</v>
      </c>
      <c r="G3613" s="19">
        <f>VLOOKUP(D3613,upahbahan,3,FALSE)</f>
        <v>360000</v>
      </c>
      <c r="H3613" s="19">
        <f t="shared" ref="H3613" si="382">F3613*G3613</f>
        <v>432000</v>
      </c>
    </row>
    <row r="3614" spans="3:11" x14ac:dyDescent="0.3">
      <c r="C3614" s="21" t="s">
        <v>29</v>
      </c>
      <c r="D3614" s="22"/>
      <c r="E3614" s="22"/>
      <c r="F3614" s="22"/>
      <c r="G3614" s="28"/>
      <c r="H3614" s="19">
        <f>SUM(H3613:H3613)</f>
        <v>432000</v>
      </c>
    </row>
    <row r="3615" spans="3:11" x14ac:dyDescent="0.25">
      <c r="C3615" s="12" t="s">
        <v>30</v>
      </c>
      <c r="D3615" s="13" t="s">
        <v>31</v>
      </c>
      <c r="E3615" s="14"/>
      <c r="F3615" s="14"/>
      <c r="G3615" s="14"/>
      <c r="H3615" s="14"/>
    </row>
    <row r="3616" spans="3:11" x14ac:dyDescent="0.3">
      <c r="C3616" s="21" t="s">
        <v>32</v>
      </c>
      <c r="D3616" s="22"/>
      <c r="E3616" s="22"/>
      <c r="F3616" s="22"/>
      <c r="G3616" s="28"/>
      <c r="H3616" s="29">
        <v>0</v>
      </c>
    </row>
    <row r="3617" spans="3:11" x14ac:dyDescent="0.3">
      <c r="C3617" s="30" t="s">
        <v>33</v>
      </c>
      <c r="D3617" s="31" t="s">
        <v>34</v>
      </c>
      <c r="E3617" s="32"/>
      <c r="F3617" s="32"/>
      <c r="G3617" s="33"/>
      <c r="H3617" s="46">
        <f>H3616+H3614+H3611</f>
        <v>500360</v>
      </c>
      <c r="I3617" s="47"/>
    </row>
    <row r="3618" spans="3:11" x14ac:dyDescent="0.3">
      <c r="C3618" s="30" t="s">
        <v>35</v>
      </c>
      <c r="D3618" s="31" t="s">
        <v>36</v>
      </c>
      <c r="E3618" s="32"/>
      <c r="F3618" s="33"/>
      <c r="G3618" s="34">
        <f>$M$9</f>
        <v>0.1</v>
      </c>
      <c r="H3618" s="19">
        <f>H3617*G3618</f>
        <v>50036</v>
      </c>
      <c r="I3618" s="47"/>
    </row>
    <row r="3619" spans="3:11" x14ac:dyDescent="0.3">
      <c r="C3619" s="30" t="s">
        <v>37</v>
      </c>
      <c r="D3619" s="31" t="s">
        <v>38</v>
      </c>
      <c r="E3619" s="32"/>
      <c r="F3619" s="32"/>
      <c r="G3619" s="33"/>
      <c r="H3619" s="48">
        <f>SUM(H3617:H3618)</f>
        <v>550396</v>
      </c>
      <c r="I3619" s="47"/>
    </row>
    <row r="3620" spans="3:11" x14ac:dyDescent="0.3">
      <c r="C3620" s="50"/>
      <c r="D3620" s="51"/>
      <c r="E3620" s="51"/>
      <c r="F3620" s="51"/>
      <c r="G3620" s="51"/>
      <c r="H3620" s="52"/>
    </row>
    <row r="3621" spans="3:11" x14ac:dyDescent="0.3">
      <c r="C3621" s="40" t="s">
        <v>703</v>
      </c>
      <c r="D3621" s="68" t="s">
        <v>704</v>
      </c>
      <c r="E3621" s="44"/>
      <c r="F3621" s="44"/>
      <c r="G3621" s="44"/>
      <c r="H3621" s="44"/>
      <c r="I3621" s="10">
        <f>ROUNDDOWN(H3636,0)</f>
        <v>563596</v>
      </c>
      <c r="J3621" s="15" t="s">
        <v>595</v>
      </c>
      <c r="K3621" s="39"/>
    </row>
    <row r="3622" spans="3:11" ht="27.6" x14ac:dyDescent="0.3">
      <c r="C3622" s="11" t="s">
        <v>9</v>
      </c>
      <c r="D3622" s="11" t="s">
        <v>10</v>
      </c>
      <c r="E3622" s="11" t="s">
        <v>11</v>
      </c>
      <c r="F3622" s="11" t="s">
        <v>12</v>
      </c>
      <c r="G3622" s="11" t="s">
        <v>13</v>
      </c>
      <c r="H3622" s="11" t="s">
        <v>14</v>
      </c>
    </row>
    <row r="3623" spans="3:11" x14ac:dyDescent="0.25">
      <c r="C3623" s="12" t="s">
        <v>15</v>
      </c>
      <c r="D3623" s="13" t="s">
        <v>16</v>
      </c>
      <c r="E3623" s="14"/>
      <c r="F3623" s="14"/>
      <c r="G3623" s="14"/>
      <c r="H3623" s="14"/>
    </row>
    <row r="3624" spans="3:11" x14ac:dyDescent="0.3">
      <c r="C3624" s="16">
        <v>1</v>
      </c>
      <c r="D3624" s="13" t="s">
        <v>18</v>
      </c>
      <c r="E3624" s="17" t="s">
        <v>19</v>
      </c>
      <c r="F3624" s="18">
        <v>0.17899999999999999</v>
      </c>
      <c r="G3624" s="19">
        <f>VLOOKUP(D3624,upahbahan,3,FALSE)</f>
        <v>100000</v>
      </c>
      <c r="H3624" s="19">
        <f t="shared" ref="H3624:H3627" si="383">F3624*G3624</f>
        <v>17900</v>
      </c>
    </row>
    <row r="3625" spans="3:11" x14ac:dyDescent="0.3">
      <c r="C3625" s="16">
        <v>2</v>
      </c>
      <c r="D3625" s="13" t="s">
        <v>214</v>
      </c>
      <c r="E3625" s="17" t="s">
        <v>19</v>
      </c>
      <c r="F3625" s="18">
        <v>0.29799999999999999</v>
      </c>
      <c r="G3625" s="19">
        <f>VLOOKUP(D3625,upahbahan,3,FALSE)</f>
        <v>145000</v>
      </c>
      <c r="H3625" s="19">
        <f t="shared" si="383"/>
        <v>43210</v>
      </c>
    </row>
    <row r="3626" spans="3:11" x14ac:dyDescent="0.3">
      <c r="C3626" s="16">
        <v>3</v>
      </c>
      <c r="D3626" s="13" t="s">
        <v>22</v>
      </c>
      <c r="E3626" s="17" t="s">
        <v>19</v>
      </c>
      <c r="F3626" s="18">
        <v>0.03</v>
      </c>
      <c r="G3626" s="19">
        <f>VLOOKUP(D3626,upahbahan,3,FALSE)</f>
        <v>175000</v>
      </c>
      <c r="H3626" s="19">
        <f t="shared" si="383"/>
        <v>5250</v>
      </c>
    </row>
    <row r="3627" spans="3:11" x14ac:dyDescent="0.3">
      <c r="C3627" s="16">
        <v>4</v>
      </c>
      <c r="D3627" s="13" t="s">
        <v>23</v>
      </c>
      <c r="E3627" s="17" t="s">
        <v>19</v>
      </c>
      <c r="F3627" s="18">
        <v>0.01</v>
      </c>
      <c r="G3627" s="19">
        <f>VLOOKUP(D3627,upahbahan,3,FALSE)</f>
        <v>200000</v>
      </c>
      <c r="H3627" s="19">
        <f t="shared" si="383"/>
        <v>2000</v>
      </c>
    </row>
    <row r="3628" spans="3:11" x14ac:dyDescent="0.3">
      <c r="C3628" s="21" t="s">
        <v>24</v>
      </c>
      <c r="D3628" s="22"/>
      <c r="E3628" s="22"/>
      <c r="F3628" s="54"/>
      <c r="G3628" s="24"/>
      <c r="H3628" s="19">
        <f>SUM(H3624:H3627)</f>
        <v>68360</v>
      </c>
      <c r="I3628" s="25"/>
    </row>
    <row r="3629" spans="3:11" x14ac:dyDescent="0.25">
      <c r="C3629" s="12" t="s">
        <v>25</v>
      </c>
      <c r="D3629" s="13" t="s">
        <v>26</v>
      </c>
      <c r="E3629" s="14"/>
      <c r="F3629" s="55"/>
      <c r="G3629" s="14"/>
      <c r="H3629" s="14"/>
    </row>
    <row r="3630" spans="3:11" x14ac:dyDescent="0.3">
      <c r="C3630" s="63" t="s">
        <v>202</v>
      </c>
      <c r="D3630" s="26" t="s">
        <v>705</v>
      </c>
      <c r="E3630" s="27" t="s">
        <v>617</v>
      </c>
      <c r="F3630" s="59">
        <v>1.2</v>
      </c>
      <c r="G3630" s="19">
        <f>VLOOKUP(D3630,upahbahan,3,FALSE)</f>
        <v>370000</v>
      </c>
      <c r="H3630" s="19">
        <f t="shared" ref="H3630" si="384">F3630*G3630</f>
        <v>444000</v>
      </c>
    </row>
    <row r="3631" spans="3:11" x14ac:dyDescent="0.3">
      <c r="C3631" s="21" t="s">
        <v>29</v>
      </c>
      <c r="D3631" s="22"/>
      <c r="E3631" s="22"/>
      <c r="F3631" s="22"/>
      <c r="G3631" s="28"/>
      <c r="H3631" s="19">
        <f>SUM(H3630:H3630)</f>
        <v>444000</v>
      </c>
    </row>
    <row r="3632" spans="3:11" x14ac:dyDescent="0.25">
      <c r="C3632" s="12" t="s">
        <v>30</v>
      </c>
      <c r="D3632" s="13" t="s">
        <v>31</v>
      </c>
      <c r="E3632" s="14"/>
      <c r="F3632" s="14"/>
      <c r="G3632" s="14"/>
      <c r="H3632" s="14"/>
    </row>
    <row r="3633" spans="3:11" x14ac:dyDescent="0.3">
      <c r="C3633" s="21" t="s">
        <v>32</v>
      </c>
      <c r="D3633" s="22"/>
      <c r="E3633" s="22"/>
      <c r="F3633" s="22"/>
      <c r="G3633" s="28"/>
      <c r="H3633" s="29">
        <v>0</v>
      </c>
    </row>
    <row r="3634" spans="3:11" x14ac:dyDescent="0.3">
      <c r="C3634" s="30" t="s">
        <v>33</v>
      </c>
      <c r="D3634" s="31" t="s">
        <v>34</v>
      </c>
      <c r="E3634" s="32"/>
      <c r="F3634" s="32"/>
      <c r="G3634" s="33"/>
      <c r="H3634" s="46">
        <f>H3633+H3631+H3628</f>
        <v>512360</v>
      </c>
      <c r="I3634" s="47"/>
    </row>
    <row r="3635" spans="3:11" x14ac:dyDescent="0.3">
      <c r="C3635" s="30" t="s">
        <v>35</v>
      </c>
      <c r="D3635" s="31" t="s">
        <v>36</v>
      </c>
      <c r="E3635" s="32"/>
      <c r="F3635" s="33"/>
      <c r="G3635" s="34">
        <f>$M$9</f>
        <v>0.1</v>
      </c>
      <c r="H3635" s="19">
        <f>H3634*G3635</f>
        <v>51236</v>
      </c>
      <c r="I3635" s="47"/>
    </row>
    <row r="3636" spans="3:11" x14ac:dyDescent="0.3">
      <c r="C3636" s="30" t="s">
        <v>37</v>
      </c>
      <c r="D3636" s="31" t="s">
        <v>38</v>
      </c>
      <c r="E3636" s="32"/>
      <c r="F3636" s="32"/>
      <c r="G3636" s="33"/>
      <c r="H3636" s="48">
        <f>SUM(H3634:H3635)</f>
        <v>563596</v>
      </c>
      <c r="I3636" s="47"/>
    </row>
    <row r="3637" spans="3:11" x14ac:dyDescent="0.3">
      <c r="C3637" s="50"/>
      <c r="D3637" s="51"/>
      <c r="E3637" s="51"/>
      <c r="F3637" s="51"/>
      <c r="G3637" s="51"/>
      <c r="H3637" s="52"/>
    </row>
    <row r="3638" spans="3:11" x14ac:dyDescent="0.3">
      <c r="C3638" s="40" t="s">
        <v>706</v>
      </c>
      <c r="D3638" s="68" t="s">
        <v>707</v>
      </c>
      <c r="E3638" s="44"/>
      <c r="F3638" s="44"/>
      <c r="G3638" s="44"/>
      <c r="H3638" s="44"/>
      <c r="I3638" s="10">
        <f>ROUNDDOWN(H3653,0)</f>
        <v>576796</v>
      </c>
      <c r="J3638" s="15" t="s">
        <v>595</v>
      </c>
      <c r="K3638" s="39"/>
    </row>
    <row r="3639" spans="3:11" ht="27.6" x14ac:dyDescent="0.3">
      <c r="C3639" s="11" t="s">
        <v>9</v>
      </c>
      <c r="D3639" s="11" t="s">
        <v>10</v>
      </c>
      <c r="E3639" s="11" t="s">
        <v>11</v>
      </c>
      <c r="F3639" s="11" t="s">
        <v>12</v>
      </c>
      <c r="G3639" s="11" t="s">
        <v>13</v>
      </c>
      <c r="H3639" s="11" t="s">
        <v>14</v>
      </c>
    </row>
    <row r="3640" spans="3:11" x14ac:dyDescent="0.25">
      <c r="C3640" s="12" t="s">
        <v>15</v>
      </c>
      <c r="D3640" s="13" t="s">
        <v>16</v>
      </c>
      <c r="E3640" s="14"/>
      <c r="F3640" s="14"/>
      <c r="G3640" s="14"/>
      <c r="H3640" s="14"/>
    </row>
    <row r="3641" spans="3:11" x14ac:dyDescent="0.3">
      <c r="C3641" s="16">
        <v>1</v>
      </c>
      <c r="D3641" s="13" t="s">
        <v>18</v>
      </c>
      <c r="E3641" s="17" t="s">
        <v>19</v>
      </c>
      <c r="F3641" s="18">
        <v>0.17899999999999999</v>
      </c>
      <c r="G3641" s="19">
        <f>VLOOKUP(D3641,upahbahan,3,FALSE)</f>
        <v>100000</v>
      </c>
      <c r="H3641" s="19">
        <f t="shared" ref="H3641:H3644" si="385">F3641*G3641</f>
        <v>17900</v>
      </c>
    </row>
    <row r="3642" spans="3:11" x14ac:dyDescent="0.3">
      <c r="C3642" s="16">
        <v>2</v>
      </c>
      <c r="D3642" s="13" t="s">
        <v>214</v>
      </c>
      <c r="E3642" s="17" t="s">
        <v>19</v>
      </c>
      <c r="F3642" s="18">
        <v>0.29799999999999999</v>
      </c>
      <c r="G3642" s="19">
        <f>VLOOKUP(D3642,upahbahan,3,FALSE)</f>
        <v>145000</v>
      </c>
      <c r="H3642" s="19">
        <f t="shared" si="385"/>
        <v>43210</v>
      </c>
    </row>
    <row r="3643" spans="3:11" x14ac:dyDescent="0.3">
      <c r="C3643" s="16">
        <v>3</v>
      </c>
      <c r="D3643" s="13" t="s">
        <v>22</v>
      </c>
      <c r="E3643" s="17" t="s">
        <v>19</v>
      </c>
      <c r="F3643" s="18">
        <v>0.03</v>
      </c>
      <c r="G3643" s="19">
        <f>VLOOKUP(D3643,upahbahan,3,FALSE)</f>
        <v>175000</v>
      </c>
      <c r="H3643" s="19">
        <f t="shared" si="385"/>
        <v>5250</v>
      </c>
    </row>
    <row r="3644" spans="3:11" x14ac:dyDescent="0.3">
      <c r="C3644" s="16">
        <v>4</v>
      </c>
      <c r="D3644" s="13" t="s">
        <v>23</v>
      </c>
      <c r="E3644" s="17" t="s">
        <v>19</v>
      </c>
      <c r="F3644" s="18">
        <v>0.01</v>
      </c>
      <c r="G3644" s="19">
        <f>VLOOKUP(D3644,upahbahan,3,FALSE)</f>
        <v>200000</v>
      </c>
      <c r="H3644" s="19">
        <f t="shared" si="385"/>
        <v>2000</v>
      </c>
    </row>
    <row r="3645" spans="3:11" x14ac:dyDescent="0.3">
      <c r="C3645" s="21" t="s">
        <v>24</v>
      </c>
      <c r="D3645" s="22"/>
      <c r="E3645" s="22"/>
      <c r="F3645" s="54"/>
      <c r="G3645" s="24"/>
      <c r="H3645" s="19">
        <f>SUM(H3641:H3644)</f>
        <v>68360</v>
      </c>
      <c r="I3645" s="25"/>
    </row>
    <row r="3646" spans="3:11" x14ac:dyDescent="0.25">
      <c r="C3646" s="12" t="s">
        <v>25</v>
      </c>
      <c r="D3646" s="13" t="s">
        <v>26</v>
      </c>
      <c r="E3646" s="14"/>
      <c r="F3646" s="55"/>
      <c r="G3646" s="14"/>
      <c r="H3646" s="14"/>
    </row>
    <row r="3647" spans="3:11" x14ac:dyDescent="0.3">
      <c r="C3647" s="63" t="s">
        <v>202</v>
      </c>
      <c r="D3647" s="26" t="s">
        <v>708</v>
      </c>
      <c r="E3647" s="27" t="s">
        <v>617</v>
      </c>
      <c r="F3647" s="59">
        <v>1.2</v>
      </c>
      <c r="G3647" s="19">
        <f>VLOOKUP(D3647,upahbahan,3,FALSE)</f>
        <v>380000</v>
      </c>
      <c r="H3647" s="19">
        <f t="shared" ref="H3647" si="386">F3647*G3647</f>
        <v>456000</v>
      </c>
    </row>
    <row r="3648" spans="3:11" x14ac:dyDescent="0.3">
      <c r="C3648" s="21" t="s">
        <v>29</v>
      </c>
      <c r="D3648" s="22"/>
      <c r="E3648" s="22"/>
      <c r="F3648" s="22"/>
      <c r="G3648" s="28"/>
      <c r="H3648" s="19">
        <f>SUM(H3647:H3647)</f>
        <v>456000</v>
      </c>
    </row>
    <row r="3649" spans="3:11" x14ac:dyDescent="0.25">
      <c r="C3649" s="12" t="s">
        <v>30</v>
      </c>
      <c r="D3649" s="13" t="s">
        <v>31</v>
      </c>
      <c r="E3649" s="14"/>
      <c r="F3649" s="14"/>
      <c r="G3649" s="14"/>
      <c r="H3649" s="14"/>
    </row>
    <row r="3650" spans="3:11" x14ac:dyDescent="0.3">
      <c r="C3650" s="21" t="s">
        <v>32</v>
      </c>
      <c r="D3650" s="22"/>
      <c r="E3650" s="22"/>
      <c r="F3650" s="22"/>
      <c r="G3650" s="28"/>
      <c r="H3650" s="29">
        <v>0</v>
      </c>
    </row>
    <row r="3651" spans="3:11" x14ac:dyDescent="0.3">
      <c r="C3651" s="30" t="s">
        <v>33</v>
      </c>
      <c r="D3651" s="31" t="s">
        <v>34</v>
      </c>
      <c r="E3651" s="32"/>
      <c r="F3651" s="32"/>
      <c r="G3651" s="33"/>
      <c r="H3651" s="46">
        <f>H3650+H3648+H3645</f>
        <v>524360</v>
      </c>
      <c r="I3651" s="47"/>
    </row>
    <row r="3652" spans="3:11" x14ac:dyDescent="0.3">
      <c r="C3652" s="30" t="s">
        <v>35</v>
      </c>
      <c r="D3652" s="31" t="s">
        <v>36</v>
      </c>
      <c r="E3652" s="32"/>
      <c r="F3652" s="33"/>
      <c r="G3652" s="34">
        <f>$M$9</f>
        <v>0.1</v>
      </c>
      <c r="H3652" s="19">
        <f>H3651*G3652</f>
        <v>52436</v>
      </c>
      <c r="I3652" s="47"/>
    </row>
    <row r="3653" spans="3:11" x14ac:dyDescent="0.3">
      <c r="C3653" s="30" t="s">
        <v>37</v>
      </c>
      <c r="D3653" s="31" t="s">
        <v>38</v>
      </c>
      <c r="E3653" s="32"/>
      <c r="F3653" s="32"/>
      <c r="G3653" s="33"/>
      <c r="H3653" s="48">
        <f>SUM(H3651:H3652)</f>
        <v>576796</v>
      </c>
      <c r="I3653" s="47"/>
    </row>
    <row r="3654" spans="3:11" x14ac:dyDescent="0.3">
      <c r="C3654" s="50"/>
      <c r="D3654" s="51"/>
      <c r="E3654" s="51"/>
      <c r="F3654" s="51"/>
      <c r="G3654" s="51"/>
      <c r="H3654" s="52"/>
    </row>
    <row r="3655" spans="3:11" x14ac:dyDescent="0.3">
      <c r="C3655" s="40" t="s">
        <v>709</v>
      </c>
      <c r="D3655" s="68" t="s">
        <v>710</v>
      </c>
      <c r="E3655" s="44"/>
      <c r="F3655" s="44"/>
      <c r="G3655" s="44"/>
      <c r="H3655" s="44"/>
      <c r="I3655" s="10">
        <f>ROUNDDOWN(H3670,0)</f>
        <v>589996</v>
      </c>
      <c r="J3655" s="15" t="s">
        <v>595</v>
      </c>
      <c r="K3655" s="39"/>
    </row>
    <row r="3656" spans="3:11" ht="27.6" x14ac:dyDescent="0.3">
      <c r="C3656" s="11" t="s">
        <v>9</v>
      </c>
      <c r="D3656" s="11" t="s">
        <v>10</v>
      </c>
      <c r="E3656" s="11" t="s">
        <v>11</v>
      </c>
      <c r="F3656" s="11" t="s">
        <v>12</v>
      </c>
      <c r="G3656" s="11" t="s">
        <v>13</v>
      </c>
      <c r="H3656" s="11" t="s">
        <v>14</v>
      </c>
    </row>
    <row r="3657" spans="3:11" x14ac:dyDescent="0.25">
      <c r="C3657" s="12" t="s">
        <v>15</v>
      </c>
      <c r="D3657" s="13" t="s">
        <v>16</v>
      </c>
      <c r="E3657" s="14"/>
      <c r="F3657" s="14"/>
      <c r="G3657" s="14"/>
      <c r="H3657" s="14"/>
    </row>
    <row r="3658" spans="3:11" x14ac:dyDescent="0.3">
      <c r="C3658" s="16">
        <v>1</v>
      </c>
      <c r="D3658" s="13" t="s">
        <v>18</v>
      </c>
      <c r="E3658" s="17" t="s">
        <v>19</v>
      </c>
      <c r="F3658" s="18">
        <v>0.17899999999999999</v>
      </c>
      <c r="G3658" s="19">
        <f>VLOOKUP(D3658,upahbahan,3,FALSE)</f>
        <v>100000</v>
      </c>
      <c r="H3658" s="19">
        <f t="shared" ref="H3658:H3661" si="387">F3658*G3658</f>
        <v>17900</v>
      </c>
    </row>
    <row r="3659" spans="3:11" x14ac:dyDescent="0.3">
      <c r="C3659" s="16">
        <v>2</v>
      </c>
      <c r="D3659" s="13" t="s">
        <v>214</v>
      </c>
      <c r="E3659" s="17" t="s">
        <v>19</v>
      </c>
      <c r="F3659" s="18">
        <v>0.29799999999999999</v>
      </c>
      <c r="G3659" s="19">
        <f>VLOOKUP(D3659,upahbahan,3,FALSE)</f>
        <v>145000</v>
      </c>
      <c r="H3659" s="19">
        <f t="shared" si="387"/>
        <v>43210</v>
      </c>
    </row>
    <row r="3660" spans="3:11" x14ac:dyDescent="0.3">
      <c r="C3660" s="16">
        <v>3</v>
      </c>
      <c r="D3660" s="13" t="s">
        <v>22</v>
      </c>
      <c r="E3660" s="17" t="s">
        <v>19</v>
      </c>
      <c r="F3660" s="18">
        <v>0.03</v>
      </c>
      <c r="G3660" s="19">
        <f>VLOOKUP(D3660,upahbahan,3,FALSE)</f>
        <v>175000</v>
      </c>
      <c r="H3660" s="19">
        <f t="shared" si="387"/>
        <v>5250</v>
      </c>
    </row>
    <row r="3661" spans="3:11" x14ac:dyDescent="0.3">
      <c r="C3661" s="16">
        <v>4</v>
      </c>
      <c r="D3661" s="13" t="s">
        <v>23</v>
      </c>
      <c r="E3661" s="17" t="s">
        <v>19</v>
      </c>
      <c r="F3661" s="18">
        <v>0.01</v>
      </c>
      <c r="G3661" s="19">
        <f>VLOOKUP(D3661,upahbahan,3,FALSE)</f>
        <v>200000</v>
      </c>
      <c r="H3661" s="19">
        <f t="shared" si="387"/>
        <v>2000</v>
      </c>
    </row>
    <row r="3662" spans="3:11" x14ac:dyDescent="0.3">
      <c r="C3662" s="21" t="s">
        <v>24</v>
      </c>
      <c r="D3662" s="22"/>
      <c r="E3662" s="22"/>
      <c r="F3662" s="54"/>
      <c r="G3662" s="24"/>
      <c r="H3662" s="19">
        <f>SUM(H3658:H3661)</f>
        <v>68360</v>
      </c>
      <c r="I3662" s="25"/>
    </row>
    <row r="3663" spans="3:11" x14ac:dyDescent="0.25">
      <c r="C3663" s="12" t="s">
        <v>25</v>
      </c>
      <c r="D3663" s="13" t="s">
        <v>26</v>
      </c>
      <c r="E3663" s="14"/>
      <c r="F3663" s="55"/>
      <c r="G3663" s="14"/>
      <c r="H3663" s="14"/>
    </row>
    <row r="3664" spans="3:11" x14ac:dyDescent="0.3">
      <c r="C3664" s="63" t="s">
        <v>202</v>
      </c>
      <c r="D3664" s="26" t="s">
        <v>711</v>
      </c>
      <c r="E3664" s="27" t="s">
        <v>617</v>
      </c>
      <c r="F3664" s="59">
        <v>1.2</v>
      </c>
      <c r="G3664" s="19">
        <f>VLOOKUP(D3664,upahbahan,3,FALSE)</f>
        <v>390000</v>
      </c>
      <c r="H3664" s="19">
        <f t="shared" ref="H3664" si="388">F3664*G3664</f>
        <v>468000</v>
      </c>
    </row>
    <row r="3665" spans="3:11" x14ac:dyDescent="0.3">
      <c r="C3665" s="21" t="s">
        <v>29</v>
      </c>
      <c r="D3665" s="22"/>
      <c r="E3665" s="22"/>
      <c r="F3665" s="22"/>
      <c r="G3665" s="28"/>
      <c r="H3665" s="19">
        <f>SUM(H3664:H3664)</f>
        <v>468000</v>
      </c>
    </row>
    <row r="3666" spans="3:11" x14ac:dyDescent="0.25">
      <c r="C3666" s="12" t="s">
        <v>30</v>
      </c>
      <c r="D3666" s="13" t="s">
        <v>31</v>
      </c>
      <c r="E3666" s="14"/>
      <c r="F3666" s="14"/>
      <c r="G3666" s="14"/>
      <c r="H3666" s="14"/>
    </row>
    <row r="3667" spans="3:11" x14ac:dyDescent="0.3">
      <c r="C3667" s="21" t="s">
        <v>32</v>
      </c>
      <c r="D3667" s="22"/>
      <c r="E3667" s="22"/>
      <c r="F3667" s="22"/>
      <c r="G3667" s="28"/>
      <c r="H3667" s="29">
        <v>0</v>
      </c>
    </row>
    <row r="3668" spans="3:11" x14ac:dyDescent="0.3">
      <c r="C3668" s="30" t="s">
        <v>33</v>
      </c>
      <c r="D3668" s="31" t="s">
        <v>34</v>
      </c>
      <c r="E3668" s="32"/>
      <c r="F3668" s="32"/>
      <c r="G3668" s="33"/>
      <c r="H3668" s="46">
        <f>H3667+H3665+H3662</f>
        <v>536360</v>
      </c>
      <c r="I3668" s="47"/>
    </row>
    <row r="3669" spans="3:11" x14ac:dyDescent="0.3">
      <c r="C3669" s="30" t="s">
        <v>35</v>
      </c>
      <c r="D3669" s="31" t="s">
        <v>36</v>
      </c>
      <c r="E3669" s="32"/>
      <c r="F3669" s="33"/>
      <c r="G3669" s="34">
        <f>$M$9</f>
        <v>0.1</v>
      </c>
      <c r="H3669" s="19">
        <f>H3668*G3669</f>
        <v>53636</v>
      </c>
      <c r="I3669" s="47"/>
    </row>
    <row r="3670" spans="3:11" x14ac:dyDescent="0.3">
      <c r="C3670" s="30" t="s">
        <v>37</v>
      </c>
      <c r="D3670" s="31" t="s">
        <v>38</v>
      </c>
      <c r="E3670" s="32"/>
      <c r="F3670" s="32"/>
      <c r="G3670" s="33"/>
      <c r="H3670" s="48">
        <f>SUM(H3668:H3669)</f>
        <v>589996</v>
      </c>
      <c r="I3670" s="47"/>
    </row>
    <row r="3671" spans="3:11" x14ac:dyDescent="0.3">
      <c r="C3671" s="50"/>
      <c r="D3671" s="51"/>
      <c r="E3671" s="51"/>
      <c r="F3671" s="51"/>
      <c r="G3671" s="51"/>
      <c r="H3671" s="52"/>
    </row>
    <row r="3672" spans="3:11" x14ac:dyDescent="0.3">
      <c r="C3672" s="40" t="s">
        <v>712</v>
      </c>
      <c r="D3672" s="68" t="s">
        <v>713</v>
      </c>
      <c r="E3672" s="44"/>
      <c r="F3672" s="44"/>
      <c r="G3672" s="44"/>
      <c r="H3672" s="44"/>
      <c r="I3672" s="10">
        <f>ROUNDDOWN(H3687,0)</f>
        <v>537196</v>
      </c>
      <c r="J3672" s="15" t="s">
        <v>595</v>
      </c>
      <c r="K3672" s="39"/>
    </row>
    <row r="3673" spans="3:11" ht="27.6" x14ac:dyDescent="0.3">
      <c r="C3673" s="11" t="s">
        <v>9</v>
      </c>
      <c r="D3673" s="11" t="s">
        <v>10</v>
      </c>
      <c r="E3673" s="11" t="s">
        <v>11</v>
      </c>
      <c r="F3673" s="11" t="s">
        <v>12</v>
      </c>
      <c r="G3673" s="11" t="s">
        <v>13</v>
      </c>
      <c r="H3673" s="11" t="s">
        <v>14</v>
      </c>
    </row>
    <row r="3674" spans="3:11" x14ac:dyDescent="0.25">
      <c r="C3674" s="12" t="s">
        <v>15</v>
      </c>
      <c r="D3674" s="13" t="s">
        <v>16</v>
      </c>
      <c r="E3674" s="14"/>
      <c r="F3674" s="14"/>
      <c r="G3674" s="14"/>
      <c r="H3674" s="14"/>
    </row>
    <row r="3675" spans="3:11" x14ac:dyDescent="0.3">
      <c r="C3675" s="16">
        <v>1</v>
      </c>
      <c r="D3675" s="13" t="s">
        <v>18</v>
      </c>
      <c r="E3675" s="17" t="s">
        <v>19</v>
      </c>
      <c r="F3675" s="18">
        <v>0.17899999999999999</v>
      </c>
      <c r="G3675" s="19">
        <f>VLOOKUP(D3675,upahbahan,3,FALSE)</f>
        <v>100000</v>
      </c>
      <c r="H3675" s="19">
        <f t="shared" ref="H3675:H3678" si="389">F3675*G3675</f>
        <v>17900</v>
      </c>
    </row>
    <row r="3676" spans="3:11" x14ac:dyDescent="0.3">
      <c r="C3676" s="16">
        <v>2</v>
      </c>
      <c r="D3676" s="13" t="s">
        <v>214</v>
      </c>
      <c r="E3676" s="17" t="s">
        <v>19</v>
      </c>
      <c r="F3676" s="18">
        <v>0.29799999999999999</v>
      </c>
      <c r="G3676" s="19">
        <f>VLOOKUP(D3676,upahbahan,3,FALSE)</f>
        <v>145000</v>
      </c>
      <c r="H3676" s="19">
        <f t="shared" si="389"/>
        <v>43210</v>
      </c>
    </row>
    <row r="3677" spans="3:11" x14ac:dyDescent="0.3">
      <c r="C3677" s="16">
        <v>3</v>
      </c>
      <c r="D3677" s="13" t="s">
        <v>22</v>
      </c>
      <c r="E3677" s="17" t="s">
        <v>19</v>
      </c>
      <c r="F3677" s="18">
        <v>0.03</v>
      </c>
      <c r="G3677" s="19">
        <f>VLOOKUP(D3677,upahbahan,3,FALSE)</f>
        <v>175000</v>
      </c>
      <c r="H3677" s="19">
        <f t="shared" si="389"/>
        <v>5250</v>
      </c>
    </row>
    <row r="3678" spans="3:11" x14ac:dyDescent="0.3">
      <c r="C3678" s="16">
        <v>4</v>
      </c>
      <c r="D3678" s="13" t="s">
        <v>23</v>
      </c>
      <c r="E3678" s="17" t="s">
        <v>19</v>
      </c>
      <c r="F3678" s="18">
        <v>0.01</v>
      </c>
      <c r="G3678" s="19">
        <f>VLOOKUP(D3678,upahbahan,3,FALSE)</f>
        <v>200000</v>
      </c>
      <c r="H3678" s="19">
        <f t="shared" si="389"/>
        <v>2000</v>
      </c>
    </row>
    <row r="3679" spans="3:11" x14ac:dyDescent="0.3">
      <c r="C3679" s="21" t="s">
        <v>24</v>
      </c>
      <c r="D3679" s="22"/>
      <c r="E3679" s="22"/>
      <c r="F3679" s="54"/>
      <c r="G3679" s="24"/>
      <c r="H3679" s="19">
        <f>SUM(H3675:H3678)</f>
        <v>68360</v>
      </c>
      <c r="I3679" s="25"/>
    </row>
    <row r="3680" spans="3:11" x14ac:dyDescent="0.25">
      <c r="C3680" s="12" t="s">
        <v>25</v>
      </c>
      <c r="D3680" s="13" t="s">
        <v>26</v>
      </c>
      <c r="E3680" s="14"/>
      <c r="F3680" s="55"/>
      <c r="G3680" s="14"/>
      <c r="H3680" s="14"/>
    </row>
    <row r="3681" spans="3:11" x14ac:dyDescent="0.3">
      <c r="C3681" s="63" t="s">
        <v>202</v>
      </c>
      <c r="D3681" s="26" t="s">
        <v>714</v>
      </c>
      <c r="E3681" s="27" t="s">
        <v>617</v>
      </c>
      <c r="F3681" s="59">
        <v>1.2</v>
      </c>
      <c r="G3681" s="19">
        <f>VLOOKUP(D3681,upahbahan,3,FALSE)</f>
        <v>350000</v>
      </c>
      <c r="H3681" s="19">
        <f t="shared" ref="H3681" si="390">F3681*G3681</f>
        <v>420000</v>
      </c>
    </row>
    <row r="3682" spans="3:11" x14ac:dyDescent="0.3">
      <c r="C3682" s="21" t="s">
        <v>29</v>
      </c>
      <c r="D3682" s="22"/>
      <c r="E3682" s="22"/>
      <c r="F3682" s="22"/>
      <c r="G3682" s="28"/>
      <c r="H3682" s="19">
        <f>SUM(H3681:H3681)</f>
        <v>420000</v>
      </c>
    </row>
    <row r="3683" spans="3:11" x14ac:dyDescent="0.25">
      <c r="C3683" s="12" t="s">
        <v>30</v>
      </c>
      <c r="D3683" s="13" t="s">
        <v>31</v>
      </c>
      <c r="E3683" s="14"/>
      <c r="F3683" s="14"/>
      <c r="G3683" s="14"/>
      <c r="H3683" s="14"/>
    </row>
    <row r="3684" spans="3:11" x14ac:dyDescent="0.3">
      <c r="C3684" s="21" t="s">
        <v>32</v>
      </c>
      <c r="D3684" s="22"/>
      <c r="E3684" s="22"/>
      <c r="F3684" s="22"/>
      <c r="G3684" s="28"/>
      <c r="H3684" s="29">
        <v>0</v>
      </c>
    </row>
    <row r="3685" spans="3:11" x14ac:dyDescent="0.3">
      <c r="C3685" s="30" t="s">
        <v>33</v>
      </c>
      <c r="D3685" s="31" t="s">
        <v>34</v>
      </c>
      <c r="E3685" s="32"/>
      <c r="F3685" s="32"/>
      <c r="G3685" s="33"/>
      <c r="H3685" s="46">
        <f>H3684+H3682+H3679</f>
        <v>488360</v>
      </c>
      <c r="I3685" s="47"/>
    </row>
    <row r="3686" spans="3:11" x14ac:dyDescent="0.3">
      <c r="C3686" s="30" t="s">
        <v>35</v>
      </c>
      <c r="D3686" s="31" t="s">
        <v>36</v>
      </c>
      <c r="E3686" s="32"/>
      <c r="F3686" s="33"/>
      <c r="G3686" s="34">
        <f>$M$9</f>
        <v>0.1</v>
      </c>
      <c r="H3686" s="19">
        <f>H3685*G3686</f>
        <v>48836</v>
      </c>
      <c r="I3686" s="47"/>
    </row>
    <row r="3687" spans="3:11" x14ac:dyDescent="0.3">
      <c r="C3687" s="30" t="s">
        <v>37</v>
      </c>
      <c r="D3687" s="31" t="s">
        <v>38</v>
      </c>
      <c r="E3687" s="32"/>
      <c r="F3687" s="32"/>
      <c r="G3687" s="33"/>
      <c r="H3687" s="48">
        <f>SUM(H3685:H3686)</f>
        <v>537196</v>
      </c>
      <c r="I3687" s="47"/>
    </row>
    <row r="3688" spans="3:11" x14ac:dyDescent="0.3">
      <c r="C3688" s="50"/>
      <c r="D3688" s="51"/>
      <c r="E3688" s="51"/>
      <c r="F3688" s="51"/>
      <c r="G3688" s="51"/>
      <c r="H3688" s="52"/>
    </row>
    <row r="3689" spans="3:11" x14ac:dyDescent="0.3">
      <c r="C3689" s="40" t="s">
        <v>715</v>
      </c>
      <c r="D3689" s="68" t="s">
        <v>716</v>
      </c>
      <c r="E3689" s="44"/>
      <c r="F3689" s="44"/>
      <c r="G3689" s="44"/>
      <c r="H3689" s="44"/>
      <c r="I3689" s="10">
        <f>ROUNDDOWN(H3704,0)</f>
        <v>550396</v>
      </c>
      <c r="J3689" s="15" t="s">
        <v>595</v>
      </c>
      <c r="K3689" s="39"/>
    </row>
    <row r="3690" spans="3:11" ht="27.6" x14ac:dyDescent="0.3">
      <c r="C3690" s="11" t="s">
        <v>9</v>
      </c>
      <c r="D3690" s="11" t="s">
        <v>10</v>
      </c>
      <c r="E3690" s="11" t="s">
        <v>11</v>
      </c>
      <c r="F3690" s="11" t="s">
        <v>12</v>
      </c>
      <c r="G3690" s="11" t="s">
        <v>13</v>
      </c>
      <c r="H3690" s="11" t="s">
        <v>14</v>
      </c>
    </row>
    <row r="3691" spans="3:11" x14ac:dyDescent="0.25">
      <c r="C3691" s="12" t="s">
        <v>15</v>
      </c>
      <c r="D3691" s="13" t="s">
        <v>16</v>
      </c>
      <c r="E3691" s="14"/>
      <c r="F3691" s="14"/>
      <c r="G3691" s="14"/>
      <c r="H3691" s="14"/>
    </row>
    <row r="3692" spans="3:11" x14ac:dyDescent="0.3">
      <c r="C3692" s="16">
        <v>1</v>
      </c>
      <c r="D3692" s="13" t="s">
        <v>18</v>
      </c>
      <c r="E3692" s="17" t="s">
        <v>19</v>
      </c>
      <c r="F3692" s="18">
        <v>0.17899999999999999</v>
      </c>
      <c r="G3692" s="19">
        <f>VLOOKUP(D3692,upahbahan,3,FALSE)</f>
        <v>100000</v>
      </c>
      <c r="H3692" s="19">
        <f t="shared" ref="H3692:H3695" si="391">F3692*G3692</f>
        <v>17900</v>
      </c>
    </row>
    <row r="3693" spans="3:11" x14ac:dyDescent="0.3">
      <c r="C3693" s="16">
        <v>2</v>
      </c>
      <c r="D3693" s="13" t="s">
        <v>214</v>
      </c>
      <c r="E3693" s="17" t="s">
        <v>19</v>
      </c>
      <c r="F3693" s="18">
        <v>0.29799999999999999</v>
      </c>
      <c r="G3693" s="19">
        <f>VLOOKUP(D3693,upahbahan,3,FALSE)</f>
        <v>145000</v>
      </c>
      <c r="H3693" s="19">
        <f t="shared" si="391"/>
        <v>43210</v>
      </c>
    </row>
    <row r="3694" spans="3:11" x14ac:dyDescent="0.3">
      <c r="C3694" s="16">
        <v>3</v>
      </c>
      <c r="D3694" s="13" t="s">
        <v>22</v>
      </c>
      <c r="E3694" s="17" t="s">
        <v>19</v>
      </c>
      <c r="F3694" s="18">
        <v>0.03</v>
      </c>
      <c r="G3694" s="19">
        <f>VLOOKUP(D3694,upahbahan,3,FALSE)</f>
        <v>175000</v>
      </c>
      <c r="H3694" s="19">
        <f t="shared" si="391"/>
        <v>5250</v>
      </c>
    </row>
    <row r="3695" spans="3:11" x14ac:dyDescent="0.3">
      <c r="C3695" s="16">
        <v>4</v>
      </c>
      <c r="D3695" s="13" t="s">
        <v>23</v>
      </c>
      <c r="E3695" s="17" t="s">
        <v>19</v>
      </c>
      <c r="F3695" s="18">
        <v>0.01</v>
      </c>
      <c r="G3695" s="19">
        <f>VLOOKUP(D3695,upahbahan,3,FALSE)</f>
        <v>200000</v>
      </c>
      <c r="H3695" s="19">
        <f t="shared" si="391"/>
        <v>2000</v>
      </c>
    </row>
    <row r="3696" spans="3:11" x14ac:dyDescent="0.3">
      <c r="C3696" s="21" t="s">
        <v>24</v>
      </c>
      <c r="D3696" s="22"/>
      <c r="E3696" s="22"/>
      <c r="F3696" s="54"/>
      <c r="G3696" s="24"/>
      <c r="H3696" s="19">
        <f>SUM(H3692:H3695)</f>
        <v>68360</v>
      </c>
      <c r="I3696" s="25"/>
    </row>
    <row r="3697" spans="3:11" x14ac:dyDescent="0.25">
      <c r="C3697" s="12" t="s">
        <v>25</v>
      </c>
      <c r="D3697" s="13" t="s">
        <v>26</v>
      </c>
      <c r="E3697" s="14"/>
      <c r="F3697" s="55"/>
      <c r="G3697" s="14"/>
      <c r="H3697" s="14"/>
    </row>
    <row r="3698" spans="3:11" x14ac:dyDescent="0.3">
      <c r="C3698" s="63" t="s">
        <v>202</v>
      </c>
      <c r="D3698" s="26" t="s">
        <v>717</v>
      </c>
      <c r="E3698" s="27" t="s">
        <v>617</v>
      </c>
      <c r="F3698" s="59">
        <v>1.2</v>
      </c>
      <c r="G3698" s="19">
        <f>VLOOKUP(D3698,upahbahan,3,FALSE)</f>
        <v>360000</v>
      </c>
      <c r="H3698" s="19">
        <f t="shared" ref="H3698" si="392">F3698*G3698</f>
        <v>432000</v>
      </c>
    </row>
    <row r="3699" spans="3:11" x14ac:dyDescent="0.3">
      <c r="C3699" s="21" t="s">
        <v>29</v>
      </c>
      <c r="D3699" s="22"/>
      <c r="E3699" s="22"/>
      <c r="F3699" s="22"/>
      <c r="G3699" s="28"/>
      <c r="H3699" s="19">
        <f>SUM(H3698:H3698)</f>
        <v>432000</v>
      </c>
    </row>
    <row r="3700" spans="3:11" x14ac:dyDescent="0.25">
      <c r="C3700" s="12" t="s">
        <v>30</v>
      </c>
      <c r="D3700" s="13" t="s">
        <v>31</v>
      </c>
      <c r="E3700" s="14"/>
      <c r="F3700" s="14"/>
      <c r="G3700" s="14"/>
      <c r="H3700" s="14"/>
    </row>
    <row r="3701" spans="3:11" x14ac:dyDescent="0.3">
      <c r="C3701" s="21" t="s">
        <v>32</v>
      </c>
      <c r="D3701" s="22"/>
      <c r="E3701" s="22"/>
      <c r="F3701" s="22"/>
      <c r="G3701" s="28"/>
      <c r="H3701" s="29">
        <v>0</v>
      </c>
    </row>
    <row r="3702" spans="3:11" x14ac:dyDescent="0.3">
      <c r="C3702" s="30" t="s">
        <v>33</v>
      </c>
      <c r="D3702" s="31" t="s">
        <v>34</v>
      </c>
      <c r="E3702" s="32"/>
      <c r="F3702" s="32"/>
      <c r="G3702" s="33"/>
      <c r="H3702" s="46">
        <f>H3701+H3699+H3696</f>
        <v>500360</v>
      </c>
      <c r="I3702" s="47"/>
    </row>
    <row r="3703" spans="3:11" x14ac:dyDescent="0.3">
      <c r="C3703" s="30" t="s">
        <v>35</v>
      </c>
      <c r="D3703" s="31" t="s">
        <v>36</v>
      </c>
      <c r="E3703" s="32"/>
      <c r="F3703" s="33"/>
      <c r="G3703" s="34">
        <f>$M$9</f>
        <v>0.1</v>
      </c>
      <c r="H3703" s="19">
        <f>H3702*G3703</f>
        <v>50036</v>
      </c>
      <c r="I3703" s="47"/>
    </row>
    <row r="3704" spans="3:11" x14ac:dyDescent="0.3">
      <c r="C3704" s="30" t="s">
        <v>37</v>
      </c>
      <c r="D3704" s="31" t="s">
        <v>38</v>
      </c>
      <c r="E3704" s="32"/>
      <c r="F3704" s="32"/>
      <c r="G3704" s="33"/>
      <c r="H3704" s="48">
        <f>SUM(H3702:H3703)</f>
        <v>550396</v>
      </c>
      <c r="I3704" s="47"/>
    </row>
    <row r="3705" spans="3:11" x14ac:dyDescent="0.3">
      <c r="C3705" s="50"/>
      <c r="D3705" s="51"/>
      <c r="E3705" s="51"/>
      <c r="F3705" s="51"/>
      <c r="G3705" s="51"/>
      <c r="H3705" s="52"/>
    </row>
    <row r="3706" spans="3:11" x14ac:dyDescent="0.3">
      <c r="C3706" s="40" t="s">
        <v>718</v>
      </c>
      <c r="D3706" s="68" t="s">
        <v>719</v>
      </c>
      <c r="E3706" s="44"/>
      <c r="F3706" s="44"/>
      <c r="G3706" s="44"/>
      <c r="H3706" s="44"/>
      <c r="I3706" s="10">
        <f>ROUNDDOWN(H3721,0)</f>
        <v>563596</v>
      </c>
      <c r="J3706" s="15" t="s">
        <v>595</v>
      </c>
      <c r="K3706" s="39"/>
    </row>
    <row r="3707" spans="3:11" ht="27.6" x14ac:dyDescent="0.3">
      <c r="C3707" s="11" t="s">
        <v>9</v>
      </c>
      <c r="D3707" s="11" t="s">
        <v>10</v>
      </c>
      <c r="E3707" s="11" t="s">
        <v>11</v>
      </c>
      <c r="F3707" s="11" t="s">
        <v>12</v>
      </c>
      <c r="G3707" s="11" t="s">
        <v>13</v>
      </c>
      <c r="H3707" s="11" t="s">
        <v>14</v>
      </c>
    </row>
    <row r="3708" spans="3:11" x14ac:dyDescent="0.25">
      <c r="C3708" s="12" t="s">
        <v>15</v>
      </c>
      <c r="D3708" s="13" t="s">
        <v>16</v>
      </c>
      <c r="E3708" s="14"/>
      <c r="F3708" s="14"/>
      <c r="G3708" s="14"/>
      <c r="H3708" s="14"/>
    </row>
    <row r="3709" spans="3:11" x14ac:dyDescent="0.3">
      <c r="C3709" s="16">
        <v>1</v>
      </c>
      <c r="D3709" s="13" t="s">
        <v>18</v>
      </c>
      <c r="E3709" s="17" t="s">
        <v>19</v>
      </c>
      <c r="F3709" s="18">
        <v>0.17899999999999999</v>
      </c>
      <c r="G3709" s="19">
        <f>VLOOKUP(D3709,upahbahan,3,FALSE)</f>
        <v>100000</v>
      </c>
      <c r="H3709" s="19">
        <f t="shared" ref="H3709:H3712" si="393">F3709*G3709</f>
        <v>17900</v>
      </c>
    </row>
    <row r="3710" spans="3:11" x14ac:dyDescent="0.3">
      <c r="C3710" s="16">
        <v>2</v>
      </c>
      <c r="D3710" s="13" t="s">
        <v>214</v>
      </c>
      <c r="E3710" s="17" t="s">
        <v>19</v>
      </c>
      <c r="F3710" s="18">
        <v>0.29799999999999999</v>
      </c>
      <c r="G3710" s="19">
        <f>VLOOKUP(D3710,upahbahan,3,FALSE)</f>
        <v>145000</v>
      </c>
      <c r="H3710" s="19">
        <f t="shared" si="393"/>
        <v>43210</v>
      </c>
    </row>
    <row r="3711" spans="3:11" x14ac:dyDescent="0.3">
      <c r="C3711" s="16">
        <v>3</v>
      </c>
      <c r="D3711" s="13" t="s">
        <v>22</v>
      </c>
      <c r="E3711" s="17" t="s">
        <v>19</v>
      </c>
      <c r="F3711" s="18">
        <v>0.03</v>
      </c>
      <c r="G3711" s="19">
        <f>VLOOKUP(D3711,upahbahan,3,FALSE)</f>
        <v>175000</v>
      </c>
      <c r="H3711" s="19">
        <f t="shared" si="393"/>
        <v>5250</v>
      </c>
    </row>
    <row r="3712" spans="3:11" x14ac:dyDescent="0.3">
      <c r="C3712" s="16">
        <v>4</v>
      </c>
      <c r="D3712" s="13" t="s">
        <v>23</v>
      </c>
      <c r="E3712" s="17" t="s">
        <v>19</v>
      </c>
      <c r="F3712" s="18">
        <v>0.01</v>
      </c>
      <c r="G3712" s="19">
        <f>VLOOKUP(D3712,upahbahan,3,FALSE)</f>
        <v>200000</v>
      </c>
      <c r="H3712" s="19">
        <f t="shared" si="393"/>
        <v>2000</v>
      </c>
    </row>
    <row r="3713" spans="3:11" x14ac:dyDescent="0.3">
      <c r="C3713" s="21" t="s">
        <v>24</v>
      </c>
      <c r="D3713" s="22"/>
      <c r="E3713" s="22"/>
      <c r="F3713" s="54"/>
      <c r="G3713" s="24"/>
      <c r="H3713" s="19">
        <f>SUM(H3709:H3712)</f>
        <v>68360</v>
      </c>
      <c r="I3713" s="25"/>
    </row>
    <row r="3714" spans="3:11" x14ac:dyDescent="0.25">
      <c r="C3714" s="12" t="s">
        <v>25</v>
      </c>
      <c r="D3714" s="13" t="s">
        <v>26</v>
      </c>
      <c r="E3714" s="14"/>
      <c r="F3714" s="55"/>
      <c r="G3714" s="14"/>
      <c r="H3714" s="14"/>
    </row>
    <row r="3715" spans="3:11" x14ac:dyDescent="0.3">
      <c r="C3715" s="63" t="s">
        <v>202</v>
      </c>
      <c r="D3715" s="26" t="s">
        <v>720</v>
      </c>
      <c r="E3715" s="27" t="s">
        <v>617</v>
      </c>
      <c r="F3715" s="59">
        <v>1.2</v>
      </c>
      <c r="G3715" s="19">
        <f>VLOOKUP(D3715,upahbahan,3,FALSE)</f>
        <v>370000</v>
      </c>
      <c r="H3715" s="19">
        <f t="shared" ref="H3715" si="394">F3715*G3715</f>
        <v>444000</v>
      </c>
    </row>
    <row r="3716" spans="3:11" x14ac:dyDescent="0.3">
      <c r="C3716" s="21" t="s">
        <v>29</v>
      </c>
      <c r="D3716" s="22"/>
      <c r="E3716" s="22"/>
      <c r="F3716" s="22"/>
      <c r="G3716" s="28"/>
      <c r="H3716" s="19">
        <f>SUM(H3715:H3715)</f>
        <v>444000</v>
      </c>
    </row>
    <row r="3717" spans="3:11" x14ac:dyDescent="0.25">
      <c r="C3717" s="12" t="s">
        <v>30</v>
      </c>
      <c r="D3717" s="13" t="s">
        <v>31</v>
      </c>
      <c r="E3717" s="14"/>
      <c r="F3717" s="14"/>
      <c r="G3717" s="14"/>
      <c r="H3717" s="14"/>
    </row>
    <row r="3718" spans="3:11" x14ac:dyDescent="0.3">
      <c r="C3718" s="21" t="s">
        <v>32</v>
      </c>
      <c r="D3718" s="22"/>
      <c r="E3718" s="22"/>
      <c r="F3718" s="22"/>
      <c r="G3718" s="28"/>
      <c r="H3718" s="29">
        <v>0</v>
      </c>
    </row>
    <row r="3719" spans="3:11" x14ac:dyDescent="0.3">
      <c r="C3719" s="30" t="s">
        <v>33</v>
      </c>
      <c r="D3719" s="31" t="s">
        <v>34</v>
      </c>
      <c r="E3719" s="32"/>
      <c r="F3719" s="32"/>
      <c r="G3719" s="33"/>
      <c r="H3719" s="46">
        <f>H3718+H3716+H3713</f>
        <v>512360</v>
      </c>
      <c r="I3719" s="47"/>
    </row>
    <row r="3720" spans="3:11" x14ac:dyDescent="0.3">
      <c r="C3720" s="30" t="s">
        <v>35</v>
      </c>
      <c r="D3720" s="31" t="s">
        <v>36</v>
      </c>
      <c r="E3720" s="32"/>
      <c r="F3720" s="33"/>
      <c r="G3720" s="34">
        <f>$M$9</f>
        <v>0.1</v>
      </c>
      <c r="H3720" s="19">
        <f>H3719*G3720</f>
        <v>51236</v>
      </c>
      <c r="I3720" s="47"/>
    </row>
    <row r="3721" spans="3:11" x14ac:dyDescent="0.3">
      <c r="C3721" s="30" t="s">
        <v>37</v>
      </c>
      <c r="D3721" s="31" t="s">
        <v>38</v>
      </c>
      <c r="E3721" s="32"/>
      <c r="F3721" s="32"/>
      <c r="G3721" s="33"/>
      <c r="H3721" s="48">
        <f>SUM(H3719:H3720)</f>
        <v>563596</v>
      </c>
      <c r="I3721" s="47"/>
    </row>
    <row r="3722" spans="3:11" ht="15.75" customHeight="1" x14ac:dyDescent="0.3">
      <c r="C3722" s="50"/>
      <c r="D3722" s="51"/>
      <c r="E3722" s="51"/>
      <c r="F3722" s="51"/>
      <c r="G3722" s="51"/>
      <c r="H3722" s="52"/>
    </row>
    <row r="3723" spans="3:11" x14ac:dyDescent="0.3">
      <c r="C3723" s="40" t="s">
        <v>721</v>
      </c>
      <c r="D3723" s="68" t="s">
        <v>722</v>
      </c>
      <c r="E3723" s="44"/>
      <c r="F3723" s="44"/>
      <c r="G3723" s="44"/>
      <c r="H3723" s="44"/>
      <c r="I3723" s="10">
        <f>ROUNDDOWN(H3738,0)</f>
        <v>576796</v>
      </c>
      <c r="J3723" s="15" t="s">
        <v>595</v>
      </c>
      <c r="K3723" s="39"/>
    </row>
    <row r="3724" spans="3:11" ht="27.6" x14ac:dyDescent="0.3">
      <c r="C3724" s="11" t="s">
        <v>9</v>
      </c>
      <c r="D3724" s="11" t="s">
        <v>10</v>
      </c>
      <c r="E3724" s="11" t="s">
        <v>11</v>
      </c>
      <c r="F3724" s="11" t="s">
        <v>12</v>
      </c>
      <c r="G3724" s="11" t="s">
        <v>13</v>
      </c>
      <c r="H3724" s="11" t="s">
        <v>14</v>
      </c>
    </row>
    <row r="3725" spans="3:11" x14ac:dyDescent="0.25">
      <c r="C3725" s="12" t="s">
        <v>15</v>
      </c>
      <c r="D3725" s="13" t="s">
        <v>16</v>
      </c>
      <c r="E3725" s="14"/>
      <c r="F3725" s="14"/>
      <c r="G3725" s="14"/>
      <c r="H3725" s="14"/>
    </row>
    <row r="3726" spans="3:11" x14ac:dyDescent="0.3">
      <c r="C3726" s="16">
        <v>1</v>
      </c>
      <c r="D3726" s="13" t="s">
        <v>18</v>
      </c>
      <c r="E3726" s="17" t="s">
        <v>19</v>
      </c>
      <c r="F3726" s="18">
        <v>0.17899999999999999</v>
      </c>
      <c r="G3726" s="19">
        <f>VLOOKUP(D3726,upahbahan,3,FALSE)</f>
        <v>100000</v>
      </c>
      <c r="H3726" s="19">
        <f t="shared" ref="H3726:H3729" si="395">F3726*G3726</f>
        <v>17900</v>
      </c>
    </row>
    <row r="3727" spans="3:11" x14ac:dyDescent="0.3">
      <c r="C3727" s="16">
        <v>2</v>
      </c>
      <c r="D3727" s="13" t="s">
        <v>214</v>
      </c>
      <c r="E3727" s="17" t="s">
        <v>19</v>
      </c>
      <c r="F3727" s="18">
        <v>0.29799999999999999</v>
      </c>
      <c r="G3727" s="19">
        <f>VLOOKUP(D3727,upahbahan,3,FALSE)</f>
        <v>145000</v>
      </c>
      <c r="H3727" s="19">
        <f t="shared" si="395"/>
        <v>43210</v>
      </c>
    </row>
    <row r="3728" spans="3:11" x14ac:dyDescent="0.3">
      <c r="C3728" s="16">
        <v>3</v>
      </c>
      <c r="D3728" s="13" t="s">
        <v>22</v>
      </c>
      <c r="E3728" s="17" t="s">
        <v>19</v>
      </c>
      <c r="F3728" s="18">
        <v>0.03</v>
      </c>
      <c r="G3728" s="19">
        <f>VLOOKUP(D3728,upahbahan,3,FALSE)</f>
        <v>175000</v>
      </c>
      <c r="H3728" s="19">
        <f t="shared" si="395"/>
        <v>5250</v>
      </c>
    </row>
    <row r="3729" spans="3:11" x14ac:dyDescent="0.3">
      <c r="C3729" s="16">
        <v>4</v>
      </c>
      <c r="D3729" s="13" t="s">
        <v>23</v>
      </c>
      <c r="E3729" s="17" t="s">
        <v>19</v>
      </c>
      <c r="F3729" s="18">
        <v>0.01</v>
      </c>
      <c r="G3729" s="19">
        <f>VLOOKUP(D3729,upahbahan,3,FALSE)</f>
        <v>200000</v>
      </c>
      <c r="H3729" s="19">
        <f t="shared" si="395"/>
        <v>2000</v>
      </c>
    </row>
    <row r="3730" spans="3:11" x14ac:dyDescent="0.3">
      <c r="C3730" s="21" t="s">
        <v>24</v>
      </c>
      <c r="D3730" s="22"/>
      <c r="E3730" s="22"/>
      <c r="F3730" s="54"/>
      <c r="G3730" s="24"/>
      <c r="H3730" s="19">
        <f>SUM(H3726:H3729)</f>
        <v>68360</v>
      </c>
      <c r="I3730" s="25"/>
    </row>
    <row r="3731" spans="3:11" x14ac:dyDescent="0.25">
      <c r="C3731" s="12" t="s">
        <v>25</v>
      </c>
      <c r="D3731" s="13" t="s">
        <v>26</v>
      </c>
      <c r="E3731" s="14"/>
      <c r="F3731" s="55"/>
      <c r="G3731" s="14"/>
      <c r="H3731" s="14"/>
    </row>
    <row r="3732" spans="3:11" x14ac:dyDescent="0.3">
      <c r="C3732" s="63" t="s">
        <v>202</v>
      </c>
      <c r="D3732" s="26" t="s">
        <v>723</v>
      </c>
      <c r="E3732" s="27" t="s">
        <v>617</v>
      </c>
      <c r="F3732" s="59">
        <v>1.2</v>
      </c>
      <c r="G3732" s="19">
        <f>VLOOKUP(D3732,upahbahan,3,FALSE)</f>
        <v>380000</v>
      </c>
      <c r="H3732" s="19">
        <f t="shared" ref="H3732" si="396">F3732*G3732</f>
        <v>456000</v>
      </c>
    </row>
    <row r="3733" spans="3:11" x14ac:dyDescent="0.3">
      <c r="C3733" s="21" t="s">
        <v>29</v>
      </c>
      <c r="D3733" s="22"/>
      <c r="E3733" s="22"/>
      <c r="F3733" s="22"/>
      <c r="G3733" s="28"/>
      <c r="H3733" s="19">
        <f>SUM(H3732:H3732)</f>
        <v>456000</v>
      </c>
    </row>
    <row r="3734" spans="3:11" x14ac:dyDescent="0.25">
      <c r="C3734" s="12" t="s">
        <v>30</v>
      </c>
      <c r="D3734" s="13" t="s">
        <v>31</v>
      </c>
      <c r="E3734" s="14"/>
      <c r="F3734" s="14"/>
      <c r="G3734" s="14"/>
      <c r="H3734" s="14"/>
    </row>
    <row r="3735" spans="3:11" x14ac:dyDescent="0.3">
      <c r="C3735" s="21" t="s">
        <v>32</v>
      </c>
      <c r="D3735" s="22"/>
      <c r="E3735" s="22"/>
      <c r="F3735" s="22"/>
      <c r="G3735" s="28"/>
      <c r="H3735" s="29">
        <v>0</v>
      </c>
    </row>
    <row r="3736" spans="3:11" x14ac:dyDescent="0.3">
      <c r="C3736" s="30" t="s">
        <v>33</v>
      </c>
      <c r="D3736" s="31" t="s">
        <v>34</v>
      </c>
      <c r="E3736" s="32"/>
      <c r="F3736" s="32"/>
      <c r="G3736" s="33"/>
      <c r="H3736" s="46">
        <f>H3735+H3733+H3730</f>
        <v>524360</v>
      </c>
      <c r="I3736" s="47"/>
    </row>
    <row r="3737" spans="3:11" x14ac:dyDescent="0.3">
      <c r="C3737" s="30" t="s">
        <v>35</v>
      </c>
      <c r="D3737" s="31" t="s">
        <v>36</v>
      </c>
      <c r="E3737" s="32"/>
      <c r="F3737" s="33"/>
      <c r="G3737" s="34">
        <f>$M$9</f>
        <v>0.1</v>
      </c>
      <c r="H3737" s="19">
        <f>H3736*G3737</f>
        <v>52436</v>
      </c>
      <c r="I3737" s="47"/>
    </row>
    <row r="3738" spans="3:11" x14ac:dyDescent="0.3">
      <c r="C3738" s="30" t="s">
        <v>37</v>
      </c>
      <c r="D3738" s="31" t="s">
        <v>38</v>
      </c>
      <c r="E3738" s="32"/>
      <c r="F3738" s="32"/>
      <c r="G3738" s="33"/>
      <c r="H3738" s="48">
        <f>SUM(H3736:H3737)</f>
        <v>576796</v>
      </c>
      <c r="I3738" s="47"/>
    </row>
    <row r="3739" spans="3:11" x14ac:dyDescent="0.3">
      <c r="C3739" s="50"/>
      <c r="D3739" s="51"/>
      <c r="E3739" s="51"/>
      <c r="F3739" s="51"/>
      <c r="G3739" s="51"/>
      <c r="H3739" s="52"/>
    </row>
    <row r="3740" spans="3:11" x14ac:dyDescent="0.3">
      <c r="C3740" s="40" t="s">
        <v>724</v>
      </c>
      <c r="D3740" s="68" t="s">
        <v>725</v>
      </c>
      <c r="E3740" s="44"/>
      <c r="F3740" s="44"/>
      <c r="G3740" s="44"/>
      <c r="H3740" s="44"/>
      <c r="I3740" s="10">
        <f>ROUNDDOWN(H3755,0)</f>
        <v>589996</v>
      </c>
      <c r="J3740" s="15" t="s">
        <v>595</v>
      </c>
      <c r="K3740" s="39"/>
    </row>
    <row r="3741" spans="3:11" ht="27.6" x14ac:dyDescent="0.3">
      <c r="C3741" s="11" t="s">
        <v>9</v>
      </c>
      <c r="D3741" s="11" t="s">
        <v>10</v>
      </c>
      <c r="E3741" s="11" t="s">
        <v>11</v>
      </c>
      <c r="F3741" s="11" t="s">
        <v>12</v>
      </c>
      <c r="G3741" s="11" t="s">
        <v>13</v>
      </c>
      <c r="H3741" s="11" t="s">
        <v>14</v>
      </c>
    </row>
    <row r="3742" spans="3:11" x14ac:dyDescent="0.25">
      <c r="C3742" s="12" t="s">
        <v>15</v>
      </c>
      <c r="D3742" s="13" t="s">
        <v>16</v>
      </c>
      <c r="E3742" s="14"/>
      <c r="F3742" s="14"/>
      <c r="G3742" s="14"/>
      <c r="H3742" s="14"/>
    </row>
    <row r="3743" spans="3:11" x14ac:dyDescent="0.3">
      <c r="C3743" s="16">
        <v>1</v>
      </c>
      <c r="D3743" s="13" t="s">
        <v>18</v>
      </c>
      <c r="E3743" s="17" t="s">
        <v>19</v>
      </c>
      <c r="F3743" s="18">
        <v>0.17899999999999999</v>
      </c>
      <c r="G3743" s="19">
        <f>VLOOKUP(D3743,upahbahan,3,FALSE)</f>
        <v>100000</v>
      </c>
      <c r="H3743" s="19">
        <f t="shared" ref="H3743:H3746" si="397">F3743*G3743</f>
        <v>17900</v>
      </c>
    </row>
    <row r="3744" spans="3:11" x14ac:dyDescent="0.3">
      <c r="C3744" s="16">
        <v>2</v>
      </c>
      <c r="D3744" s="13" t="s">
        <v>214</v>
      </c>
      <c r="E3744" s="17" t="s">
        <v>19</v>
      </c>
      <c r="F3744" s="18">
        <v>0.29799999999999999</v>
      </c>
      <c r="G3744" s="19">
        <f>VLOOKUP(D3744,upahbahan,3,FALSE)</f>
        <v>145000</v>
      </c>
      <c r="H3744" s="19">
        <f t="shared" si="397"/>
        <v>43210</v>
      </c>
    </row>
    <row r="3745" spans="3:11" x14ac:dyDescent="0.3">
      <c r="C3745" s="16">
        <v>3</v>
      </c>
      <c r="D3745" s="13" t="s">
        <v>22</v>
      </c>
      <c r="E3745" s="17" t="s">
        <v>19</v>
      </c>
      <c r="F3745" s="18">
        <v>0.03</v>
      </c>
      <c r="G3745" s="19">
        <f>VLOOKUP(D3745,upahbahan,3,FALSE)</f>
        <v>175000</v>
      </c>
      <c r="H3745" s="19">
        <f t="shared" si="397"/>
        <v>5250</v>
      </c>
    </row>
    <row r="3746" spans="3:11" x14ac:dyDescent="0.3">
      <c r="C3746" s="16">
        <v>4</v>
      </c>
      <c r="D3746" s="13" t="s">
        <v>23</v>
      </c>
      <c r="E3746" s="17" t="s">
        <v>19</v>
      </c>
      <c r="F3746" s="18">
        <v>0.01</v>
      </c>
      <c r="G3746" s="19">
        <f>VLOOKUP(D3746,upahbahan,3,FALSE)</f>
        <v>200000</v>
      </c>
      <c r="H3746" s="19">
        <f t="shared" si="397"/>
        <v>2000</v>
      </c>
    </row>
    <row r="3747" spans="3:11" x14ac:dyDescent="0.3">
      <c r="C3747" s="21" t="s">
        <v>24</v>
      </c>
      <c r="D3747" s="22"/>
      <c r="E3747" s="22"/>
      <c r="F3747" s="54"/>
      <c r="G3747" s="24"/>
      <c r="H3747" s="19">
        <f>SUM(H3743:H3746)</f>
        <v>68360</v>
      </c>
      <c r="I3747" s="25"/>
    </row>
    <row r="3748" spans="3:11" x14ac:dyDescent="0.25">
      <c r="C3748" s="12" t="s">
        <v>25</v>
      </c>
      <c r="D3748" s="13" t="s">
        <v>26</v>
      </c>
      <c r="E3748" s="14"/>
      <c r="F3748" s="55"/>
      <c r="G3748" s="14"/>
      <c r="H3748" s="14"/>
    </row>
    <row r="3749" spans="3:11" x14ac:dyDescent="0.3">
      <c r="C3749" s="63" t="s">
        <v>202</v>
      </c>
      <c r="D3749" s="26" t="s">
        <v>726</v>
      </c>
      <c r="E3749" s="27" t="s">
        <v>617</v>
      </c>
      <c r="F3749" s="59">
        <v>1.2</v>
      </c>
      <c r="G3749" s="19">
        <f>VLOOKUP(D3749,upahbahan,3,FALSE)</f>
        <v>390000</v>
      </c>
      <c r="H3749" s="19">
        <f t="shared" ref="H3749" si="398">F3749*G3749</f>
        <v>468000</v>
      </c>
    </row>
    <row r="3750" spans="3:11" x14ac:dyDescent="0.3">
      <c r="C3750" s="21" t="s">
        <v>29</v>
      </c>
      <c r="D3750" s="22"/>
      <c r="E3750" s="22"/>
      <c r="F3750" s="22"/>
      <c r="G3750" s="28"/>
      <c r="H3750" s="19">
        <f>SUM(H3749:H3749)</f>
        <v>468000</v>
      </c>
    </row>
    <row r="3751" spans="3:11" x14ac:dyDescent="0.25">
      <c r="C3751" s="12" t="s">
        <v>30</v>
      </c>
      <c r="D3751" s="13" t="s">
        <v>31</v>
      </c>
      <c r="E3751" s="14"/>
      <c r="F3751" s="14"/>
      <c r="G3751" s="14"/>
      <c r="H3751" s="14"/>
    </row>
    <row r="3752" spans="3:11" x14ac:dyDescent="0.3">
      <c r="C3752" s="21" t="s">
        <v>32</v>
      </c>
      <c r="D3752" s="22"/>
      <c r="E3752" s="22"/>
      <c r="F3752" s="22"/>
      <c r="G3752" s="28"/>
      <c r="H3752" s="29">
        <v>0</v>
      </c>
    </row>
    <row r="3753" spans="3:11" x14ac:dyDescent="0.3">
      <c r="C3753" s="30" t="s">
        <v>33</v>
      </c>
      <c r="D3753" s="31" t="s">
        <v>34</v>
      </c>
      <c r="E3753" s="32"/>
      <c r="F3753" s="32"/>
      <c r="G3753" s="33"/>
      <c r="H3753" s="46">
        <f>H3752+H3750+H3747</f>
        <v>536360</v>
      </c>
      <c r="I3753" s="47"/>
    </row>
    <row r="3754" spans="3:11" x14ac:dyDescent="0.3">
      <c r="C3754" s="30" t="s">
        <v>35</v>
      </c>
      <c r="D3754" s="31" t="s">
        <v>36</v>
      </c>
      <c r="E3754" s="32"/>
      <c r="F3754" s="33"/>
      <c r="G3754" s="34">
        <f>$M$9</f>
        <v>0.1</v>
      </c>
      <c r="H3754" s="19">
        <f>H3753*G3754</f>
        <v>53636</v>
      </c>
      <c r="I3754" s="47"/>
    </row>
    <row r="3755" spans="3:11" x14ac:dyDescent="0.3">
      <c r="C3755" s="30" t="s">
        <v>37</v>
      </c>
      <c r="D3755" s="31" t="s">
        <v>38</v>
      </c>
      <c r="E3755" s="32"/>
      <c r="F3755" s="32"/>
      <c r="G3755" s="33"/>
      <c r="H3755" s="48">
        <f>SUM(H3753:H3754)</f>
        <v>589996</v>
      </c>
      <c r="I3755" s="47"/>
    </row>
    <row r="3756" spans="3:11" x14ac:dyDescent="0.3">
      <c r="C3756" s="50"/>
      <c r="D3756" s="51"/>
      <c r="E3756" s="51"/>
      <c r="F3756" s="51"/>
      <c r="G3756" s="51"/>
      <c r="H3756" s="52"/>
    </row>
    <row r="3757" spans="3:11" x14ac:dyDescent="0.3">
      <c r="C3757" s="40" t="s">
        <v>727</v>
      </c>
      <c r="D3757" s="68" t="s">
        <v>728</v>
      </c>
      <c r="E3757" s="44"/>
      <c r="F3757" s="44"/>
      <c r="G3757" s="44"/>
      <c r="H3757" s="44"/>
      <c r="I3757" s="10">
        <f>ROUNDDOWN(H3772,0)</f>
        <v>603196</v>
      </c>
      <c r="J3757" s="15" t="s">
        <v>595</v>
      </c>
      <c r="K3757" s="39"/>
    </row>
    <row r="3758" spans="3:11" ht="27.6" x14ac:dyDescent="0.3">
      <c r="C3758" s="11" t="s">
        <v>9</v>
      </c>
      <c r="D3758" s="11" t="s">
        <v>10</v>
      </c>
      <c r="E3758" s="11" t="s">
        <v>11</v>
      </c>
      <c r="F3758" s="11" t="s">
        <v>12</v>
      </c>
      <c r="G3758" s="11" t="s">
        <v>13</v>
      </c>
      <c r="H3758" s="11" t="s">
        <v>14</v>
      </c>
    </row>
    <row r="3759" spans="3:11" x14ac:dyDescent="0.25">
      <c r="C3759" s="12" t="s">
        <v>15</v>
      </c>
      <c r="D3759" s="13" t="s">
        <v>16</v>
      </c>
      <c r="E3759" s="14"/>
      <c r="F3759" s="14"/>
      <c r="G3759" s="14"/>
      <c r="H3759" s="14"/>
    </row>
    <row r="3760" spans="3:11" x14ac:dyDescent="0.3">
      <c r="C3760" s="16">
        <v>1</v>
      </c>
      <c r="D3760" s="13" t="s">
        <v>18</v>
      </c>
      <c r="E3760" s="17" t="s">
        <v>19</v>
      </c>
      <c r="F3760" s="18">
        <v>0.17899999999999999</v>
      </c>
      <c r="G3760" s="19">
        <f>VLOOKUP(D3760,upahbahan,3,FALSE)</f>
        <v>100000</v>
      </c>
      <c r="H3760" s="19">
        <f t="shared" ref="H3760:H3763" si="399">F3760*G3760</f>
        <v>17900</v>
      </c>
    </row>
    <row r="3761" spans="3:11" x14ac:dyDescent="0.3">
      <c r="C3761" s="16">
        <v>2</v>
      </c>
      <c r="D3761" s="13" t="s">
        <v>214</v>
      </c>
      <c r="E3761" s="17" t="s">
        <v>19</v>
      </c>
      <c r="F3761" s="18">
        <v>0.29799999999999999</v>
      </c>
      <c r="G3761" s="19">
        <f>VLOOKUP(D3761,upahbahan,3,FALSE)</f>
        <v>145000</v>
      </c>
      <c r="H3761" s="19">
        <f t="shared" si="399"/>
        <v>43210</v>
      </c>
    </row>
    <row r="3762" spans="3:11" x14ac:dyDescent="0.3">
      <c r="C3762" s="16">
        <v>3</v>
      </c>
      <c r="D3762" s="13" t="s">
        <v>22</v>
      </c>
      <c r="E3762" s="17" t="s">
        <v>19</v>
      </c>
      <c r="F3762" s="18">
        <v>0.03</v>
      </c>
      <c r="G3762" s="19">
        <f>VLOOKUP(D3762,upahbahan,3,FALSE)</f>
        <v>175000</v>
      </c>
      <c r="H3762" s="19">
        <f t="shared" si="399"/>
        <v>5250</v>
      </c>
    </row>
    <row r="3763" spans="3:11" x14ac:dyDescent="0.3">
      <c r="C3763" s="16">
        <v>4</v>
      </c>
      <c r="D3763" s="13" t="s">
        <v>23</v>
      </c>
      <c r="E3763" s="17" t="s">
        <v>19</v>
      </c>
      <c r="F3763" s="18">
        <v>0.01</v>
      </c>
      <c r="G3763" s="19">
        <f>VLOOKUP(D3763,upahbahan,3,FALSE)</f>
        <v>200000</v>
      </c>
      <c r="H3763" s="19">
        <f t="shared" si="399"/>
        <v>2000</v>
      </c>
    </row>
    <row r="3764" spans="3:11" x14ac:dyDescent="0.3">
      <c r="C3764" s="21" t="s">
        <v>24</v>
      </c>
      <c r="D3764" s="22"/>
      <c r="E3764" s="22"/>
      <c r="F3764" s="54"/>
      <c r="G3764" s="24"/>
      <c r="H3764" s="19">
        <f>SUM(H3760:H3763)</f>
        <v>68360</v>
      </c>
      <c r="I3764" s="25"/>
    </row>
    <row r="3765" spans="3:11" x14ac:dyDescent="0.25">
      <c r="C3765" s="12" t="s">
        <v>25</v>
      </c>
      <c r="D3765" s="13" t="s">
        <v>26</v>
      </c>
      <c r="E3765" s="14"/>
      <c r="F3765" s="55"/>
      <c r="G3765" s="14"/>
      <c r="H3765" s="14"/>
    </row>
    <row r="3766" spans="3:11" x14ac:dyDescent="0.3">
      <c r="C3766" s="63" t="s">
        <v>202</v>
      </c>
      <c r="D3766" s="26" t="s">
        <v>729</v>
      </c>
      <c r="E3766" s="27" t="s">
        <v>617</v>
      </c>
      <c r="F3766" s="59">
        <v>1.2</v>
      </c>
      <c r="G3766" s="19">
        <f>VLOOKUP(D3766,upahbahan,3,FALSE)</f>
        <v>400000</v>
      </c>
      <c r="H3766" s="19">
        <f t="shared" ref="H3766" si="400">F3766*G3766</f>
        <v>480000</v>
      </c>
    </row>
    <row r="3767" spans="3:11" x14ac:dyDescent="0.3">
      <c r="C3767" s="21" t="s">
        <v>29</v>
      </c>
      <c r="D3767" s="22"/>
      <c r="E3767" s="22"/>
      <c r="F3767" s="22"/>
      <c r="G3767" s="28"/>
      <c r="H3767" s="19">
        <f>SUM(H3766:H3766)</f>
        <v>480000</v>
      </c>
    </row>
    <row r="3768" spans="3:11" x14ac:dyDescent="0.25">
      <c r="C3768" s="12" t="s">
        <v>30</v>
      </c>
      <c r="D3768" s="13" t="s">
        <v>31</v>
      </c>
      <c r="E3768" s="14"/>
      <c r="F3768" s="14"/>
      <c r="G3768" s="14"/>
      <c r="H3768" s="14"/>
    </row>
    <row r="3769" spans="3:11" x14ac:dyDescent="0.3">
      <c r="C3769" s="21" t="s">
        <v>32</v>
      </c>
      <c r="D3769" s="22"/>
      <c r="E3769" s="22"/>
      <c r="F3769" s="22"/>
      <c r="G3769" s="28"/>
      <c r="H3769" s="29">
        <v>0</v>
      </c>
    </row>
    <row r="3770" spans="3:11" x14ac:dyDescent="0.3">
      <c r="C3770" s="30" t="s">
        <v>33</v>
      </c>
      <c r="D3770" s="31" t="s">
        <v>34</v>
      </c>
      <c r="E3770" s="32"/>
      <c r="F3770" s="32"/>
      <c r="G3770" s="33"/>
      <c r="H3770" s="46">
        <f>H3769+H3767+H3764</f>
        <v>548360</v>
      </c>
      <c r="I3770" s="47"/>
    </row>
    <row r="3771" spans="3:11" x14ac:dyDescent="0.3">
      <c r="C3771" s="30" t="s">
        <v>35</v>
      </c>
      <c r="D3771" s="31" t="s">
        <v>36</v>
      </c>
      <c r="E3771" s="32"/>
      <c r="F3771" s="33"/>
      <c r="G3771" s="34">
        <f>$M$9</f>
        <v>0.1</v>
      </c>
      <c r="H3771" s="19">
        <f>H3770*G3771</f>
        <v>54836</v>
      </c>
      <c r="I3771" s="47"/>
    </row>
    <row r="3772" spans="3:11" x14ac:dyDescent="0.3">
      <c r="C3772" s="30" t="s">
        <v>37</v>
      </c>
      <c r="D3772" s="31" t="s">
        <v>38</v>
      </c>
      <c r="E3772" s="32"/>
      <c r="F3772" s="32"/>
      <c r="G3772" s="33"/>
      <c r="H3772" s="48">
        <f>SUM(H3770:H3771)</f>
        <v>603196</v>
      </c>
      <c r="I3772" s="47"/>
    </row>
    <row r="3773" spans="3:11" x14ac:dyDescent="0.3">
      <c r="C3773" s="50"/>
      <c r="D3773" s="51"/>
      <c r="E3773" s="51"/>
      <c r="F3773" s="51"/>
      <c r="G3773" s="51"/>
      <c r="H3773" s="52"/>
    </row>
    <row r="3774" spans="3:11" x14ac:dyDescent="0.3">
      <c r="C3774" s="40" t="s">
        <v>730</v>
      </c>
      <c r="D3774" s="68" t="s">
        <v>731</v>
      </c>
      <c r="E3774" s="44"/>
      <c r="F3774" s="44"/>
      <c r="G3774" s="44"/>
      <c r="H3774" s="44"/>
      <c r="I3774" s="10">
        <f>ROUNDDOWN(H3789,0)</f>
        <v>499020</v>
      </c>
      <c r="J3774" s="15" t="s">
        <v>595</v>
      </c>
      <c r="K3774" s="39"/>
    </row>
    <row r="3775" spans="3:11" ht="27.6" x14ac:dyDescent="0.3">
      <c r="C3775" s="11" t="s">
        <v>9</v>
      </c>
      <c r="D3775" s="11" t="s">
        <v>10</v>
      </c>
      <c r="E3775" s="11" t="s">
        <v>11</v>
      </c>
      <c r="F3775" s="11" t="s">
        <v>12</v>
      </c>
      <c r="G3775" s="11" t="s">
        <v>13</v>
      </c>
      <c r="H3775" s="11" t="s">
        <v>14</v>
      </c>
    </row>
    <row r="3776" spans="3:11" x14ac:dyDescent="0.25">
      <c r="C3776" s="12" t="s">
        <v>15</v>
      </c>
      <c r="D3776" s="13" t="s">
        <v>16</v>
      </c>
      <c r="E3776" s="14"/>
      <c r="F3776" s="14"/>
      <c r="G3776" s="14"/>
      <c r="H3776" s="14"/>
    </row>
    <row r="3777" spans="3:11" x14ac:dyDescent="0.3">
      <c r="C3777" s="16">
        <v>1</v>
      </c>
      <c r="D3777" s="13" t="s">
        <v>18</v>
      </c>
      <c r="E3777" s="17" t="s">
        <v>19</v>
      </c>
      <c r="F3777" s="18">
        <v>0.11899999999999999</v>
      </c>
      <c r="G3777" s="19">
        <f>VLOOKUP(D3777,upahbahan,3,FALSE)</f>
        <v>100000</v>
      </c>
      <c r="H3777" s="19">
        <f t="shared" ref="H3777:H3780" si="401">F3777*G3777</f>
        <v>11900</v>
      </c>
    </row>
    <row r="3778" spans="3:11" x14ac:dyDescent="0.3">
      <c r="C3778" s="16">
        <v>2</v>
      </c>
      <c r="D3778" s="13" t="s">
        <v>214</v>
      </c>
      <c r="E3778" s="17" t="s">
        <v>19</v>
      </c>
      <c r="F3778" s="18">
        <v>0.19900000000000001</v>
      </c>
      <c r="G3778" s="19">
        <f>VLOOKUP(D3778,upahbahan,3,FALSE)</f>
        <v>145000</v>
      </c>
      <c r="H3778" s="19">
        <f t="shared" si="401"/>
        <v>28855</v>
      </c>
    </row>
    <row r="3779" spans="3:11" x14ac:dyDescent="0.3">
      <c r="C3779" s="16">
        <v>3</v>
      </c>
      <c r="D3779" s="13" t="s">
        <v>22</v>
      </c>
      <c r="E3779" s="17" t="s">
        <v>19</v>
      </c>
      <c r="F3779" s="18">
        <v>0.02</v>
      </c>
      <c r="G3779" s="19">
        <f>VLOOKUP(D3779,upahbahan,3,FALSE)</f>
        <v>175000</v>
      </c>
      <c r="H3779" s="19">
        <f t="shared" si="401"/>
        <v>3500</v>
      </c>
    </row>
    <row r="3780" spans="3:11" x14ac:dyDescent="0.3">
      <c r="C3780" s="16">
        <v>4</v>
      </c>
      <c r="D3780" s="13" t="s">
        <v>23</v>
      </c>
      <c r="E3780" s="17" t="s">
        <v>19</v>
      </c>
      <c r="F3780" s="18">
        <v>7.0000000000000001E-3</v>
      </c>
      <c r="G3780" s="19">
        <f>VLOOKUP(D3780,upahbahan,3,FALSE)</f>
        <v>200000</v>
      </c>
      <c r="H3780" s="19">
        <f t="shared" si="401"/>
        <v>1400</v>
      </c>
    </row>
    <row r="3781" spans="3:11" x14ac:dyDescent="0.3">
      <c r="C3781" s="21" t="s">
        <v>24</v>
      </c>
      <c r="D3781" s="22"/>
      <c r="E3781" s="22"/>
      <c r="F3781" s="54"/>
      <c r="G3781" s="24"/>
      <c r="H3781" s="19">
        <f>SUM(H3777:H3780)</f>
        <v>45655</v>
      </c>
      <c r="I3781" s="25"/>
    </row>
    <row r="3782" spans="3:11" x14ac:dyDescent="0.25">
      <c r="C3782" s="12" t="s">
        <v>25</v>
      </c>
      <c r="D3782" s="13" t="s">
        <v>26</v>
      </c>
      <c r="E3782" s="14"/>
      <c r="F3782" s="55"/>
      <c r="G3782" s="14"/>
      <c r="H3782" s="14"/>
    </row>
    <row r="3783" spans="3:11" x14ac:dyDescent="0.3">
      <c r="C3783" s="63" t="s">
        <v>202</v>
      </c>
      <c r="D3783" s="26" t="s">
        <v>732</v>
      </c>
      <c r="E3783" s="27" t="s">
        <v>617</v>
      </c>
      <c r="F3783" s="59">
        <v>1.2</v>
      </c>
      <c r="G3783" s="19">
        <f>VLOOKUP(D3783,upahbahan,3,FALSE)</f>
        <v>340000</v>
      </c>
      <c r="H3783" s="19">
        <f t="shared" ref="H3783" si="402">F3783*G3783</f>
        <v>408000</v>
      </c>
    </row>
    <row r="3784" spans="3:11" x14ac:dyDescent="0.3">
      <c r="C3784" s="21" t="s">
        <v>29</v>
      </c>
      <c r="D3784" s="22"/>
      <c r="E3784" s="22"/>
      <c r="F3784" s="22"/>
      <c r="G3784" s="28"/>
      <c r="H3784" s="19">
        <f>SUM(H3783:H3783)</f>
        <v>408000</v>
      </c>
    </row>
    <row r="3785" spans="3:11" x14ac:dyDescent="0.25">
      <c r="C3785" s="12" t="s">
        <v>30</v>
      </c>
      <c r="D3785" s="13" t="s">
        <v>31</v>
      </c>
      <c r="E3785" s="14"/>
      <c r="F3785" s="14"/>
      <c r="G3785" s="14"/>
      <c r="H3785" s="14"/>
    </row>
    <row r="3786" spans="3:11" x14ac:dyDescent="0.3">
      <c r="C3786" s="21" t="s">
        <v>32</v>
      </c>
      <c r="D3786" s="22"/>
      <c r="E3786" s="22"/>
      <c r="F3786" s="22"/>
      <c r="G3786" s="28"/>
      <c r="H3786" s="29">
        <v>0</v>
      </c>
    </row>
    <row r="3787" spans="3:11" x14ac:dyDescent="0.3">
      <c r="C3787" s="30" t="s">
        <v>33</v>
      </c>
      <c r="D3787" s="31" t="s">
        <v>34</v>
      </c>
      <c r="E3787" s="32"/>
      <c r="F3787" s="32"/>
      <c r="G3787" s="33"/>
      <c r="H3787" s="46">
        <f>H3786+H3784+H3781</f>
        <v>453655</v>
      </c>
      <c r="I3787" s="47"/>
    </row>
    <row r="3788" spans="3:11" x14ac:dyDescent="0.3">
      <c r="C3788" s="30" t="s">
        <v>35</v>
      </c>
      <c r="D3788" s="31" t="s">
        <v>36</v>
      </c>
      <c r="E3788" s="32"/>
      <c r="F3788" s="33"/>
      <c r="G3788" s="34">
        <f>$M$9</f>
        <v>0.1</v>
      </c>
      <c r="H3788" s="19">
        <f>H3787*G3788</f>
        <v>45365.5</v>
      </c>
      <c r="I3788" s="47"/>
    </row>
    <row r="3789" spans="3:11" x14ac:dyDescent="0.3">
      <c r="C3789" s="30" t="s">
        <v>37</v>
      </c>
      <c r="D3789" s="31" t="s">
        <v>38</v>
      </c>
      <c r="E3789" s="32"/>
      <c r="F3789" s="32"/>
      <c r="G3789" s="33"/>
      <c r="H3789" s="48">
        <f>SUM(H3787:H3788)</f>
        <v>499020.5</v>
      </c>
      <c r="I3789" s="47"/>
    </row>
    <row r="3790" spans="3:11" x14ac:dyDescent="0.3">
      <c r="C3790" s="50"/>
      <c r="D3790" s="51"/>
      <c r="E3790" s="51"/>
      <c r="F3790" s="51"/>
      <c r="G3790" s="51"/>
      <c r="H3790" s="52"/>
    </row>
    <row r="3791" spans="3:11" x14ac:dyDescent="0.3">
      <c r="C3791" s="40" t="s">
        <v>733</v>
      </c>
      <c r="D3791" s="68" t="s">
        <v>734</v>
      </c>
      <c r="E3791" s="44"/>
      <c r="F3791" s="44"/>
      <c r="G3791" s="44"/>
      <c r="H3791" s="44"/>
      <c r="I3791" s="10">
        <f>ROUNDDOWN(H3806,0)</f>
        <v>512220</v>
      </c>
      <c r="J3791" s="15" t="s">
        <v>595</v>
      </c>
      <c r="K3791" s="39"/>
    </row>
    <row r="3792" spans="3:11" ht="27.6" x14ac:dyDescent="0.3">
      <c r="C3792" s="11" t="s">
        <v>9</v>
      </c>
      <c r="D3792" s="11" t="s">
        <v>10</v>
      </c>
      <c r="E3792" s="11" t="s">
        <v>11</v>
      </c>
      <c r="F3792" s="11" t="s">
        <v>12</v>
      </c>
      <c r="G3792" s="11" t="s">
        <v>13</v>
      </c>
      <c r="H3792" s="11" t="s">
        <v>14</v>
      </c>
    </row>
    <row r="3793" spans="3:11" x14ac:dyDescent="0.25">
      <c r="C3793" s="12" t="s">
        <v>15</v>
      </c>
      <c r="D3793" s="13" t="s">
        <v>16</v>
      </c>
      <c r="E3793" s="14"/>
      <c r="F3793" s="14"/>
      <c r="G3793" s="14"/>
      <c r="H3793" s="14"/>
    </row>
    <row r="3794" spans="3:11" x14ac:dyDescent="0.3">
      <c r="C3794" s="16">
        <v>1</v>
      </c>
      <c r="D3794" s="13" t="s">
        <v>18</v>
      </c>
      <c r="E3794" s="17" t="s">
        <v>19</v>
      </c>
      <c r="F3794" s="18">
        <v>0.11899999999999999</v>
      </c>
      <c r="G3794" s="19">
        <f>VLOOKUP(D3794,upahbahan,3,FALSE)</f>
        <v>100000</v>
      </c>
      <c r="H3794" s="19">
        <f t="shared" ref="H3794:H3797" si="403">F3794*G3794</f>
        <v>11900</v>
      </c>
    </row>
    <row r="3795" spans="3:11" x14ac:dyDescent="0.3">
      <c r="C3795" s="16">
        <v>2</v>
      </c>
      <c r="D3795" s="13" t="s">
        <v>214</v>
      </c>
      <c r="E3795" s="17" t="s">
        <v>19</v>
      </c>
      <c r="F3795" s="18">
        <v>0.19900000000000001</v>
      </c>
      <c r="G3795" s="19">
        <f>VLOOKUP(D3795,upahbahan,3,FALSE)</f>
        <v>145000</v>
      </c>
      <c r="H3795" s="19">
        <f t="shared" si="403"/>
        <v>28855</v>
      </c>
    </row>
    <row r="3796" spans="3:11" x14ac:dyDescent="0.3">
      <c r="C3796" s="16">
        <v>3</v>
      </c>
      <c r="D3796" s="13" t="s">
        <v>22</v>
      </c>
      <c r="E3796" s="17" t="s">
        <v>19</v>
      </c>
      <c r="F3796" s="18">
        <v>0.02</v>
      </c>
      <c r="G3796" s="19">
        <f>VLOOKUP(D3796,upahbahan,3,FALSE)</f>
        <v>175000</v>
      </c>
      <c r="H3796" s="19">
        <f t="shared" si="403"/>
        <v>3500</v>
      </c>
    </row>
    <row r="3797" spans="3:11" x14ac:dyDescent="0.3">
      <c r="C3797" s="16">
        <v>4</v>
      </c>
      <c r="D3797" s="13" t="s">
        <v>23</v>
      </c>
      <c r="E3797" s="17" t="s">
        <v>19</v>
      </c>
      <c r="F3797" s="18">
        <v>7.0000000000000001E-3</v>
      </c>
      <c r="G3797" s="19">
        <f>VLOOKUP(D3797,upahbahan,3,FALSE)</f>
        <v>200000</v>
      </c>
      <c r="H3797" s="19">
        <f t="shared" si="403"/>
        <v>1400</v>
      </c>
    </row>
    <row r="3798" spans="3:11" x14ac:dyDescent="0.3">
      <c r="C3798" s="21" t="s">
        <v>24</v>
      </c>
      <c r="D3798" s="22"/>
      <c r="E3798" s="22"/>
      <c r="F3798" s="54"/>
      <c r="G3798" s="24"/>
      <c r="H3798" s="19">
        <f>SUM(H3794:H3797)</f>
        <v>45655</v>
      </c>
      <c r="I3798" s="25"/>
    </row>
    <row r="3799" spans="3:11" x14ac:dyDescent="0.25">
      <c r="C3799" s="12" t="s">
        <v>25</v>
      </c>
      <c r="D3799" s="13" t="s">
        <v>26</v>
      </c>
      <c r="E3799" s="14"/>
      <c r="F3799" s="55"/>
      <c r="G3799" s="14"/>
      <c r="H3799" s="14"/>
    </row>
    <row r="3800" spans="3:11" x14ac:dyDescent="0.3">
      <c r="C3800" s="63" t="s">
        <v>202</v>
      </c>
      <c r="D3800" s="26" t="s">
        <v>735</v>
      </c>
      <c r="E3800" s="27" t="s">
        <v>617</v>
      </c>
      <c r="F3800" s="59">
        <v>1.2</v>
      </c>
      <c r="G3800" s="19">
        <f>VLOOKUP(D3800,upahbahan,3,FALSE)</f>
        <v>350000</v>
      </c>
      <c r="H3800" s="19">
        <f t="shared" ref="H3800" si="404">F3800*G3800</f>
        <v>420000</v>
      </c>
    </row>
    <row r="3801" spans="3:11" x14ac:dyDescent="0.3">
      <c r="C3801" s="21" t="s">
        <v>29</v>
      </c>
      <c r="D3801" s="22"/>
      <c r="E3801" s="22"/>
      <c r="F3801" s="22"/>
      <c r="G3801" s="28"/>
      <c r="H3801" s="19">
        <f>SUM(H3800:H3800)</f>
        <v>420000</v>
      </c>
    </row>
    <row r="3802" spans="3:11" x14ac:dyDescent="0.25">
      <c r="C3802" s="12" t="s">
        <v>30</v>
      </c>
      <c r="D3802" s="13" t="s">
        <v>31</v>
      </c>
      <c r="E3802" s="14"/>
      <c r="F3802" s="14"/>
      <c r="G3802" s="14"/>
      <c r="H3802" s="14"/>
    </row>
    <row r="3803" spans="3:11" x14ac:dyDescent="0.3">
      <c r="C3803" s="21" t="s">
        <v>32</v>
      </c>
      <c r="D3803" s="22"/>
      <c r="E3803" s="22"/>
      <c r="F3803" s="22"/>
      <c r="G3803" s="28"/>
      <c r="H3803" s="29">
        <v>0</v>
      </c>
    </row>
    <row r="3804" spans="3:11" x14ac:dyDescent="0.3">
      <c r="C3804" s="30" t="s">
        <v>33</v>
      </c>
      <c r="D3804" s="31" t="s">
        <v>34</v>
      </c>
      <c r="E3804" s="32"/>
      <c r="F3804" s="32"/>
      <c r="G3804" s="33"/>
      <c r="H3804" s="46">
        <f>H3803+H3801+H3798</f>
        <v>465655</v>
      </c>
      <c r="I3804" s="47"/>
    </row>
    <row r="3805" spans="3:11" x14ac:dyDescent="0.3">
      <c r="C3805" s="30" t="s">
        <v>35</v>
      </c>
      <c r="D3805" s="31" t="s">
        <v>36</v>
      </c>
      <c r="E3805" s="32"/>
      <c r="F3805" s="33"/>
      <c r="G3805" s="34">
        <f>$M$9</f>
        <v>0.1</v>
      </c>
      <c r="H3805" s="19">
        <f>H3804*G3805</f>
        <v>46565.5</v>
      </c>
      <c r="I3805" s="47"/>
    </row>
    <row r="3806" spans="3:11" x14ac:dyDescent="0.3">
      <c r="C3806" s="30" t="s">
        <v>37</v>
      </c>
      <c r="D3806" s="31" t="s">
        <v>38</v>
      </c>
      <c r="E3806" s="32"/>
      <c r="F3806" s="32"/>
      <c r="G3806" s="33"/>
      <c r="H3806" s="48">
        <f>SUM(H3804:H3805)</f>
        <v>512220.5</v>
      </c>
      <c r="I3806" s="47"/>
    </row>
    <row r="3807" spans="3:11" x14ac:dyDescent="0.3">
      <c r="C3807" s="50"/>
      <c r="D3807" s="51"/>
      <c r="E3807" s="51"/>
      <c r="F3807" s="51"/>
      <c r="G3807" s="51"/>
      <c r="H3807" s="52"/>
    </row>
    <row r="3808" spans="3:11" x14ac:dyDescent="0.3">
      <c r="C3808" s="40" t="s">
        <v>736</v>
      </c>
      <c r="D3808" s="68" t="s">
        <v>737</v>
      </c>
      <c r="E3808" s="44"/>
      <c r="F3808" s="44"/>
      <c r="G3808" s="44"/>
      <c r="H3808" s="44"/>
      <c r="I3808" s="10">
        <f>ROUNDDOWN(H3823,0)</f>
        <v>525420</v>
      </c>
      <c r="J3808" s="15" t="s">
        <v>595</v>
      </c>
      <c r="K3808" s="39"/>
    </row>
    <row r="3809" spans="3:9" ht="27.6" x14ac:dyDescent="0.3">
      <c r="C3809" s="11" t="s">
        <v>9</v>
      </c>
      <c r="D3809" s="11" t="s">
        <v>10</v>
      </c>
      <c r="E3809" s="11" t="s">
        <v>11</v>
      </c>
      <c r="F3809" s="11" t="s">
        <v>12</v>
      </c>
      <c r="G3809" s="11" t="s">
        <v>13</v>
      </c>
      <c r="H3809" s="11" t="s">
        <v>14</v>
      </c>
    </row>
    <row r="3810" spans="3:9" x14ac:dyDescent="0.25">
      <c r="C3810" s="12" t="s">
        <v>15</v>
      </c>
      <c r="D3810" s="13" t="s">
        <v>16</v>
      </c>
      <c r="E3810" s="14"/>
      <c r="F3810" s="14"/>
      <c r="G3810" s="14"/>
      <c r="H3810" s="14"/>
    </row>
    <row r="3811" spans="3:9" x14ac:dyDescent="0.3">
      <c r="C3811" s="16">
        <v>1</v>
      </c>
      <c r="D3811" s="13" t="s">
        <v>18</v>
      </c>
      <c r="E3811" s="17" t="s">
        <v>19</v>
      </c>
      <c r="F3811" s="18">
        <v>0.11899999999999999</v>
      </c>
      <c r="G3811" s="19">
        <f>VLOOKUP(D3811,upahbahan,3,FALSE)</f>
        <v>100000</v>
      </c>
      <c r="H3811" s="19">
        <f t="shared" ref="H3811:H3814" si="405">F3811*G3811</f>
        <v>11900</v>
      </c>
    </row>
    <row r="3812" spans="3:9" x14ac:dyDescent="0.3">
      <c r="C3812" s="16">
        <v>2</v>
      </c>
      <c r="D3812" s="13" t="s">
        <v>214</v>
      </c>
      <c r="E3812" s="17" t="s">
        <v>19</v>
      </c>
      <c r="F3812" s="18">
        <v>0.19900000000000001</v>
      </c>
      <c r="G3812" s="19">
        <f>VLOOKUP(D3812,upahbahan,3,FALSE)</f>
        <v>145000</v>
      </c>
      <c r="H3812" s="19">
        <f t="shared" si="405"/>
        <v>28855</v>
      </c>
    </row>
    <row r="3813" spans="3:9" x14ac:dyDescent="0.3">
      <c r="C3813" s="16">
        <v>3</v>
      </c>
      <c r="D3813" s="13" t="s">
        <v>22</v>
      </c>
      <c r="E3813" s="17" t="s">
        <v>19</v>
      </c>
      <c r="F3813" s="18">
        <v>0.02</v>
      </c>
      <c r="G3813" s="19">
        <f>VLOOKUP(D3813,upahbahan,3,FALSE)</f>
        <v>175000</v>
      </c>
      <c r="H3813" s="19">
        <f t="shared" si="405"/>
        <v>3500</v>
      </c>
    </row>
    <row r="3814" spans="3:9" x14ac:dyDescent="0.3">
      <c r="C3814" s="16">
        <v>4</v>
      </c>
      <c r="D3814" s="13" t="s">
        <v>23</v>
      </c>
      <c r="E3814" s="17" t="s">
        <v>19</v>
      </c>
      <c r="F3814" s="18">
        <v>7.0000000000000001E-3</v>
      </c>
      <c r="G3814" s="19">
        <f>VLOOKUP(D3814,upahbahan,3,FALSE)</f>
        <v>200000</v>
      </c>
      <c r="H3814" s="19">
        <f t="shared" si="405"/>
        <v>1400</v>
      </c>
    </row>
    <row r="3815" spans="3:9" x14ac:dyDescent="0.3">
      <c r="C3815" s="21" t="s">
        <v>24</v>
      </c>
      <c r="D3815" s="22"/>
      <c r="E3815" s="22"/>
      <c r="F3815" s="54"/>
      <c r="G3815" s="24"/>
      <c r="H3815" s="19">
        <f>SUM(H3811:H3814)</f>
        <v>45655</v>
      </c>
      <c r="I3815" s="25"/>
    </row>
    <row r="3816" spans="3:9" x14ac:dyDescent="0.25">
      <c r="C3816" s="12" t="s">
        <v>25</v>
      </c>
      <c r="D3816" s="13" t="s">
        <v>26</v>
      </c>
      <c r="E3816" s="14"/>
      <c r="F3816" s="55"/>
      <c r="G3816" s="14"/>
      <c r="H3816" s="14"/>
    </row>
    <row r="3817" spans="3:9" x14ac:dyDescent="0.3">
      <c r="C3817" s="63" t="s">
        <v>202</v>
      </c>
      <c r="D3817" s="26" t="s">
        <v>738</v>
      </c>
      <c r="E3817" s="27" t="s">
        <v>617</v>
      </c>
      <c r="F3817" s="59">
        <v>1.2</v>
      </c>
      <c r="G3817" s="19">
        <f>VLOOKUP(D3817,upahbahan,3,FALSE)</f>
        <v>360000</v>
      </c>
      <c r="H3817" s="19">
        <f t="shared" ref="H3817" si="406">F3817*G3817</f>
        <v>432000</v>
      </c>
    </row>
    <row r="3818" spans="3:9" x14ac:dyDescent="0.3">
      <c r="C3818" s="21" t="s">
        <v>29</v>
      </c>
      <c r="D3818" s="22"/>
      <c r="E3818" s="22"/>
      <c r="F3818" s="22"/>
      <c r="G3818" s="28"/>
      <c r="H3818" s="19">
        <f>SUM(H3817:H3817)</f>
        <v>432000</v>
      </c>
    </row>
    <row r="3819" spans="3:9" x14ac:dyDescent="0.25">
      <c r="C3819" s="12" t="s">
        <v>30</v>
      </c>
      <c r="D3819" s="13" t="s">
        <v>31</v>
      </c>
      <c r="E3819" s="14"/>
      <c r="F3819" s="14"/>
      <c r="G3819" s="14"/>
      <c r="H3819" s="14"/>
    </row>
    <row r="3820" spans="3:9" x14ac:dyDescent="0.3">
      <c r="C3820" s="21" t="s">
        <v>32</v>
      </c>
      <c r="D3820" s="22"/>
      <c r="E3820" s="22"/>
      <c r="F3820" s="22"/>
      <c r="G3820" s="28"/>
      <c r="H3820" s="29">
        <v>0</v>
      </c>
    </row>
    <row r="3821" spans="3:9" x14ac:dyDescent="0.3">
      <c r="C3821" s="30" t="s">
        <v>33</v>
      </c>
      <c r="D3821" s="31" t="s">
        <v>34</v>
      </c>
      <c r="E3821" s="32"/>
      <c r="F3821" s="32"/>
      <c r="G3821" s="33"/>
      <c r="H3821" s="46">
        <f>H3820+H3818+H3815</f>
        <v>477655</v>
      </c>
      <c r="I3821" s="47"/>
    </row>
    <row r="3822" spans="3:9" x14ac:dyDescent="0.3">
      <c r="C3822" s="30" t="s">
        <v>35</v>
      </c>
      <c r="D3822" s="31" t="s">
        <v>36</v>
      </c>
      <c r="E3822" s="32"/>
      <c r="F3822" s="33"/>
      <c r="G3822" s="34">
        <f>$M$9</f>
        <v>0.1</v>
      </c>
      <c r="H3822" s="19">
        <f>H3821*G3822</f>
        <v>47765.5</v>
      </c>
      <c r="I3822" s="47"/>
    </row>
    <row r="3823" spans="3:9" x14ac:dyDescent="0.3">
      <c r="C3823" s="30" t="s">
        <v>37</v>
      </c>
      <c r="D3823" s="31" t="s">
        <v>38</v>
      </c>
      <c r="E3823" s="32"/>
      <c r="F3823" s="32"/>
      <c r="G3823" s="33"/>
      <c r="H3823" s="48">
        <f>SUM(H3821:H3822)</f>
        <v>525420.5</v>
      </c>
      <c r="I3823" s="47"/>
    </row>
    <row r="3824" spans="3:9" x14ac:dyDescent="0.3">
      <c r="C3824" s="50"/>
      <c r="D3824" s="51"/>
      <c r="E3824" s="51"/>
      <c r="F3824" s="51"/>
      <c r="G3824" s="51"/>
      <c r="H3824" s="52"/>
    </row>
    <row r="3825" spans="3:11" x14ac:dyDescent="0.3">
      <c r="C3825" s="40" t="s">
        <v>739</v>
      </c>
      <c r="D3825" s="68" t="s">
        <v>740</v>
      </c>
      <c r="E3825" s="44"/>
      <c r="F3825" s="44"/>
      <c r="G3825" s="44"/>
      <c r="H3825" s="44"/>
      <c r="I3825" s="10">
        <f>ROUNDDOWN(H3840,0)</f>
        <v>538620</v>
      </c>
      <c r="J3825" s="15" t="s">
        <v>595</v>
      </c>
      <c r="K3825" s="39"/>
    </row>
    <row r="3826" spans="3:11" ht="27.6" x14ac:dyDescent="0.3">
      <c r="C3826" s="11" t="s">
        <v>9</v>
      </c>
      <c r="D3826" s="11" t="s">
        <v>10</v>
      </c>
      <c r="E3826" s="11" t="s">
        <v>11</v>
      </c>
      <c r="F3826" s="11" t="s">
        <v>12</v>
      </c>
      <c r="G3826" s="11" t="s">
        <v>13</v>
      </c>
      <c r="H3826" s="11" t="s">
        <v>14</v>
      </c>
    </row>
    <row r="3827" spans="3:11" x14ac:dyDescent="0.25">
      <c r="C3827" s="12" t="s">
        <v>15</v>
      </c>
      <c r="D3827" s="13" t="s">
        <v>16</v>
      </c>
      <c r="E3827" s="14"/>
      <c r="F3827" s="14"/>
      <c r="G3827" s="14"/>
      <c r="H3827" s="14"/>
    </row>
    <row r="3828" spans="3:11" x14ac:dyDescent="0.3">
      <c r="C3828" s="16">
        <v>1</v>
      </c>
      <c r="D3828" s="13" t="s">
        <v>18</v>
      </c>
      <c r="E3828" s="17" t="s">
        <v>19</v>
      </c>
      <c r="F3828" s="18">
        <v>0.11899999999999999</v>
      </c>
      <c r="G3828" s="19">
        <f>VLOOKUP(D3828,upahbahan,3,FALSE)</f>
        <v>100000</v>
      </c>
      <c r="H3828" s="19">
        <f t="shared" ref="H3828:H3831" si="407">F3828*G3828</f>
        <v>11900</v>
      </c>
    </row>
    <row r="3829" spans="3:11" x14ac:dyDescent="0.3">
      <c r="C3829" s="16">
        <v>2</v>
      </c>
      <c r="D3829" s="13" t="s">
        <v>214</v>
      </c>
      <c r="E3829" s="17" t="s">
        <v>19</v>
      </c>
      <c r="F3829" s="18">
        <v>0.19900000000000001</v>
      </c>
      <c r="G3829" s="19">
        <f>VLOOKUP(D3829,upahbahan,3,FALSE)</f>
        <v>145000</v>
      </c>
      <c r="H3829" s="19">
        <f t="shared" si="407"/>
        <v>28855</v>
      </c>
    </row>
    <row r="3830" spans="3:11" x14ac:dyDescent="0.3">
      <c r="C3830" s="16">
        <v>3</v>
      </c>
      <c r="D3830" s="13" t="s">
        <v>22</v>
      </c>
      <c r="E3830" s="17" t="s">
        <v>19</v>
      </c>
      <c r="F3830" s="18">
        <v>0.02</v>
      </c>
      <c r="G3830" s="19">
        <f>VLOOKUP(D3830,upahbahan,3,FALSE)</f>
        <v>175000</v>
      </c>
      <c r="H3830" s="19">
        <f t="shared" si="407"/>
        <v>3500</v>
      </c>
    </row>
    <row r="3831" spans="3:11" x14ac:dyDescent="0.3">
      <c r="C3831" s="16">
        <v>4</v>
      </c>
      <c r="D3831" s="13" t="s">
        <v>23</v>
      </c>
      <c r="E3831" s="17" t="s">
        <v>19</v>
      </c>
      <c r="F3831" s="18">
        <v>7.0000000000000001E-3</v>
      </c>
      <c r="G3831" s="19">
        <f>VLOOKUP(D3831,upahbahan,3,FALSE)</f>
        <v>200000</v>
      </c>
      <c r="H3831" s="19">
        <f t="shared" si="407"/>
        <v>1400</v>
      </c>
    </row>
    <row r="3832" spans="3:11" x14ac:dyDescent="0.3">
      <c r="C3832" s="21" t="s">
        <v>24</v>
      </c>
      <c r="D3832" s="22"/>
      <c r="E3832" s="22"/>
      <c r="F3832" s="54"/>
      <c r="G3832" s="24"/>
      <c r="H3832" s="19">
        <f>SUM(H3828:H3831)</f>
        <v>45655</v>
      </c>
      <c r="I3832" s="25"/>
    </row>
    <row r="3833" spans="3:11" x14ac:dyDescent="0.25">
      <c r="C3833" s="12" t="s">
        <v>25</v>
      </c>
      <c r="D3833" s="13" t="s">
        <v>26</v>
      </c>
      <c r="E3833" s="14"/>
      <c r="F3833" s="55"/>
      <c r="G3833" s="14"/>
      <c r="H3833" s="14"/>
    </row>
    <row r="3834" spans="3:11" x14ac:dyDescent="0.3">
      <c r="C3834" s="63" t="s">
        <v>202</v>
      </c>
      <c r="D3834" s="26" t="s">
        <v>741</v>
      </c>
      <c r="E3834" s="27" t="s">
        <v>617</v>
      </c>
      <c r="F3834" s="59">
        <v>1.2</v>
      </c>
      <c r="G3834" s="19">
        <f>VLOOKUP(D3834,upahbahan,3,FALSE)</f>
        <v>370000</v>
      </c>
      <c r="H3834" s="19">
        <f t="shared" ref="H3834" si="408">F3834*G3834</f>
        <v>444000</v>
      </c>
    </row>
    <row r="3835" spans="3:11" x14ac:dyDescent="0.3">
      <c r="C3835" s="21" t="s">
        <v>29</v>
      </c>
      <c r="D3835" s="22"/>
      <c r="E3835" s="22"/>
      <c r="F3835" s="22"/>
      <c r="G3835" s="28"/>
      <c r="H3835" s="19">
        <f>SUM(H3834:H3834)</f>
        <v>444000</v>
      </c>
    </row>
    <row r="3836" spans="3:11" x14ac:dyDescent="0.25">
      <c r="C3836" s="12" t="s">
        <v>30</v>
      </c>
      <c r="D3836" s="13" t="s">
        <v>31</v>
      </c>
      <c r="E3836" s="14"/>
      <c r="F3836" s="14"/>
      <c r="G3836" s="14"/>
      <c r="H3836" s="14"/>
    </row>
    <row r="3837" spans="3:11" x14ac:dyDescent="0.3">
      <c r="C3837" s="21" t="s">
        <v>32</v>
      </c>
      <c r="D3837" s="22"/>
      <c r="E3837" s="22"/>
      <c r="F3837" s="22"/>
      <c r="G3837" s="28"/>
      <c r="H3837" s="29">
        <v>0</v>
      </c>
    </row>
    <row r="3838" spans="3:11" x14ac:dyDescent="0.3">
      <c r="C3838" s="30" t="s">
        <v>33</v>
      </c>
      <c r="D3838" s="31" t="s">
        <v>34</v>
      </c>
      <c r="E3838" s="32"/>
      <c r="F3838" s="32"/>
      <c r="G3838" s="33"/>
      <c r="H3838" s="46">
        <f>H3837+H3835+H3832</f>
        <v>489655</v>
      </c>
      <c r="I3838" s="47"/>
    </row>
    <row r="3839" spans="3:11" x14ac:dyDescent="0.3">
      <c r="C3839" s="30" t="s">
        <v>35</v>
      </c>
      <c r="D3839" s="31" t="s">
        <v>36</v>
      </c>
      <c r="E3839" s="32"/>
      <c r="F3839" s="33"/>
      <c r="G3839" s="34">
        <f>$M$9</f>
        <v>0.1</v>
      </c>
      <c r="H3839" s="19">
        <f>H3838*G3839</f>
        <v>48965.5</v>
      </c>
      <c r="I3839" s="47"/>
    </row>
    <row r="3840" spans="3:11" x14ac:dyDescent="0.3">
      <c r="C3840" s="30" t="s">
        <v>37</v>
      </c>
      <c r="D3840" s="31" t="s">
        <v>38</v>
      </c>
      <c r="E3840" s="32"/>
      <c r="F3840" s="32"/>
      <c r="G3840" s="33"/>
      <c r="H3840" s="48">
        <f>SUM(H3838:H3839)</f>
        <v>538620.5</v>
      </c>
      <c r="I3840" s="47"/>
    </row>
    <row r="3841" spans="3:11" x14ac:dyDescent="0.3">
      <c r="C3841" s="50"/>
      <c r="D3841" s="51"/>
      <c r="E3841" s="51"/>
      <c r="F3841" s="51"/>
      <c r="G3841" s="51"/>
      <c r="H3841" s="52"/>
    </row>
    <row r="3842" spans="3:11" x14ac:dyDescent="0.3">
      <c r="C3842" s="40" t="s">
        <v>742</v>
      </c>
      <c r="D3842" s="68" t="s">
        <v>743</v>
      </c>
      <c r="E3842" s="44"/>
      <c r="F3842" s="44"/>
      <c r="G3842" s="44"/>
      <c r="H3842" s="44"/>
      <c r="I3842" s="10">
        <f>ROUNDDOWN(H3857,0)</f>
        <v>551820</v>
      </c>
      <c r="J3842" s="15" t="s">
        <v>595</v>
      </c>
      <c r="K3842" s="39"/>
    </row>
    <row r="3843" spans="3:11" ht="27.6" x14ac:dyDescent="0.3">
      <c r="C3843" s="11" t="s">
        <v>9</v>
      </c>
      <c r="D3843" s="11" t="s">
        <v>10</v>
      </c>
      <c r="E3843" s="11" t="s">
        <v>11</v>
      </c>
      <c r="F3843" s="11" t="s">
        <v>12</v>
      </c>
      <c r="G3843" s="11" t="s">
        <v>13</v>
      </c>
      <c r="H3843" s="11" t="s">
        <v>14</v>
      </c>
    </row>
    <row r="3844" spans="3:11" x14ac:dyDescent="0.25">
      <c r="C3844" s="12" t="s">
        <v>15</v>
      </c>
      <c r="D3844" s="13" t="s">
        <v>16</v>
      </c>
      <c r="E3844" s="14"/>
      <c r="F3844" s="14"/>
      <c r="G3844" s="14"/>
      <c r="H3844" s="14"/>
    </row>
    <row r="3845" spans="3:11" x14ac:dyDescent="0.3">
      <c r="C3845" s="16">
        <v>1</v>
      </c>
      <c r="D3845" s="13" t="s">
        <v>18</v>
      </c>
      <c r="E3845" s="17" t="s">
        <v>19</v>
      </c>
      <c r="F3845" s="18">
        <v>0.11899999999999999</v>
      </c>
      <c r="G3845" s="19">
        <f>VLOOKUP(D3845,upahbahan,3,FALSE)</f>
        <v>100000</v>
      </c>
      <c r="H3845" s="19">
        <f t="shared" ref="H3845:H3848" si="409">F3845*G3845</f>
        <v>11900</v>
      </c>
    </row>
    <row r="3846" spans="3:11" x14ac:dyDescent="0.3">
      <c r="C3846" s="16">
        <v>2</v>
      </c>
      <c r="D3846" s="13" t="s">
        <v>214</v>
      </c>
      <c r="E3846" s="17" t="s">
        <v>19</v>
      </c>
      <c r="F3846" s="18">
        <v>0.19900000000000001</v>
      </c>
      <c r="G3846" s="19">
        <f>VLOOKUP(D3846,upahbahan,3,FALSE)</f>
        <v>145000</v>
      </c>
      <c r="H3846" s="19">
        <f t="shared" si="409"/>
        <v>28855</v>
      </c>
    </row>
    <row r="3847" spans="3:11" x14ac:dyDescent="0.3">
      <c r="C3847" s="16">
        <v>3</v>
      </c>
      <c r="D3847" s="13" t="s">
        <v>22</v>
      </c>
      <c r="E3847" s="17" t="s">
        <v>19</v>
      </c>
      <c r="F3847" s="18">
        <v>0.02</v>
      </c>
      <c r="G3847" s="19">
        <f>VLOOKUP(D3847,upahbahan,3,FALSE)</f>
        <v>175000</v>
      </c>
      <c r="H3847" s="19">
        <f t="shared" si="409"/>
        <v>3500</v>
      </c>
    </row>
    <row r="3848" spans="3:11" x14ac:dyDescent="0.3">
      <c r="C3848" s="16">
        <v>4</v>
      </c>
      <c r="D3848" s="13" t="s">
        <v>23</v>
      </c>
      <c r="E3848" s="17" t="s">
        <v>19</v>
      </c>
      <c r="F3848" s="18">
        <v>7.0000000000000001E-3</v>
      </c>
      <c r="G3848" s="19">
        <f>VLOOKUP(D3848,upahbahan,3,FALSE)</f>
        <v>200000</v>
      </c>
      <c r="H3848" s="19">
        <f t="shared" si="409"/>
        <v>1400</v>
      </c>
    </row>
    <row r="3849" spans="3:11" x14ac:dyDescent="0.3">
      <c r="C3849" s="21" t="s">
        <v>24</v>
      </c>
      <c r="D3849" s="22"/>
      <c r="E3849" s="22"/>
      <c r="F3849" s="54"/>
      <c r="G3849" s="24"/>
      <c r="H3849" s="19">
        <f>SUM(H3845:H3848)</f>
        <v>45655</v>
      </c>
      <c r="I3849" s="25"/>
    </row>
    <row r="3850" spans="3:11" x14ac:dyDescent="0.25">
      <c r="C3850" s="12" t="s">
        <v>25</v>
      </c>
      <c r="D3850" s="13" t="s">
        <v>26</v>
      </c>
      <c r="E3850" s="14"/>
      <c r="F3850" s="55"/>
      <c r="G3850" s="14"/>
      <c r="H3850" s="14"/>
    </row>
    <row r="3851" spans="3:11" x14ac:dyDescent="0.3">
      <c r="C3851" s="63" t="s">
        <v>202</v>
      </c>
      <c r="D3851" s="26" t="s">
        <v>744</v>
      </c>
      <c r="E3851" s="27" t="s">
        <v>617</v>
      </c>
      <c r="F3851" s="59">
        <v>1.2</v>
      </c>
      <c r="G3851" s="19">
        <f>VLOOKUP(D3851,upahbahan,3,FALSE)</f>
        <v>380000</v>
      </c>
      <c r="H3851" s="19">
        <f t="shared" ref="H3851" si="410">F3851*G3851</f>
        <v>456000</v>
      </c>
    </row>
    <row r="3852" spans="3:11" x14ac:dyDescent="0.3">
      <c r="C3852" s="21" t="s">
        <v>29</v>
      </c>
      <c r="D3852" s="22"/>
      <c r="E3852" s="22"/>
      <c r="F3852" s="22"/>
      <c r="G3852" s="28"/>
      <c r="H3852" s="19">
        <f>SUM(H3851:H3851)</f>
        <v>456000</v>
      </c>
    </row>
    <row r="3853" spans="3:11" x14ac:dyDescent="0.25">
      <c r="C3853" s="12" t="s">
        <v>30</v>
      </c>
      <c r="D3853" s="13" t="s">
        <v>31</v>
      </c>
      <c r="E3853" s="14"/>
      <c r="F3853" s="14"/>
      <c r="G3853" s="14"/>
      <c r="H3853" s="14"/>
    </row>
    <row r="3854" spans="3:11" x14ac:dyDescent="0.3">
      <c r="C3854" s="21" t="s">
        <v>32</v>
      </c>
      <c r="D3854" s="22"/>
      <c r="E3854" s="22"/>
      <c r="F3854" s="22"/>
      <c r="G3854" s="28"/>
      <c r="H3854" s="29">
        <v>0</v>
      </c>
    </row>
    <row r="3855" spans="3:11" x14ac:dyDescent="0.3">
      <c r="C3855" s="30" t="s">
        <v>33</v>
      </c>
      <c r="D3855" s="31" t="s">
        <v>34</v>
      </c>
      <c r="E3855" s="32"/>
      <c r="F3855" s="32"/>
      <c r="G3855" s="33"/>
      <c r="H3855" s="46">
        <f>H3854+H3852+H3849</f>
        <v>501655</v>
      </c>
      <c r="I3855" s="47"/>
    </row>
    <row r="3856" spans="3:11" x14ac:dyDescent="0.3">
      <c r="C3856" s="30" t="s">
        <v>35</v>
      </c>
      <c r="D3856" s="31" t="s">
        <v>36</v>
      </c>
      <c r="E3856" s="32"/>
      <c r="F3856" s="33"/>
      <c r="G3856" s="34">
        <f>$M$9</f>
        <v>0.1</v>
      </c>
      <c r="H3856" s="19">
        <f>H3855*G3856</f>
        <v>50165.5</v>
      </c>
      <c r="I3856" s="47"/>
    </row>
    <row r="3857" spans="3:11" x14ac:dyDescent="0.3">
      <c r="C3857" s="30" t="s">
        <v>37</v>
      </c>
      <c r="D3857" s="31" t="s">
        <v>38</v>
      </c>
      <c r="E3857" s="32"/>
      <c r="F3857" s="32"/>
      <c r="G3857" s="33"/>
      <c r="H3857" s="48">
        <f>SUM(H3855:H3856)</f>
        <v>551820.5</v>
      </c>
      <c r="I3857" s="47"/>
    </row>
    <row r="3858" spans="3:11" x14ac:dyDescent="0.3">
      <c r="C3858" s="50"/>
      <c r="D3858" s="51"/>
      <c r="E3858" s="51"/>
      <c r="F3858" s="51"/>
      <c r="G3858" s="51"/>
      <c r="H3858" s="52"/>
    </row>
    <row r="3859" spans="3:11" x14ac:dyDescent="0.3">
      <c r="C3859" s="40" t="s">
        <v>745</v>
      </c>
      <c r="D3859" s="68" t="s">
        <v>746</v>
      </c>
      <c r="E3859" s="44"/>
      <c r="F3859" s="44"/>
      <c r="G3859" s="44"/>
      <c r="H3859" s="44"/>
      <c r="I3859" s="10">
        <f>ROUNDDOWN(H3874,0)</f>
        <v>565020</v>
      </c>
      <c r="J3859" s="15" t="s">
        <v>595</v>
      </c>
      <c r="K3859" s="39"/>
    </row>
    <row r="3860" spans="3:11" ht="27.6" x14ac:dyDescent="0.3">
      <c r="C3860" s="11" t="s">
        <v>9</v>
      </c>
      <c r="D3860" s="11" t="s">
        <v>10</v>
      </c>
      <c r="E3860" s="11" t="s">
        <v>11</v>
      </c>
      <c r="F3860" s="11" t="s">
        <v>12</v>
      </c>
      <c r="G3860" s="11" t="s">
        <v>13</v>
      </c>
      <c r="H3860" s="11" t="s">
        <v>14</v>
      </c>
    </row>
    <row r="3861" spans="3:11" x14ac:dyDescent="0.25">
      <c r="C3861" s="12" t="s">
        <v>15</v>
      </c>
      <c r="D3861" s="13" t="s">
        <v>16</v>
      </c>
      <c r="E3861" s="14"/>
      <c r="F3861" s="14"/>
      <c r="G3861" s="14"/>
      <c r="H3861" s="14"/>
    </row>
    <row r="3862" spans="3:11" x14ac:dyDescent="0.3">
      <c r="C3862" s="16">
        <v>1</v>
      </c>
      <c r="D3862" s="13" t="s">
        <v>18</v>
      </c>
      <c r="E3862" s="17" t="s">
        <v>19</v>
      </c>
      <c r="F3862" s="18">
        <v>0.11899999999999999</v>
      </c>
      <c r="G3862" s="19">
        <f>VLOOKUP(D3862,upahbahan,3,FALSE)</f>
        <v>100000</v>
      </c>
      <c r="H3862" s="19">
        <f t="shared" ref="H3862:H3865" si="411">F3862*G3862</f>
        <v>11900</v>
      </c>
    </row>
    <row r="3863" spans="3:11" x14ac:dyDescent="0.3">
      <c r="C3863" s="16">
        <v>2</v>
      </c>
      <c r="D3863" s="13" t="s">
        <v>214</v>
      </c>
      <c r="E3863" s="17" t="s">
        <v>19</v>
      </c>
      <c r="F3863" s="18">
        <v>0.19900000000000001</v>
      </c>
      <c r="G3863" s="19">
        <f>VLOOKUP(D3863,upahbahan,3,FALSE)</f>
        <v>145000</v>
      </c>
      <c r="H3863" s="19">
        <f t="shared" si="411"/>
        <v>28855</v>
      </c>
    </row>
    <row r="3864" spans="3:11" x14ac:dyDescent="0.3">
      <c r="C3864" s="16">
        <v>3</v>
      </c>
      <c r="D3864" s="13" t="s">
        <v>22</v>
      </c>
      <c r="E3864" s="17" t="s">
        <v>19</v>
      </c>
      <c r="F3864" s="18">
        <v>0.02</v>
      </c>
      <c r="G3864" s="19">
        <f>VLOOKUP(D3864,upahbahan,3,FALSE)</f>
        <v>175000</v>
      </c>
      <c r="H3864" s="19">
        <f t="shared" si="411"/>
        <v>3500</v>
      </c>
    </row>
    <row r="3865" spans="3:11" x14ac:dyDescent="0.3">
      <c r="C3865" s="16">
        <v>4</v>
      </c>
      <c r="D3865" s="13" t="s">
        <v>23</v>
      </c>
      <c r="E3865" s="17" t="s">
        <v>19</v>
      </c>
      <c r="F3865" s="18">
        <v>7.0000000000000001E-3</v>
      </c>
      <c r="G3865" s="19">
        <f>VLOOKUP(D3865,upahbahan,3,FALSE)</f>
        <v>200000</v>
      </c>
      <c r="H3865" s="19">
        <f t="shared" si="411"/>
        <v>1400</v>
      </c>
    </row>
    <row r="3866" spans="3:11" x14ac:dyDescent="0.3">
      <c r="C3866" s="21" t="s">
        <v>24</v>
      </c>
      <c r="D3866" s="22"/>
      <c r="E3866" s="22"/>
      <c r="F3866" s="54"/>
      <c r="G3866" s="24"/>
      <c r="H3866" s="19">
        <f>SUM(H3862:H3865)</f>
        <v>45655</v>
      </c>
      <c r="I3866" s="25"/>
    </row>
    <row r="3867" spans="3:11" x14ac:dyDescent="0.25">
      <c r="C3867" s="12" t="s">
        <v>25</v>
      </c>
      <c r="D3867" s="13" t="s">
        <v>26</v>
      </c>
      <c r="E3867" s="14"/>
      <c r="F3867" s="55"/>
      <c r="G3867" s="14"/>
      <c r="H3867" s="14"/>
    </row>
    <row r="3868" spans="3:11" x14ac:dyDescent="0.3">
      <c r="C3868" s="63" t="s">
        <v>202</v>
      </c>
      <c r="D3868" s="26" t="s">
        <v>747</v>
      </c>
      <c r="E3868" s="27" t="s">
        <v>617</v>
      </c>
      <c r="F3868" s="59">
        <v>1.2</v>
      </c>
      <c r="G3868" s="19">
        <f>VLOOKUP(D3868,upahbahan,3,FALSE)</f>
        <v>390000</v>
      </c>
      <c r="H3868" s="19">
        <f t="shared" ref="H3868" si="412">F3868*G3868</f>
        <v>468000</v>
      </c>
    </row>
    <row r="3869" spans="3:11" x14ac:dyDescent="0.3">
      <c r="C3869" s="21" t="s">
        <v>29</v>
      </c>
      <c r="D3869" s="22"/>
      <c r="E3869" s="22"/>
      <c r="F3869" s="22"/>
      <c r="G3869" s="28"/>
      <c r="H3869" s="19">
        <f>SUM(H3868:H3868)</f>
        <v>468000</v>
      </c>
    </row>
    <row r="3870" spans="3:11" x14ac:dyDescent="0.25">
      <c r="C3870" s="12" t="s">
        <v>30</v>
      </c>
      <c r="D3870" s="13" t="s">
        <v>31</v>
      </c>
      <c r="E3870" s="14"/>
      <c r="F3870" s="14"/>
      <c r="G3870" s="14"/>
      <c r="H3870" s="14"/>
    </row>
    <row r="3871" spans="3:11" x14ac:dyDescent="0.3">
      <c r="C3871" s="21" t="s">
        <v>32</v>
      </c>
      <c r="D3871" s="22"/>
      <c r="E3871" s="22"/>
      <c r="F3871" s="22"/>
      <c r="G3871" s="28"/>
      <c r="H3871" s="29">
        <v>0</v>
      </c>
    </row>
    <row r="3872" spans="3:11" x14ac:dyDescent="0.3">
      <c r="C3872" s="30" t="s">
        <v>33</v>
      </c>
      <c r="D3872" s="31" t="s">
        <v>34</v>
      </c>
      <c r="E3872" s="32"/>
      <c r="F3872" s="32"/>
      <c r="G3872" s="33"/>
      <c r="H3872" s="46">
        <f>H3871+H3869+H3866</f>
        <v>513655</v>
      </c>
      <c r="I3872" s="47"/>
    </row>
    <row r="3873" spans="3:11" x14ac:dyDescent="0.3">
      <c r="C3873" s="30" t="s">
        <v>35</v>
      </c>
      <c r="D3873" s="31" t="s">
        <v>36</v>
      </c>
      <c r="E3873" s="32"/>
      <c r="F3873" s="33"/>
      <c r="G3873" s="34">
        <f>$M$9</f>
        <v>0.1</v>
      </c>
      <c r="H3873" s="19">
        <f>H3872*G3873</f>
        <v>51365.5</v>
      </c>
      <c r="I3873" s="47"/>
    </row>
    <row r="3874" spans="3:11" x14ac:dyDescent="0.3">
      <c r="C3874" s="30" t="s">
        <v>37</v>
      </c>
      <c r="D3874" s="31" t="s">
        <v>38</v>
      </c>
      <c r="E3874" s="32"/>
      <c r="F3874" s="32"/>
      <c r="G3874" s="33"/>
      <c r="H3874" s="48">
        <f>SUM(H3872:H3873)</f>
        <v>565020.5</v>
      </c>
      <c r="I3874" s="47"/>
    </row>
    <row r="3875" spans="3:11" x14ac:dyDescent="0.3">
      <c r="C3875" s="50"/>
      <c r="D3875" s="51"/>
      <c r="E3875" s="51"/>
      <c r="F3875" s="51"/>
      <c r="G3875" s="51"/>
      <c r="H3875" s="52"/>
    </row>
    <row r="3876" spans="3:11" x14ac:dyDescent="0.3">
      <c r="C3876" s="40" t="s">
        <v>748</v>
      </c>
      <c r="D3876" s="68" t="s">
        <v>749</v>
      </c>
      <c r="E3876" s="44"/>
      <c r="F3876" s="44"/>
      <c r="G3876" s="44"/>
      <c r="H3876" s="44"/>
      <c r="I3876" s="10">
        <f>ROUNDDOWN(H3891,0)</f>
        <v>499020</v>
      </c>
      <c r="J3876" s="15" t="s">
        <v>595</v>
      </c>
      <c r="K3876" s="39"/>
    </row>
    <row r="3877" spans="3:11" ht="27.6" x14ac:dyDescent="0.3">
      <c r="C3877" s="11" t="s">
        <v>9</v>
      </c>
      <c r="D3877" s="11" t="s">
        <v>10</v>
      </c>
      <c r="E3877" s="11" t="s">
        <v>11</v>
      </c>
      <c r="F3877" s="11" t="s">
        <v>12</v>
      </c>
      <c r="G3877" s="11" t="s">
        <v>13</v>
      </c>
      <c r="H3877" s="11" t="s">
        <v>14</v>
      </c>
    </row>
    <row r="3878" spans="3:11" x14ac:dyDescent="0.25">
      <c r="C3878" s="12" t="s">
        <v>15</v>
      </c>
      <c r="D3878" s="13" t="s">
        <v>16</v>
      </c>
      <c r="E3878" s="14"/>
      <c r="F3878" s="14"/>
      <c r="G3878" s="14"/>
      <c r="H3878" s="14"/>
    </row>
    <row r="3879" spans="3:11" x14ac:dyDescent="0.3">
      <c r="C3879" s="16">
        <v>1</v>
      </c>
      <c r="D3879" s="13" t="s">
        <v>18</v>
      </c>
      <c r="E3879" s="17" t="s">
        <v>19</v>
      </c>
      <c r="F3879" s="18">
        <v>0.11899999999999999</v>
      </c>
      <c r="G3879" s="19">
        <f>VLOOKUP(D3879,upahbahan,3,FALSE)</f>
        <v>100000</v>
      </c>
      <c r="H3879" s="19">
        <f t="shared" ref="H3879:H3882" si="413">F3879*G3879</f>
        <v>11900</v>
      </c>
    </row>
    <row r="3880" spans="3:11" x14ac:dyDescent="0.3">
      <c r="C3880" s="16">
        <v>2</v>
      </c>
      <c r="D3880" s="13" t="s">
        <v>214</v>
      </c>
      <c r="E3880" s="17" t="s">
        <v>19</v>
      </c>
      <c r="F3880" s="18">
        <v>0.19900000000000001</v>
      </c>
      <c r="G3880" s="19">
        <f>VLOOKUP(D3880,upahbahan,3,FALSE)</f>
        <v>145000</v>
      </c>
      <c r="H3880" s="19">
        <f t="shared" si="413"/>
        <v>28855</v>
      </c>
    </row>
    <row r="3881" spans="3:11" x14ac:dyDescent="0.3">
      <c r="C3881" s="16">
        <v>3</v>
      </c>
      <c r="D3881" s="13" t="s">
        <v>22</v>
      </c>
      <c r="E3881" s="17" t="s">
        <v>19</v>
      </c>
      <c r="F3881" s="18">
        <v>0.02</v>
      </c>
      <c r="G3881" s="19">
        <f>VLOOKUP(D3881,upahbahan,3,FALSE)</f>
        <v>175000</v>
      </c>
      <c r="H3881" s="19">
        <f t="shared" si="413"/>
        <v>3500</v>
      </c>
    </row>
    <row r="3882" spans="3:11" x14ac:dyDescent="0.3">
      <c r="C3882" s="16">
        <v>4</v>
      </c>
      <c r="D3882" s="13" t="s">
        <v>23</v>
      </c>
      <c r="E3882" s="17" t="s">
        <v>19</v>
      </c>
      <c r="F3882" s="18">
        <v>7.0000000000000001E-3</v>
      </c>
      <c r="G3882" s="19">
        <f>VLOOKUP(D3882,upahbahan,3,FALSE)</f>
        <v>200000</v>
      </c>
      <c r="H3882" s="19">
        <f t="shared" si="413"/>
        <v>1400</v>
      </c>
    </row>
    <row r="3883" spans="3:11" x14ac:dyDescent="0.3">
      <c r="C3883" s="21" t="s">
        <v>24</v>
      </c>
      <c r="D3883" s="22"/>
      <c r="E3883" s="22"/>
      <c r="F3883" s="54"/>
      <c r="G3883" s="24"/>
      <c r="H3883" s="19">
        <f>SUM(H3879:H3882)</f>
        <v>45655</v>
      </c>
      <c r="I3883" s="25"/>
    </row>
    <row r="3884" spans="3:11" x14ac:dyDescent="0.25">
      <c r="C3884" s="12" t="s">
        <v>25</v>
      </c>
      <c r="D3884" s="13" t="s">
        <v>26</v>
      </c>
      <c r="E3884" s="14"/>
      <c r="F3884" s="55"/>
      <c r="G3884" s="14"/>
      <c r="H3884" s="14"/>
    </row>
    <row r="3885" spans="3:11" x14ac:dyDescent="0.3">
      <c r="C3885" s="63" t="s">
        <v>202</v>
      </c>
      <c r="D3885" s="26" t="s">
        <v>750</v>
      </c>
      <c r="E3885" s="27" t="s">
        <v>617</v>
      </c>
      <c r="F3885" s="59">
        <v>1.2</v>
      </c>
      <c r="G3885" s="19">
        <f>VLOOKUP(D3885,upahbahan,3,FALSE)</f>
        <v>340000</v>
      </c>
      <c r="H3885" s="19">
        <f t="shared" ref="H3885" si="414">F3885*G3885</f>
        <v>408000</v>
      </c>
    </row>
    <row r="3886" spans="3:11" x14ac:dyDescent="0.3">
      <c r="C3886" s="21" t="s">
        <v>29</v>
      </c>
      <c r="D3886" s="22"/>
      <c r="E3886" s="22"/>
      <c r="F3886" s="22"/>
      <c r="G3886" s="28"/>
      <c r="H3886" s="19">
        <f>SUM(H3885:H3885)</f>
        <v>408000</v>
      </c>
    </row>
    <row r="3887" spans="3:11" x14ac:dyDescent="0.25">
      <c r="C3887" s="12" t="s">
        <v>30</v>
      </c>
      <c r="D3887" s="13" t="s">
        <v>31</v>
      </c>
      <c r="E3887" s="14"/>
      <c r="F3887" s="14"/>
      <c r="G3887" s="14"/>
      <c r="H3887" s="14"/>
    </row>
    <row r="3888" spans="3:11" x14ac:dyDescent="0.3">
      <c r="C3888" s="21" t="s">
        <v>32</v>
      </c>
      <c r="D3888" s="22"/>
      <c r="E3888" s="22"/>
      <c r="F3888" s="22"/>
      <c r="G3888" s="28"/>
      <c r="H3888" s="29">
        <v>0</v>
      </c>
    </row>
    <row r="3889" spans="3:11" x14ac:dyDescent="0.3">
      <c r="C3889" s="30" t="s">
        <v>33</v>
      </c>
      <c r="D3889" s="31" t="s">
        <v>34</v>
      </c>
      <c r="E3889" s="32"/>
      <c r="F3889" s="32"/>
      <c r="G3889" s="33"/>
      <c r="H3889" s="46">
        <f>H3888+H3886+H3883</f>
        <v>453655</v>
      </c>
      <c r="I3889" s="47"/>
    </row>
    <row r="3890" spans="3:11" x14ac:dyDescent="0.3">
      <c r="C3890" s="30" t="s">
        <v>35</v>
      </c>
      <c r="D3890" s="31" t="s">
        <v>36</v>
      </c>
      <c r="E3890" s="32"/>
      <c r="F3890" s="33"/>
      <c r="G3890" s="34">
        <f>$M$9</f>
        <v>0.1</v>
      </c>
      <c r="H3890" s="19">
        <f>H3889*G3890</f>
        <v>45365.5</v>
      </c>
      <c r="I3890" s="47"/>
    </row>
    <row r="3891" spans="3:11" x14ac:dyDescent="0.3">
      <c r="C3891" s="30" t="s">
        <v>37</v>
      </c>
      <c r="D3891" s="31" t="s">
        <v>38</v>
      </c>
      <c r="E3891" s="32"/>
      <c r="F3891" s="32"/>
      <c r="G3891" s="33"/>
      <c r="H3891" s="48">
        <f>SUM(H3889:H3890)</f>
        <v>499020.5</v>
      </c>
      <c r="I3891" s="47"/>
    </row>
    <row r="3892" spans="3:11" x14ac:dyDescent="0.3">
      <c r="C3892" s="50"/>
      <c r="D3892" s="51"/>
      <c r="E3892" s="51"/>
      <c r="F3892" s="51"/>
      <c r="G3892" s="51"/>
      <c r="H3892" s="52"/>
    </row>
    <row r="3893" spans="3:11" x14ac:dyDescent="0.3">
      <c r="C3893" s="40" t="s">
        <v>751</v>
      </c>
      <c r="D3893" s="68" t="s">
        <v>752</v>
      </c>
      <c r="E3893" s="44"/>
      <c r="F3893" s="44"/>
      <c r="G3893" s="44"/>
      <c r="H3893" s="44"/>
      <c r="I3893" s="10">
        <f>ROUNDDOWN(H3908,0)</f>
        <v>512220</v>
      </c>
      <c r="J3893" s="15" t="s">
        <v>595</v>
      </c>
      <c r="K3893" s="39"/>
    </row>
    <row r="3894" spans="3:11" ht="27.6" x14ac:dyDescent="0.3">
      <c r="C3894" s="11" t="s">
        <v>9</v>
      </c>
      <c r="D3894" s="11" t="s">
        <v>10</v>
      </c>
      <c r="E3894" s="11" t="s">
        <v>11</v>
      </c>
      <c r="F3894" s="11" t="s">
        <v>12</v>
      </c>
      <c r="G3894" s="11" t="s">
        <v>13</v>
      </c>
      <c r="H3894" s="11" t="s">
        <v>14</v>
      </c>
    </row>
    <row r="3895" spans="3:11" x14ac:dyDescent="0.25">
      <c r="C3895" s="12" t="s">
        <v>15</v>
      </c>
      <c r="D3895" s="13" t="s">
        <v>16</v>
      </c>
      <c r="E3895" s="14"/>
      <c r="F3895" s="14"/>
      <c r="G3895" s="14"/>
      <c r="H3895" s="14"/>
    </row>
    <row r="3896" spans="3:11" x14ac:dyDescent="0.3">
      <c r="C3896" s="16">
        <v>1</v>
      </c>
      <c r="D3896" s="13" t="s">
        <v>18</v>
      </c>
      <c r="E3896" s="17" t="s">
        <v>19</v>
      </c>
      <c r="F3896" s="18">
        <v>0.11899999999999999</v>
      </c>
      <c r="G3896" s="19">
        <f>VLOOKUP(D3896,upahbahan,3,FALSE)</f>
        <v>100000</v>
      </c>
      <c r="H3896" s="19">
        <f t="shared" ref="H3896:H3899" si="415">F3896*G3896</f>
        <v>11900</v>
      </c>
    </row>
    <row r="3897" spans="3:11" x14ac:dyDescent="0.3">
      <c r="C3897" s="16">
        <v>2</v>
      </c>
      <c r="D3897" s="13" t="s">
        <v>214</v>
      </c>
      <c r="E3897" s="17" t="s">
        <v>19</v>
      </c>
      <c r="F3897" s="18">
        <v>0.19900000000000001</v>
      </c>
      <c r="G3897" s="19">
        <f>VLOOKUP(D3897,upahbahan,3,FALSE)</f>
        <v>145000</v>
      </c>
      <c r="H3897" s="19">
        <f t="shared" si="415"/>
        <v>28855</v>
      </c>
    </row>
    <row r="3898" spans="3:11" x14ac:dyDescent="0.3">
      <c r="C3898" s="16">
        <v>3</v>
      </c>
      <c r="D3898" s="13" t="s">
        <v>22</v>
      </c>
      <c r="E3898" s="17" t="s">
        <v>19</v>
      </c>
      <c r="F3898" s="18">
        <v>0.02</v>
      </c>
      <c r="G3898" s="19">
        <f>VLOOKUP(D3898,upahbahan,3,FALSE)</f>
        <v>175000</v>
      </c>
      <c r="H3898" s="19">
        <f t="shared" si="415"/>
        <v>3500</v>
      </c>
    </row>
    <row r="3899" spans="3:11" x14ac:dyDescent="0.3">
      <c r="C3899" s="16">
        <v>4</v>
      </c>
      <c r="D3899" s="13" t="s">
        <v>23</v>
      </c>
      <c r="E3899" s="17" t="s">
        <v>19</v>
      </c>
      <c r="F3899" s="18">
        <v>7.0000000000000001E-3</v>
      </c>
      <c r="G3899" s="19">
        <f>VLOOKUP(D3899,upahbahan,3,FALSE)</f>
        <v>200000</v>
      </c>
      <c r="H3899" s="19">
        <f t="shared" si="415"/>
        <v>1400</v>
      </c>
    </row>
    <row r="3900" spans="3:11" x14ac:dyDescent="0.3">
      <c r="C3900" s="21" t="s">
        <v>24</v>
      </c>
      <c r="D3900" s="22"/>
      <c r="E3900" s="22"/>
      <c r="F3900" s="54"/>
      <c r="G3900" s="24"/>
      <c r="H3900" s="19">
        <f>SUM(H3896:H3899)</f>
        <v>45655</v>
      </c>
      <c r="I3900" s="25"/>
    </row>
    <row r="3901" spans="3:11" x14ac:dyDescent="0.25">
      <c r="C3901" s="12" t="s">
        <v>25</v>
      </c>
      <c r="D3901" s="13" t="s">
        <v>26</v>
      </c>
      <c r="E3901" s="14"/>
      <c r="F3901" s="55"/>
      <c r="G3901" s="14"/>
      <c r="H3901" s="14"/>
    </row>
    <row r="3902" spans="3:11" x14ac:dyDescent="0.3">
      <c r="C3902" s="63" t="s">
        <v>202</v>
      </c>
      <c r="D3902" s="26" t="s">
        <v>753</v>
      </c>
      <c r="E3902" s="27" t="s">
        <v>617</v>
      </c>
      <c r="F3902" s="59">
        <v>1.2</v>
      </c>
      <c r="G3902" s="19">
        <f>VLOOKUP(D3902,upahbahan,3,FALSE)</f>
        <v>350000</v>
      </c>
      <c r="H3902" s="19">
        <f t="shared" ref="H3902" si="416">F3902*G3902</f>
        <v>420000</v>
      </c>
    </row>
    <row r="3903" spans="3:11" x14ac:dyDescent="0.3">
      <c r="C3903" s="21" t="s">
        <v>29</v>
      </c>
      <c r="D3903" s="22"/>
      <c r="E3903" s="22"/>
      <c r="F3903" s="22"/>
      <c r="G3903" s="28"/>
      <c r="H3903" s="19">
        <f>SUM(H3902:H3902)</f>
        <v>420000</v>
      </c>
    </row>
    <row r="3904" spans="3:11" x14ac:dyDescent="0.25">
      <c r="C3904" s="12" t="s">
        <v>30</v>
      </c>
      <c r="D3904" s="13" t="s">
        <v>31</v>
      </c>
      <c r="E3904" s="14"/>
      <c r="F3904" s="14"/>
      <c r="G3904" s="14"/>
      <c r="H3904" s="14"/>
    </row>
    <row r="3905" spans="3:11" x14ac:dyDescent="0.3">
      <c r="C3905" s="21" t="s">
        <v>32</v>
      </c>
      <c r="D3905" s="22"/>
      <c r="E3905" s="22"/>
      <c r="F3905" s="22"/>
      <c r="G3905" s="28"/>
      <c r="H3905" s="29">
        <v>0</v>
      </c>
    </row>
    <row r="3906" spans="3:11" x14ac:dyDescent="0.3">
      <c r="C3906" s="30" t="s">
        <v>33</v>
      </c>
      <c r="D3906" s="31" t="s">
        <v>34</v>
      </c>
      <c r="E3906" s="32"/>
      <c r="F3906" s="32"/>
      <c r="G3906" s="33"/>
      <c r="H3906" s="46">
        <f>H3905+H3903+H3900</f>
        <v>465655</v>
      </c>
      <c r="I3906" s="47"/>
    </row>
    <row r="3907" spans="3:11" x14ac:dyDescent="0.3">
      <c r="C3907" s="30" t="s">
        <v>35</v>
      </c>
      <c r="D3907" s="31" t="s">
        <v>36</v>
      </c>
      <c r="E3907" s="32"/>
      <c r="F3907" s="33"/>
      <c r="G3907" s="34">
        <f>$M$9</f>
        <v>0.1</v>
      </c>
      <c r="H3907" s="19">
        <f>H3906*G3907</f>
        <v>46565.5</v>
      </c>
      <c r="I3907" s="47"/>
    </row>
    <row r="3908" spans="3:11" x14ac:dyDescent="0.3">
      <c r="C3908" s="30" t="s">
        <v>37</v>
      </c>
      <c r="D3908" s="31" t="s">
        <v>38</v>
      </c>
      <c r="E3908" s="32"/>
      <c r="F3908" s="32"/>
      <c r="G3908" s="33"/>
      <c r="H3908" s="48">
        <f>SUM(H3906:H3907)</f>
        <v>512220.5</v>
      </c>
      <c r="I3908" s="47"/>
    </row>
    <row r="3909" spans="3:11" x14ac:dyDescent="0.3">
      <c r="C3909" s="50"/>
      <c r="D3909" s="51"/>
      <c r="E3909" s="51"/>
      <c r="F3909" s="51"/>
      <c r="G3909" s="51"/>
      <c r="H3909" s="52"/>
    </row>
    <row r="3910" spans="3:11" x14ac:dyDescent="0.3">
      <c r="C3910" s="40" t="s">
        <v>754</v>
      </c>
      <c r="D3910" s="68" t="s">
        <v>755</v>
      </c>
      <c r="E3910" s="44"/>
      <c r="F3910" s="44"/>
      <c r="G3910" s="44"/>
      <c r="H3910" s="44"/>
      <c r="I3910" s="10">
        <f>ROUNDDOWN(H3925,0)</f>
        <v>525420</v>
      </c>
      <c r="J3910" s="15" t="s">
        <v>595</v>
      </c>
      <c r="K3910" s="39"/>
    </row>
    <row r="3911" spans="3:11" ht="27.6" x14ac:dyDescent="0.3">
      <c r="C3911" s="11" t="s">
        <v>9</v>
      </c>
      <c r="D3911" s="11" t="s">
        <v>10</v>
      </c>
      <c r="E3911" s="11" t="s">
        <v>11</v>
      </c>
      <c r="F3911" s="11" t="s">
        <v>12</v>
      </c>
      <c r="G3911" s="11" t="s">
        <v>13</v>
      </c>
      <c r="H3911" s="11" t="s">
        <v>14</v>
      </c>
    </row>
    <row r="3912" spans="3:11" x14ac:dyDescent="0.25">
      <c r="C3912" s="12" t="s">
        <v>15</v>
      </c>
      <c r="D3912" s="13" t="s">
        <v>16</v>
      </c>
      <c r="E3912" s="14"/>
      <c r="F3912" s="14"/>
      <c r="G3912" s="14"/>
      <c r="H3912" s="14"/>
    </row>
    <row r="3913" spans="3:11" x14ac:dyDescent="0.3">
      <c r="C3913" s="16">
        <v>1</v>
      </c>
      <c r="D3913" s="13" t="s">
        <v>18</v>
      </c>
      <c r="E3913" s="17" t="s">
        <v>19</v>
      </c>
      <c r="F3913" s="18">
        <v>0.11899999999999999</v>
      </c>
      <c r="G3913" s="19">
        <f>VLOOKUP(D3913,upahbahan,3,FALSE)</f>
        <v>100000</v>
      </c>
      <c r="H3913" s="19">
        <f t="shared" ref="H3913:H3916" si="417">F3913*G3913</f>
        <v>11900</v>
      </c>
    </row>
    <row r="3914" spans="3:11" x14ac:dyDescent="0.3">
      <c r="C3914" s="16">
        <v>2</v>
      </c>
      <c r="D3914" s="13" t="s">
        <v>214</v>
      </c>
      <c r="E3914" s="17" t="s">
        <v>19</v>
      </c>
      <c r="F3914" s="18">
        <v>0.19900000000000001</v>
      </c>
      <c r="G3914" s="19">
        <f>VLOOKUP(D3914,upahbahan,3,FALSE)</f>
        <v>145000</v>
      </c>
      <c r="H3914" s="19">
        <f t="shared" si="417"/>
        <v>28855</v>
      </c>
    </row>
    <row r="3915" spans="3:11" x14ac:dyDescent="0.3">
      <c r="C3915" s="16">
        <v>3</v>
      </c>
      <c r="D3915" s="13" t="s">
        <v>22</v>
      </c>
      <c r="E3915" s="17" t="s">
        <v>19</v>
      </c>
      <c r="F3915" s="18">
        <v>0.02</v>
      </c>
      <c r="G3915" s="19">
        <f>VLOOKUP(D3915,upahbahan,3,FALSE)</f>
        <v>175000</v>
      </c>
      <c r="H3915" s="19">
        <f t="shared" si="417"/>
        <v>3500</v>
      </c>
    </row>
    <row r="3916" spans="3:11" x14ac:dyDescent="0.3">
      <c r="C3916" s="16">
        <v>4</v>
      </c>
      <c r="D3916" s="13" t="s">
        <v>23</v>
      </c>
      <c r="E3916" s="17" t="s">
        <v>19</v>
      </c>
      <c r="F3916" s="18">
        <v>7.0000000000000001E-3</v>
      </c>
      <c r="G3916" s="19">
        <f>VLOOKUP(D3916,upahbahan,3,FALSE)</f>
        <v>200000</v>
      </c>
      <c r="H3916" s="19">
        <f t="shared" si="417"/>
        <v>1400</v>
      </c>
    </row>
    <row r="3917" spans="3:11" x14ac:dyDescent="0.3">
      <c r="C3917" s="21" t="s">
        <v>24</v>
      </c>
      <c r="D3917" s="22"/>
      <c r="E3917" s="22"/>
      <c r="F3917" s="54"/>
      <c r="G3917" s="24"/>
      <c r="H3917" s="19">
        <f>SUM(H3913:H3916)</f>
        <v>45655</v>
      </c>
      <c r="I3917" s="25"/>
    </row>
    <row r="3918" spans="3:11" x14ac:dyDescent="0.25">
      <c r="C3918" s="12" t="s">
        <v>25</v>
      </c>
      <c r="D3918" s="13" t="s">
        <v>26</v>
      </c>
      <c r="E3918" s="14"/>
      <c r="F3918" s="55"/>
      <c r="G3918" s="14"/>
      <c r="H3918" s="14"/>
    </row>
    <row r="3919" spans="3:11" ht="55.2" x14ac:dyDescent="0.3">
      <c r="C3919" s="63" t="s">
        <v>202</v>
      </c>
      <c r="D3919" s="13" t="s">
        <v>756</v>
      </c>
      <c r="E3919" s="27" t="s">
        <v>617</v>
      </c>
      <c r="F3919" s="59">
        <v>1.2</v>
      </c>
      <c r="G3919" s="19">
        <f>VLOOKUP(D3919,upahbahan,3,FALSE)</f>
        <v>360000</v>
      </c>
      <c r="H3919" s="19">
        <f t="shared" ref="H3919" si="418">F3919*G3919</f>
        <v>432000</v>
      </c>
    </row>
    <row r="3920" spans="3:11" x14ac:dyDescent="0.3">
      <c r="C3920" s="21" t="s">
        <v>29</v>
      </c>
      <c r="D3920" s="22"/>
      <c r="E3920" s="22"/>
      <c r="F3920" s="22"/>
      <c r="G3920" s="28"/>
      <c r="H3920" s="19">
        <f>SUM(H3919:H3919)</f>
        <v>432000</v>
      </c>
    </row>
    <row r="3921" spans="3:11" x14ac:dyDescent="0.25">
      <c r="C3921" s="12" t="s">
        <v>30</v>
      </c>
      <c r="D3921" s="13" t="s">
        <v>31</v>
      </c>
      <c r="E3921" s="14"/>
      <c r="F3921" s="14"/>
      <c r="G3921" s="14"/>
      <c r="H3921" s="14"/>
    </row>
    <row r="3922" spans="3:11" x14ac:dyDescent="0.3">
      <c r="C3922" s="21" t="s">
        <v>32</v>
      </c>
      <c r="D3922" s="22"/>
      <c r="E3922" s="22"/>
      <c r="F3922" s="22"/>
      <c r="G3922" s="28"/>
      <c r="H3922" s="29">
        <v>0</v>
      </c>
    </row>
    <row r="3923" spans="3:11" x14ac:dyDescent="0.3">
      <c r="C3923" s="30" t="s">
        <v>33</v>
      </c>
      <c r="D3923" s="31" t="s">
        <v>34</v>
      </c>
      <c r="E3923" s="32"/>
      <c r="F3923" s="32"/>
      <c r="G3923" s="33"/>
      <c r="H3923" s="46">
        <f>H3922+H3920+H3917</f>
        <v>477655</v>
      </c>
      <c r="I3923" s="47"/>
    </row>
    <row r="3924" spans="3:11" x14ac:dyDescent="0.3">
      <c r="C3924" s="30" t="s">
        <v>35</v>
      </c>
      <c r="D3924" s="31" t="s">
        <v>36</v>
      </c>
      <c r="E3924" s="32"/>
      <c r="F3924" s="33"/>
      <c r="G3924" s="34">
        <f>$M$9</f>
        <v>0.1</v>
      </c>
      <c r="H3924" s="19">
        <f>H3923*G3924</f>
        <v>47765.5</v>
      </c>
      <c r="I3924" s="47"/>
    </row>
    <row r="3925" spans="3:11" x14ac:dyDescent="0.3">
      <c r="C3925" s="30" t="s">
        <v>37</v>
      </c>
      <c r="D3925" s="31" t="s">
        <v>38</v>
      </c>
      <c r="E3925" s="32"/>
      <c r="F3925" s="32"/>
      <c r="G3925" s="33"/>
      <c r="H3925" s="48">
        <f>SUM(H3923:H3924)</f>
        <v>525420.5</v>
      </c>
      <c r="I3925" s="47"/>
    </row>
    <row r="3926" spans="3:11" x14ac:dyDescent="0.3">
      <c r="C3926" s="50"/>
      <c r="D3926" s="51"/>
      <c r="E3926" s="51"/>
      <c r="F3926" s="51"/>
      <c r="G3926" s="51"/>
      <c r="H3926" s="52"/>
    </row>
    <row r="3927" spans="3:11" x14ac:dyDescent="0.3">
      <c r="C3927" s="40" t="s">
        <v>757</v>
      </c>
      <c r="D3927" s="68" t="s">
        <v>758</v>
      </c>
      <c r="E3927" s="44"/>
      <c r="F3927" s="44"/>
      <c r="G3927" s="44"/>
      <c r="H3927" s="44"/>
      <c r="I3927" s="10">
        <f>ROUNDDOWN(H3942,0)</f>
        <v>538620</v>
      </c>
      <c r="J3927" s="15" t="s">
        <v>595</v>
      </c>
      <c r="K3927" s="39"/>
    </row>
    <row r="3928" spans="3:11" ht="27.6" x14ac:dyDescent="0.3">
      <c r="C3928" s="11" t="s">
        <v>9</v>
      </c>
      <c r="D3928" s="11" t="s">
        <v>10</v>
      </c>
      <c r="E3928" s="11" t="s">
        <v>11</v>
      </c>
      <c r="F3928" s="11" t="s">
        <v>12</v>
      </c>
      <c r="G3928" s="11" t="s">
        <v>13</v>
      </c>
      <c r="H3928" s="11" t="s">
        <v>14</v>
      </c>
    </row>
    <row r="3929" spans="3:11" x14ac:dyDescent="0.25">
      <c r="C3929" s="12" t="s">
        <v>15</v>
      </c>
      <c r="D3929" s="13" t="s">
        <v>16</v>
      </c>
      <c r="E3929" s="14"/>
      <c r="F3929" s="14"/>
      <c r="G3929" s="14"/>
      <c r="H3929" s="14"/>
    </row>
    <row r="3930" spans="3:11" x14ac:dyDescent="0.3">
      <c r="C3930" s="16">
        <v>1</v>
      </c>
      <c r="D3930" s="13" t="s">
        <v>18</v>
      </c>
      <c r="E3930" s="17" t="s">
        <v>19</v>
      </c>
      <c r="F3930" s="18">
        <v>0.11899999999999999</v>
      </c>
      <c r="G3930" s="19">
        <f>VLOOKUP(D3930,upahbahan,3,FALSE)</f>
        <v>100000</v>
      </c>
      <c r="H3930" s="19">
        <f t="shared" ref="H3930:H3933" si="419">F3930*G3930</f>
        <v>11900</v>
      </c>
    </row>
    <row r="3931" spans="3:11" x14ac:dyDescent="0.3">
      <c r="C3931" s="16">
        <v>2</v>
      </c>
      <c r="D3931" s="13" t="s">
        <v>214</v>
      </c>
      <c r="E3931" s="17" t="s">
        <v>19</v>
      </c>
      <c r="F3931" s="18">
        <v>0.19900000000000001</v>
      </c>
      <c r="G3931" s="19">
        <f>VLOOKUP(D3931,upahbahan,3,FALSE)</f>
        <v>145000</v>
      </c>
      <c r="H3931" s="19">
        <f t="shared" si="419"/>
        <v>28855</v>
      </c>
    </row>
    <row r="3932" spans="3:11" x14ac:dyDescent="0.3">
      <c r="C3932" s="16">
        <v>3</v>
      </c>
      <c r="D3932" s="13" t="s">
        <v>22</v>
      </c>
      <c r="E3932" s="17" t="s">
        <v>19</v>
      </c>
      <c r="F3932" s="18">
        <v>0.02</v>
      </c>
      <c r="G3932" s="19">
        <f>VLOOKUP(D3932,upahbahan,3,FALSE)</f>
        <v>175000</v>
      </c>
      <c r="H3932" s="19">
        <f t="shared" si="419"/>
        <v>3500</v>
      </c>
    </row>
    <row r="3933" spans="3:11" x14ac:dyDescent="0.3">
      <c r="C3933" s="16">
        <v>4</v>
      </c>
      <c r="D3933" s="13" t="s">
        <v>23</v>
      </c>
      <c r="E3933" s="17" t="s">
        <v>19</v>
      </c>
      <c r="F3933" s="18">
        <v>7.0000000000000001E-3</v>
      </c>
      <c r="G3933" s="19">
        <f>VLOOKUP(D3933,upahbahan,3,FALSE)</f>
        <v>200000</v>
      </c>
      <c r="H3933" s="19">
        <f t="shared" si="419"/>
        <v>1400</v>
      </c>
    </row>
    <row r="3934" spans="3:11" x14ac:dyDescent="0.3">
      <c r="C3934" s="21" t="s">
        <v>24</v>
      </c>
      <c r="D3934" s="22"/>
      <c r="E3934" s="22"/>
      <c r="F3934" s="54"/>
      <c r="G3934" s="24"/>
      <c r="H3934" s="19">
        <f>SUM(H3930:H3933)</f>
        <v>45655</v>
      </c>
      <c r="I3934" s="25"/>
    </row>
    <row r="3935" spans="3:11" x14ac:dyDescent="0.25">
      <c r="C3935" s="12" t="s">
        <v>25</v>
      </c>
      <c r="D3935" s="13" t="s">
        <v>26</v>
      </c>
      <c r="E3935" s="14"/>
      <c r="F3935" s="55"/>
      <c r="G3935" s="14"/>
      <c r="H3935" s="14"/>
    </row>
    <row r="3936" spans="3:11" ht="55.2" x14ac:dyDescent="0.3">
      <c r="C3936" s="63" t="s">
        <v>202</v>
      </c>
      <c r="D3936" s="13" t="s">
        <v>759</v>
      </c>
      <c r="E3936" s="27" t="s">
        <v>617</v>
      </c>
      <c r="F3936" s="59">
        <v>1.2</v>
      </c>
      <c r="G3936" s="19">
        <f>VLOOKUP(D3936,upahbahan,3,FALSE)</f>
        <v>370000</v>
      </c>
      <c r="H3936" s="19">
        <f t="shared" ref="H3936" si="420">F3936*G3936</f>
        <v>444000</v>
      </c>
    </row>
    <row r="3937" spans="3:11" x14ac:dyDescent="0.3">
      <c r="C3937" s="21" t="s">
        <v>29</v>
      </c>
      <c r="D3937" s="22"/>
      <c r="E3937" s="22"/>
      <c r="F3937" s="22"/>
      <c r="G3937" s="28"/>
      <c r="H3937" s="19">
        <f>SUM(H3936:H3936)</f>
        <v>444000</v>
      </c>
    </row>
    <row r="3938" spans="3:11" x14ac:dyDescent="0.25">
      <c r="C3938" s="12" t="s">
        <v>30</v>
      </c>
      <c r="D3938" s="13" t="s">
        <v>31</v>
      </c>
      <c r="E3938" s="14"/>
      <c r="F3938" s="14"/>
      <c r="G3938" s="14"/>
      <c r="H3938" s="14"/>
    </row>
    <row r="3939" spans="3:11" x14ac:dyDescent="0.3">
      <c r="C3939" s="21" t="s">
        <v>32</v>
      </c>
      <c r="D3939" s="22"/>
      <c r="E3939" s="22"/>
      <c r="F3939" s="22"/>
      <c r="G3939" s="28"/>
      <c r="H3939" s="29">
        <v>0</v>
      </c>
    </row>
    <row r="3940" spans="3:11" x14ac:dyDescent="0.3">
      <c r="C3940" s="30" t="s">
        <v>33</v>
      </c>
      <c r="D3940" s="31" t="s">
        <v>34</v>
      </c>
      <c r="E3940" s="32"/>
      <c r="F3940" s="32"/>
      <c r="G3940" s="33"/>
      <c r="H3940" s="46">
        <f>H3939+H3937+H3934</f>
        <v>489655</v>
      </c>
      <c r="I3940" s="47"/>
    </row>
    <row r="3941" spans="3:11" x14ac:dyDescent="0.3">
      <c r="C3941" s="30" t="s">
        <v>35</v>
      </c>
      <c r="D3941" s="31" t="s">
        <v>36</v>
      </c>
      <c r="E3941" s="32"/>
      <c r="F3941" s="33"/>
      <c r="G3941" s="34">
        <f>$M$9</f>
        <v>0.1</v>
      </c>
      <c r="H3941" s="19">
        <f>H3940*G3941</f>
        <v>48965.5</v>
      </c>
      <c r="I3941" s="47"/>
    </row>
    <row r="3942" spans="3:11" x14ac:dyDescent="0.3">
      <c r="C3942" s="30" t="s">
        <v>37</v>
      </c>
      <c r="D3942" s="31" t="s">
        <v>38</v>
      </c>
      <c r="E3942" s="32"/>
      <c r="F3942" s="32"/>
      <c r="G3942" s="33"/>
      <c r="H3942" s="48">
        <f>SUM(H3940:H3941)</f>
        <v>538620.5</v>
      </c>
      <c r="I3942" s="47"/>
    </row>
    <row r="3943" spans="3:11" x14ac:dyDescent="0.3">
      <c r="C3943" s="50"/>
      <c r="D3943" s="51"/>
      <c r="E3943" s="51"/>
      <c r="F3943" s="51"/>
      <c r="G3943" s="51"/>
      <c r="H3943" s="52"/>
    </row>
    <row r="3944" spans="3:11" x14ac:dyDescent="0.3">
      <c r="C3944" s="40" t="s">
        <v>760</v>
      </c>
      <c r="D3944" s="68" t="s">
        <v>761</v>
      </c>
      <c r="E3944" s="44"/>
      <c r="F3944" s="44"/>
      <c r="G3944" s="44"/>
      <c r="H3944" s="44"/>
      <c r="I3944" s="10">
        <f>ROUNDDOWN(H3959,0)</f>
        <v>565020</v>
      </c>
      <c r="J3944" s="15" t="s">
        <v>595</v>
      </c>
      <c r="K3944" s="39"/>
    </row>
    <row r="3945" spans="3:11" ht="27.6" x14ac:dyDescent="0.3">
      <c r="C3945" s="11" t="s">
        <v>9</v>
      </c>
      <c r="D3945" s="11" t="s">
        <v>10</v>
      </c>
      <c r="E3945" s="11" t="s">
        <v>11</v>
      </c>
      <c r="F3945" s="11" t="s">
        <v>12</v>
      </c>
      <c r="G3945" s="11" t="s">
        <v>13</v>
      </c>
      <c r="H3945" s="11" t="s">
        <v>14</v>
      </c>
    </row>
    <row r="3946" spans="3:11" x14ac:dyDescent="0.25">
      <c r="C3946" s="12" t="s">
        <v>15</v>
      </c>
      <c r="D3946" s="13" t="s">
        <v>16</v>
      </c>
      <c r="E3946" s="14"/>
      <c r="F3946" s="14"/>
      <c r="G3946" s="14"/>
      <c r="H3946" s="14"/>
    </row>
    <row r="3947" spans="3:11" x14ac:dyDescent="0.3">
      <c r="C3947" s="16">
        <v>1</v>
      </c>
      <c r="D3947" s="13" t="s">
        <v>18</v>
      </c>
      <c r="E3947" s="17" t="s">
        <v>19</v>
      </c>
      <c r="F3947" s="18">
        <v>0.11899999999999999</v>
      </c>
      <c r="G3947" s="19">
        <f>VLOOKUP(D3947,upahbahan,3,FALSE)</f>
        <v>100000</v>
      </c>
      <c r="H3947" s="19">
        <f t="shared" ref="H3947:H3950" si="421">F3947*G3947</f>
        <v>11900</v>
      </c>
    </row>
    <row r="3948" spans="3:11" x14ac:dyDescent="0.3">
      <c r="C3948" s="16">
        <v>2</v>
      </c>
      <c r="D3948" s="13" t="s">
        <v>214</v>
      </c>
      <c r="E3948" s="17" t="s">
        <v>19</v>
      </c>
      <c r="F3948" s="18">
        <v>0.19900000000000001</v>
      </c>
      <c r="G3948" s="19">
        <f>VLOOKUP(D3948,upahbahan,3,FALSE)</f>
        <v>145000</v>
      </c>
      <c r="H3948" s="19">
        <f t="shared" si="421"/>
        <v>28855</v>
      </c>
    </row>
    <row r="3949" spans="3:11" x14ac:dyDescent="0.3">
      <c r="C3949" s="16">
        <v>3</v>
      </c>
      <c r="D3949" s="13" t="s">
        <v>22</v>
      </c>
      <c r="E3949" s="17" t="s">
        <v>19</v>
      </c>
      <c r="F3949" s="18">
        <v>0.02</v>
      </c>
      <c r="G3949" s="19">
        <f>VLOOKUP(D3949,upahbahan,3,FALSE)</f>
        <v>175000</v>
      </c>
      <c r="H3949" s="19">
        <f t="shared" si="421"/>
        <v>3500</v>
      </c>
    </row>
    <row r="3950" spans="3:11" x14ac:dyDescent="0.3">
      <c r="C3950" s="16">
        <v>4</v>
      </c>
      <c r="D3950" s="13" t="s">
        <v>23</v>
      </c>
      <c r="E3950" s="17" t="s">
        <v>19</v>
      </c>
      <c r="F3950" s="18">
        <v>7.0000000000000001E-3</v>
      </c>
      <c r="G3950" s="19">
        <f>VLOOKUP(D3950,upahbahan,3,FALSE)</f>
        <v>200000</v>
      </c>
      <c r="H3950" s="19">
        <f t="shared" si="421"/>
        <v>1400</v>
      </c>
    </row>
    <row r="3951" spans="3:11" x14ac:dyDescent="0.3">
      <c r="C3951" s="21" t="s">
        <v>24</v>
      </c>
      <c r="D3951" s="22"/>
      <c r="E3951" s="22"/>
      <c r="F3951" s="54"/>
      <c r="G3951" s="24"/>
      <c r="H3951" s="19">
        <f>SUM(H3947:H3950)</f>
        <v>45655</v>
      </c>
      <c r="I3951" s="25"/>
    </row>
    <row r="3952" spans="3:11" x14ac:dyDescent="0.25">
      <c r="C3952" s="12" t="s">
        <v>25</v>
      </c>
      <c r="D3952" s="13" t="s">
        <v>26</v>
      </c>
      <c r="E3952" s="14"/>
      <c r="F3952" s="55"/>
      <c r="G3952" s="14"/>
      <c r="H3952" s="14"/>
    </row>
    <row r="3953" spans="3:11" ht="41.4" x14ac:dyDescent="0.3">
      <c r="C3953" s="63" t="s">
        <v>202</v>
      </c>
      <c r="D3953" s="13" t="s">
        <v>762</v>
      </c>
      <c r="E3953" s="27" t="s">
        <v>617</v>
      </c>
      <c r="F3953" s="59">
        <v>1.2</v>
      </c>
      <c r="G3953" s="19">
        <f>VLOOKUP(D3953,upahbahan,3,FALSE)</f>
        <v>390000</v>
      </c>
      <c r="H3953" s="19">
        <f t="shared" ref="H3953" si="422">F3953*G3953</f>
        <v>468000</v>
      </c>
    </row>
    <row r="3954" spans="3:11" x14ac:dyDescent="0.3">
      <c r="C3954" s="21" t="s">
        <v>29</v>
      </c>
      <c r="D3954" s="22"/>
      <c r="E3954" s="22"/>
      <c r="F3954" s="22"/>
      <c r="G3954" s="28"/>
      <c r="H3954" s="19">
        <f>SUM(H3953:H3953)</f>
        <v>468000</v>
      </c>
    </row>
    <row r="3955" spans="3:11" x14ac:dyDescent="0.25">
      <c r="C3955" s="12" t="s">
        <v>30</v>
      </c>
      <c r="D3955" s="13" t="s">
        <v>31</v>
      </c>
      <c r="E3955" s="14"/>
      <c r="F3955" s="14"/>
      <c r="G3955" s="14"/>
      <c r="H3955" s="14"/>
    </row>
    <row r="3956" spans="3:11" x14ac:dyDescent="0.3">
      <c r="C3956" s="21" t="s">
        <v>32</v>
      </c>
      <c r="D3956" s="22"/>
      <c r="E3956" s="22"/>
      <c r="F3956" s="22"/>
      <c r="G3956" s="28"/>
      <c r="H3956" s="29">
        <v>0</v>
      </c>
    </row>
    <row r="3957" spans="3:11" x14ac:dyDescent="0.3">
      <c r="C3957" s="30" t="s">
        <v>33</v>
      </c>
      <c r="D3957" s="31" t="s">
        <v>34</v>
      </c>
      <c r="E3957" s="32"/>
      <c r="F3957" s="32"/>
      <c r="G3957" s="33"/>
      <c r="H3957" s="46">
        <f>H3956+H3954+H3951</f>
        <v>513655</v>
      </c>
      <c r="I3957" s="47"/>
    </row>
    <row r="3958" spans="3:11" x14ac:dyDescent="0.3">
      <c r="C3958" s="30" t="s">
        <v>35</v>
      </c>
      <c r="D3958" s="31" t="s">
        <v>36</v>
      </c>
      <c r="E3958" s="32"/>
      <c r="F3958" s="33"/>
      <c r="G3958" s="34">
        <f>$M$9</f>
        <v>0.1</v>
      </c>
      <c r="H3958" s="19">
        <f>H3957*G3958</f>
        <v>51365.5</v>
      </c>
      <c r="I3958" s="47"/>
    </row>
    <row r="3959" spans="3:11" x14ac:dyDescent="0.3">
      <c r="C3959" s="30" t="s">
        <v>37</v>
      </c>
      <c r="D3959" s="31" t="s">
        <v>38</v>
      </c>
      <c r="E3959" s="32"/>
      <c r="F3959" s="32"/>
      <c r="G3959" s="33"/>
      <c r="H3959" s="48">
        <f>SUM(H3957:H3958)</f>
        <v>565020.5</v>
      </c>
      <c r="I3959" s="47"/>
    </row>
    <row r="3960" spans="3:11" x14ac:dyDescent="0.3">
      <c r="C3960" s="50"/>
      <c r="D3960" s="51"/>
      <c r="E3960" s="51"/>
      <c r="F3960" s="51"/>
      <c r="G3960" s="51"/>
      <c r="H3960" s="52"/>
    </row>
    <row r="3961" spans="3:11" x14ac:dyDescent="0.3">
      <c r="C3961" s="40" t="s">
        <v>763</v>
      </c>
      <c r="D3961" s="68" t="s">
        <v>764</v>
      </c>
      <c r="E3961" s="44"/>
      <c r="F3961" s="44"/>
      <c r="G3961" s="44"/>
      <c r="H3961" s="44"/>
      <c r="I3961" s="10">
        <f>ROUNDDOWN(H3976,0)</f>
        <v>499020</v>
      </c>
      <c r="J3961" s="15" t="s">
        <v>595</v>
      </c>
      <c r="K3961" s="39"/>
    </row>
    <row r="3962" spans="3:11" ht="27.6" x14ac:dyDescent="0.3">
      <c r="C3962" s="11" t="s">
        <v>9</v>
      </c>
      <c r="D3962" s="11" t="s">
        <v>10</v>
      </c>
      <c r="E3962" s="11" t="s">
        <v>11</v>
      </c>
      <c r="F3962" s="11" t="s">
        <v>12</v>
      </c>
      <c r="G3962" s="11" t="s">
        <v>13</v>
      </c>
      <c r="H3962" s="11" t="s">
        <v>14</v>
      </c>
    </row>
    <row r="3963" spans="3:11" x14ac:dyDescent="0.25">
      <c r="C3963" s="12" t="s">
        <v>15</v>
      </c>
      <c r="D3963" s="13" t="s">
        <v>16</v>
      </c>
      <c r="E3963" s="14"/>
      <c r="F3963" s="14"/>
      <c r="G3963" s="14"/>
      <c r="H3963" s="14"/>
    </row>
    <row r="3964" spans="3:11" x14ac:dyDescent="0.3">
      <c r="C3964" s="16">
        <v>1</v>
      </c>
      <c r="D3964" s="13" t="s">
        <v>18</v>
      </c>
      <c r="E3964" s="17" t="s">
        <v>19</v>
      </c>
      <c r="F3964" s="18">
        <v>0.11899999999999999</v>
      </c>
      <c r="G3964" s="19">
        <f>VLOOKUP(D3964,upahbahan,3,FALSE)</f>
        <v>100000</v>
      </c>
      <c r="H3964" s="19">
        <f t="shared" ref="H3964:H3967" si="423">F3964*G3964</f>
        <v>11900</v>
      </c>
    </row>
    <row r="3965" spans="3:11" x14ac:dyDescent="0.3">
      <c r="C3965" s="16">
        <v>2</v>
      </c>
      <c r="D3965" s="13" t="s">
        <v>214</v>
      </c>
      <c r="E3965" s="17" t="s">
        <v>19</v>
      </c>
      <c r="F3965" s="18">
        <v>0.19900000000000001</v>
      </c>
      <c r="G3965" s="19">
        <f>VLOOKUP(D3965,upahbahan,3,FALSE)</f>
        <v>145000</v>
      </c>
      <c r="H3965" s="19">
        <f t="shared" si="423"/>
        <v>28855</v>
      </c>
    </row>
    <row r="3966" spans="3:11" x14ac:dyDescent="0.3">
      <c r="C3966" s="16">
        <v>3</v>
      </c>
      <c r="D3966" s="13" t="s">
        <v>22</v>
      </c>
      <c r="E3966" s="17" t="s">
        <v>19</v>
      </c>
      <c r="F3966" s="18">
        <v>0.02</v>
      </c>
      <c r="G3966" s="19">
        <f>VLOOKUP(D3966,upahbahan,3,FALSE)</f>
        <v>175000</v>
      </c>
      <c r="H3966" s="19">
        <f t="shared" si="423"/>
        <v>3500</v>
      </c>
    </row>
    <row r="3967" spans="3:11" x14ac:dyDescent="0.3">
      <c r="C3967" s="16">
        <v>4</v>
      </c>
      <c r="D3967" s="13" t="s">
        <v>23</v>
      </c>
      <c r="E3967" s="17" t="s">
        <v>19</v>
      </c>
      <c r="F3967" s="18">
        <v>7.0000000000000001E-3</v>
      </c>
      <c r="G3967" s="19">
        <f>VLOOKUP(D3967,upahbahan,3,FALSE)</f>
        <v>200000</v>
      </c>
      <c r="H3967" s="19">
        <f t="shared" si="423"/>
        <v>1400</v>
      </c>
    </row>
    <row r="3968" spans="3:11" x14ac:dyDescent="0.3">
      <c r="C3968" s="21" t="s">
        <v>24</v>
      </c>
      <c r="D3968" s="22"/>
      <c r="E3968" s="22"/>
      <c r="F3968" s="54"/>
      <c r="G3968" s="24"/>
      <c r="H3968" s="19">
        <f>SUM(H3964:H3967)</f>
        <v>45655</v>
      </c>
      <c r="I3968" s="25"/>
    </row>
    <row r="3969" spans="3:11" x14ac:dyDescent="0.25">
      <c r="C3969" s="12" t="s">
        <v>25</v>
      </c>
      <c r="D3969" s="13" t="s">
        <v>26</v>
      </c>
      <c r="E3969" s="14"/>
      <c r="F3969" s="55"/>
      <c r="G3969" s="14"/>
      <c r="H3969" s="14"/>
    </row>
    <row r="3970" spans="3:11" ht="55.2" x14ac:dyDescent="0.3">
      <c r="C3970" s="63" t="s">
        <v>202</v>
      </c>
      <c r="D3970" s="13" t="s">
        <v>765</v>
      </c>
      <c r="E3970" s="27" t="s">
        <v>617</v>
      </c>
      <c r="F3970" s="59">
        <v>1.2</v>
      </c>
      <c r="G3970" s="19">
        <f>VLOOKUP(D3970,upahbahan,3,FALSE)</f>
        <v>340000</v>
      </c>
      <c r="H3970" s="19">
        <f t="shared" ref="H3970" si="424">F3970*G3970</f>
        <v>408000</v>
      </c>
    </row>
    <row r="3971" spans="3:11" x14ac:dyDescent="0.3">
      <c r="C3971" s="21" t="s">
        <v>29</v>
      </c>
      <c r="D3971" s="22"/>
      <c r="E3971" s="22"/>
      <c r="F3971" s="22"/>
      <c r="G3971" s="28"/>
      <c r="H3971" s="19">
        <f>SUM(H3970:H3970)</f>
        <v>408000</v>
      </c>
    </row>
    <row r="3972" spans="3:11" x14ac:dyDescent="0.25">
      <c r="C3972" s="12" t="s">
        <v>30</v>
      </c>
      <c r="D3972" s="13" t="s">
        <v>31</v>
      </c>
      <c r="E3972" s="14"/>
      <c r="F3972" s="14"/>
      <c r="G3972" s="14"/>
      <c r="H3972" s="14"/>
    </row>
    <row r="3973" spans="3:11" x14ac:dyDescent="0.3">
      <c r="C3973" s="21" t="s">
        <v>32</v>
      </c>
      <c r="D3973" s="22"/>
      <c r="E3973" s="22"/>
      <c r="F3973" s="22"/>
      <c r="G3973" s="28"/>
      <c r="H3973" s="29">
        <v>0</v>
      </c>
    </row>
    <row r="3974" spans="3:11" x14ac:dyDescent="0.3">
      <c r="C3974" s="30" t="s">
        <v>33</v>
      </c>
      <c r="D3974" s="31" t="s">
        <v>34</v>
      </c>
      <c r="E3974" s="32"/>
      <c r="F3974" s="32"/>
      <c r="G3974" s="33"/>
      <c r="H3974" s="46">
        <f>H3973+H3971+H3968</f>
        <v>453655</v>
      </c>
      <c r="I3974" s="47"/>
    </row>
    <row r="3975" spans="3:11" x14ac:dyDescent="0.3">
      <c r="C3975" s="30" t="s">
        <v>35</v>
      </c>
      <c r="D3975" s="31" t="s">
        <v>36</v>
      </c>
      <c r="E3975" s="32"/>
      <c r="F3975" s="33"/>
      <c r="G3975" s="34">
        <f>$M$9</f>
        <v>0.1</v>
      </c>
      <c r="H3975" s="19">
        <f>H3974*G3975</f>
        <v>45365.5</v>
      </c>
      <c r="I3975" s="47"/>
    </row>
    <row r="3976" spans="3:11" x14ac:dyDescent="0.3">
      <c r="C3976" s="30" t="s">
        <v>37</v>
      </c>
      <c r="D3976" s="31" t="s">
        <v>38</v>
      </c>
      <c r="E3976" s="32"/>
      <c r="F3976" s="32"/>
      <c r="G3976" s="33"/>
      <c r="H3976" s="48">
        <f>SUM(H3974:H3975)</f>
        <v>499020.5</v>
      </c>
      <c r="I3976" s="47"/>
    </row>
    <row r="3977" spans="3:11" x14ac:dyDescent="0.3">
      <c r="C3977" s="50"/>
      <c r="D3977" s="51"/>
      <c r="E3977" s="51"/>
      <c r="F3977" s="51"/>
      <c r="G3977" s="51"/>
      <c r="H3977" s="52"/>
    </row>
    <row r="3978" spans="3:11" x14ac:dyDescent="0.3">
      <c r="C3978" s="40" t="s">
        <v>766</v>
      </c>
      <c r="D3978" s="68" t="s">
        <v>767</v>
      </c>
      <c r="E3978" s="44"/>
      <c r="F3978" s="44"/>
      <c r="G3978" s="44"/>
      <c r="H3978" s="44"/>
      <c r="I3978" s="10">
        <f>ROUNDDOWN(H3993,0)</f>
        <v>512220</v>
      </c>
      <c r="J3978" s="15" t="s">
        <v>595</v>
      </c>
      <c r="K3978" s="39"/>
    </row>
    <row r="3979" spans="3:11" ht="27.6" x14ac:dyDescent="0.3">
      <c r="C3979" s="11" t="s">
        <v>9</v>
      </c>
      <c r="D3979" s="11" t="s">
        <v>10</v>
      </c>
      <c r="E3979" s="11" t="s">
        <v>11</v>
      </c>
      <c r="F3979" s="11" t="s">
        <v>12</v>
      </c>
      <c r="G3979" s="11" t="s">
        <v>13</v>
      </c>
      <c r="H3979" s="11" t="s">
        <v>14</v>
      </c>
    </row>
    <row r="3980" spans="3:11" x14ac:dyDescent="0.25">
      <c r="C3980" s="12" t="s">
        <v>15</v>
      </c>
      <c r="D3980" s="13" t="s">
        <v>16</v>
      </c>
      <c r="E3980" s="14"/>
      <c r="F3980" s="14"/>
      <c r="G3980" s="14"/>
      <c r="H3980" s="14"/>
    </row>
    <row r="3981" spans="3:11" x14ac:dyDescent="0.3">
      <c r="C3981" s="16">
        <v>1</v>
      </c>
      <c r="D3981" s="13" t="s">
        <v>18</v>
      </c>
      <c r="E3981" s="17" t="s">
        <v>19</v>
      </c>
      <c r="F3981" s="18">
        <v>0.11899999999999999</v>
      </c>
      <c r="G3981" s="19">
        <f>VLOOKUP(D3981,upahbahan,3,FALSE)</f>
        <v>100000</v>
      </c>
      <c r="H3981" s="19">
        <f t="shared" ref="H3981:H3984" si="425">F3981*G3981</f>
        <v>11900</v>
      </c>
    </row>
    <row r="3982" spans="3:11" x14ac:dyDescent="0.3">
      <c r="C3982" s="16">
        <v>2</v>
      </c>
      <c r="D3982" s="13" t="s">
        <v>214</v>
      </c>
      <c r="E3982" s="17" t="s">
        <v>19</v>
      </c>
      <c r="F3982" s="18">
        <v>0.19900000000000001</v>
      </c>
      <c r="G3982" s="19">
        <f>VLOOKUP(D3982,upahbahan,3,FALSE)</f>
        <v>145000</v>
      </c>
      <c r="H3982" s="19">
        <f t="shared" si="425"/>
        <v>28855</v>
      </c>
    </row>
    <row r="3983" spans="3:11" x14ac:dyDescent="0.3">
      <c r="C3983" s="16">
        <v>3</v>
      </c>
      <c r="D3983" s="13" t="s">
        <v>22</v>
      </c>
      <c r="E3983" s="17" t="s">
        <v>19</v>
      </c>
      <c r="F3983" s="18">
        <v>0.02</v>
      </c>
      <c r="G3983" s="19">
        <f>VLOOKUP(D3983,upahbahan,3,FALSE)</f>
        <v>175000</v>
      </c>
      <c r="H3983" s="19">
        <f t="shared" si="425"/>
        <v>3500</v>
      </c>
    </row>
    <row r="3984" spans="3:11" x14ac:dyDescent="0.3">
      <c r="C3984" s="16">
        <v>4</v>
      </c>
      <c r="D3984" s="13" t="s">
        <v>23</v>
      </c>
      <c r="E3984" s="17" t="s">
        <v>19</v>
      </c>
      <c r="F3984" s="18">
        <v>7.0000000000000001E-3</v>
      </c>
      <c r="G3984" s="19">
        <f>VLOOKUP(D3984,upahbahan,3,FALSE)</f>
        <v>200000</v>
      </c>
      <c r="H3984" s="19">
        <f t="shared" si="425"/>
        <v>1400</v>
      </c>
    </row>
    <row r="3985" spans="3:11" x14ac:dyDescent="0.3">
      <c r="C3985" s="21" t="s">
        <v>24</v>
      </c>
      <c r="D3985" s="22"/>
      <c r="E3985" s="22"/>
      <c r="F3985" s="54"/>
      <c r="G3985" s="24"/>
      <c r="H3985" s="19">
        <f>SUM(H3981:H3984)</f>
        <v>45655</v>
      </c>
      <c r="I3985" s="25"/>
    </row>
    <row r="3986" spans="3:11" x14ac:dyDescent="0.25">
      <c r="C3986" s="12" t="s">
        <v>25</v>
      </c>
      <c r="D3986" s="13" t="s">
        <v>26</v>
      </c>
      <c r="E3986" s="14"/>
      <c r="F3986" s="55"/>
      <c r="G3986" s="14"/>
      <c r="H3986" s="14"/>
    </row>
    <row r="3987" spans="3:11" ht="41.4" x14ac:dyDescent="0.3">
      <c r="C3987" s="63" t="s">
        <v>202</v>
      </c>
      <c r="D3987" s="13" t="s">
        <v>768</v>
      </c>
      <c r="E3987" s="27" t="s">
        <v>617</v>
      </c>
      <c r="F3987" s="59">
        <v>1.2</v>
      </c>
      <c r="G3987" s="19">
        <f>VLOOKUP(D3987,upahbahan,3,FALSE)</f>
        <v>350000</v>
      </c>
      <c r="H3987" s="19">
        <f t="shared" ref="H3987" si="426">F3987*G3987</f>
        <v>420000</v>
      </c>
    </row>
    <row r="3988" spans="3:11" x14ac:dyDescent="0.3">
      <c r="C3988" s="21" t="s">
        <v>29</v>
      </c>
      <c r="D3988" s="22"/>
      <c r="E3988" s="22"/>
      <c r="F3988" s="22"/>
      <c r="G3988" s="28"/>
      <c r="H3988" s="19">
        <f>SUM(H3987:H3987)</f>
        <v>420000</v>
      </c>
    </row>
    <row r="3989" spans="3:11" x14ac:dyDescent="0.25">
      <c r="C3989" s="12" t="s">
        <v>30</v>
      </c>
      <c r="D3989" s="13" t="s">
        <v>31</v>
      </c>
      <c r="E3989" s="14"/>
      <c r="F3989" s="14"/>
      <c r="G3989" s="14"/>
      <c r="H3989" s="14"/>
    </row>
    <row r="3990" spans="3:11" x14ac:dyDescent="0.3">
      <c r="C3990" s="21" t="s">
        <v>32</v>
      </c>
      <c r="D3990" s="22"/>
      <c r="E3990" s="22"/>
      <c r="F3990" s="22"/>
      <c r="G3990" s="28"/>
      <c r="H3990" s="29">
        <v>0</v>
      </c>
    </row>
    <row r="3991" spans="3:11" x14ac:dyDescent="0.3">
      <c r="C3991" s="30" t="s">
        <v>33</v>
      </c>
      <c r="D3991" s="31" t="s">
        <v>34</v>
      </c>
      <c r="E3991" s="32"/>
      <c r="F3991" s="32"/>
      <c r="G3991" s="33"/>
      <c r="H3991" s="46">
        <f>H3990+H3988+H3985</f>
        <v>465655</v>
      </c>
      <c r="I3991" s="47"/>
    </row>
    <row r="3992" spans="3:11" x14ac:dyDescent="0.3">
      <c r="C3992" s="30" t="s">
        <v>35</v>
      </c>
      <c r="D3992" s="31" t="s">
        <v>36</v>
      </c>
      <c r="E3992" s="32"/>
      <c r="F3992" s="33"/>
      <c r="G3992" s="34">
        <f>$M$9</f>
        <v>0.1</v>
      </c>
      <c r="H3992" s="19">
        <f>H3991*G3992</f>
        <v>46565.5</v>
      </c>
      <c r="I3992" s="47"/>
    </row>
    <row r="3993" spans="3:11" x14ac:dyDescent="0.3">
      <c r="C3993" s="30" t="s">
        <v>37</v>
      </c>
      <c r="D3993" s="31" t="s">
        <v>38</v>
      </c>
      <c r="E3993" s="32"/>
      <c r="F3993" s="32"/>
      <c r="G3993" s="33"/>
      <c r="H3993" s="48">
        <f>SUM(H3991:H3992)</f>
        <v>512220.5</v>
      </c>
      <c r="I3993" s="47"/>
    </row>
    <row r="3994" spans="3:11" x14ac:dyDescent="0.3">
      <c r="C3994" s="50"/>
      <c r="D3994" s="51"/>
      <c r="E3994" s="51"/>
      <c r="F3994" s="51"/>
      <c r="G3994" s="51"/>
      <c r="H3994" s="52"/>
    </row>
    <row r="3995" spans="3:11" x14ac:dyDescent="0.3">
      <c r="C3995" s="40" t="s">
        <v>769</v>
      </c>
      <c r="D3995" s="68" t="s">
        <v>770</v>
      </c>
      <c r="E3995" s="44"/>
      <c r="F3995" s="44"/>
      <c r="G3995" s="44"/>
      <c r="H3995" s="44"/>
      <c r="I3995" s="10">
        <f>ROUNDDOWN(H4010,0)</f>
        <v>525420</v>
      </c>
      <c r="J3995" s="15" t="s">
        <v>595</v>
      </c>
      <c r="K3995" s="39"/>
    </row>
    <row r="3996" spans="3:11" ht="27.6" x14ac:dyDescent="0.3">
      <c r="C3996" s="11" t="s">
        <v>9</v>
      </c>
      <c r="D3996" s="11" t="s">
        <v>10</v>
      </c>
      <c r="E3996" s="11" t="s">
        <v>11</v>
      </c>
      <c r="F3996" s="11" t="s">
        <v>12</v>
      </c>
      <c r="G3996" s="11" t="s">
        <v>13</v>
      </c>
      <c r="H3996" s="11" t="s">
        <v>14</v>
      </c>
    </row>
    <row r="3997" spans="3:11" x14ac:dyDescent="0.25">
      <c r="C3997" s="12" t="s">
        <v>15</v>
      </c>
      <c r="D3997" s="13" t="s">
        <v>16</v>
      </c>
      <c r="E3997" s="14"/>
      <c r="F3997" s="14"/>
      <c r="G3997" s="14"/>
      <c r="H3997" s="14"/>
    </row>
    <row r="3998" spans="3:11" x14ac:dyDescent="0.3">
      <c r="C3998" s="16">
        <v>1</v>
      </c>
      <c r="D3998" s="13" t="s">
        <v>18</v>
      </c>
      <c r="E3998" s="17" t="s">
        <v>19</v>
      </c>
      <c r="F3998" s="18">
        <v>0.11899999999999999</v>
      </c>
      <c r="G3998" s="19">
        <f>VLOOKUP(D3998,upahbahan,3,FALSE)</f>
        <v>100000</v>
      </c>
      <c r="H3998" s="19">
        <f t="shared" ref="H3998:H4001" si="427">F3998*G3998</f>
        <v>11900</v>
      </c>
    </row>
    <row r="3999" spans="3:11" x14ac:dyDescent="0.3">
      <c r="C3999" s="16">
        <v>2</v>
      </c>
      <c r="D3999" s="13" t="s">
        <v>214</v>
      </c>
      <c r="E3999" s="17" t="s">
        <v>19</v>
      </c>
      <c r="F3999" s="18">
        <v>0.19900000000000001</v>
      </c>
      <c r="G3999" s="19">
        <f>VLOOKUP(D3999,upahbahan,3,FALSE)</f>
        <v>145000</v>
      </c>
      <c r="H3999" s="19">
        <f t="shared" si="427"/>
        <v>28855</v>
      </c>
    </row>
    <row r="4000" spans="3:11" x14ac:dyDescent="0.3">
      <c r="C4000" s="16">
        <v>3</v>
      </c>
      <c r="D4000" s="13" t="s">
        <v>22</v>
      </c>
      <c r="E4000" s="17" t="s">
        <v>19</v>
      </c>
      <c r="F4000" s="18">
        <v>0.02</v>
      </c>
      <c r="G4000" s="19">
        <f>VLOOKUP(D4000,upahbahan,3,FALSE)</f>
        <v>175000</v>
      </c>
      <c r="H4000" s="19">
        <f t="shared" si="427"/>
        <v>3500</v>
      </c>
    </row>
    <row r="4001" spans="3:11" x14ac:dyDescent="0.3">
      <c r="C4001" s="16">
        <v>4</v>
      </c>
      <c r="D4001" s="13" t="s">
        <v>23</v>
      </c>
      <c r="E4001" s="17" t="s">
        <v>19</v>
      </c>
      <c r="F4001" s="18">
        <v>7.0000000000000001E-3</v>
      </c>
      <c r="G4001" s="19">
        <f>VLOOKUP(D4001,upahbahan,3,FALSE)</f>
        <v>200000</v>
      </c>
      <c r="H4001" s="19">
        <f t="shared" si="427"/>
        <v>1400</v>
      </c>
    </row>
    <row r="4002" spans="3:11" x14ac:dyDescent="0.3">
      <c r="C4002" s="21" t="s">
        <v>24</v>
      </c>
      <c r="D4002" s="22"/>
      <c r="E4002" s="22"/>
      <c r="F4002" s="54"/>
      <c r="G4002" s="24"/>
      <c r="H4002" s="19">
        <f>SUM(H3998:H4001)</f>
        <v>45655</v>
      </c>
      <c r="I4002" s="25"/>
    </row>
    <row r="4003" spans="3:11" x14ac:dyDescent="0.25">
      <c r="C4003" s="12" t="s">
        <v>25</v>
      </c>
      <c r="D4003" s="13" t="s">
        <v>26</v>
      </c>
      <c r="E4003" s="14"/>
      <c r="F4003" s="55"/>
      <c r="G4003" s="14"/>
      <c r="H4003" s="14"/>
    </row>
    <row r="4004" spans="3:11" ht="55.2" x14ac:dyDescent="0.3">
      <c r="C4004" s="63" t="s">
        <v>202</v>
      </c>
      <c r="D4004" s="13" t="s">
        <v>771</v>
      </c>
      <c r="E4004" s="27" t="s">
        <v>617</v>
      </c>
      <c r="F4004" s="59">
        <v>1.2</v>
      </c>
      <c r="G4004" s="19">
        <f>VLOOKUP(D4004,upahbahan,3,FALSE)</f>
        <v>360000</v>
      </c>
      <c r="H4004" s="19">
        <f t="shared" ref="H4004" si="428">F4004*G4004</f>
        <v>432000</v>
      </c>
    </row>
    <row r="4005" spans="3:11" x14ac:dyDescent="0.3">
      <c r="C4005" s="21" t="s">
        <v>29</v>
      </c>
      <c r="D4005" s="22"/>
      <c r="E4005" s="22"/>
      <c r="F4005" s="22"/>
      <c r="G4005" s="28"/>
      <c r="H4005" s="19">
        <f>SUM(H4004:H4004)</f>
        <v>432000</v>
      </c>
    </row>
    <row r="4006" spans="3:11" x14ac:dyDescent="0.25">
      <c r="C4006" s="12" t="s">
        <v>30</v>
      </c>
      <c r="D4006" s="13" t="s">
        <v>31</v>
      </c>
      <c r="E4006" s="14"/>
      <c r="F4006" s="14"/>
      <c r="G4006" s="14"/>
      <c r="H4006" s="14"/>
    </row>
    <row r="4007" spans="3:11" x14ac:dyDescent="0.3">
      <c r="C4007" s="21" t="s">
        <v>32</v>
      </c>
      <c r="D4007" s="22"/>
      <c r="E4007" s="22"/>
      <c r="F4007" s="22"/>
      <c r="G4007" s="28"/>
      <c r="H4007" s="29">
        <v>0</v>
      </c>
    </row>
    <row r="4008" spans="3:11" x14ac:dyDescent="0.3">
      <c r="C4008" s="30" t="s">
        <v>33</v>
      </c>
      <c r="D4008" s="31" t="s">
        <v>34</v>
      </c>
      <c r="E4008" s="32"/>
      <c r="F4008" s="32"/>
      <c r="G4008" s="33"/>
      <c r="H4008" s="46">
        <f>H4007+H4005+H4002</f>
        <v>477655</v>
      </c>
      <c r="I4008" s="47"/>
    </row>
    <row r="4009" spans="3:11" x14ac:dyDescent="0.3">
      <c r="C4009" s="30" t="s">
        <v>35</v>
      </c>
      <c r="D4009" s="31" t="s">
        <v>36</v>
      </c>
      <c r="E4009" s="32"/>
      <c r="F4009" s="33"/>
      <c r="G4009" s="34">
        <f>$M$9</f>
        <v>0.1</v>
      </c>
      <c r="H4009" s="19">
        <f>H4008*G4009</f>
        <v>47765.5</v>
      </c>
      <c r="I4009" s="47"/>
    </row>
    <row r="4010" spans="3:11" x14ac:dyDescent="0.3">
      <c r="C4010" s="30" t="s">
        <v>37</v>
      </c>
      <c r="D4010" s="31" t="s">
        <v>38</v>
      </c>
      <c r="E4010" s="32"/>
      <c r="F4010" s="32"/>
      <c r="G4010" s="33"/>
      <c r="H4010" s="48">
        <f>SUM(H4008:H4009)</f>
        <v>525420.5</v>
      </c>
      <c r="I4010" s="47"/>
    </row>
    <row r="4011" spans="3:11" x14ac:dyDescent="0.3">
      <c r="C4011" s="50"/>
      <c r="D4011" s="51"/>
      <c r="E4011" s="51"/>
      <c r="F4011" s="51"/>
      <c r="G4011" s="51"/>
      <c r="H4011" s="52"/>
    </row>
    <row r="4012" spans="3:11" x14ac:dyDescent="0.3">
      <c r="C4012" s="40" t="s">
        <v>772</v>
      </c>
      <c r="D4012" s="68" t="s">
        <v>773</v>
      </c>
      <c r="E4012" s="44"/>
      <c r="F4012" s="44"/>
      <c r="G4012" s="44"/>
      <c r="H4012" s="44"/>
      <c r="I4012" s="10">
        <f>ROUNDDOWN(H4027,0)</f>
        <v>538620</v>
      </c>
      <c r="J4012" s="15" t="s">
        <v>595</v>
      </c>
      <c r="K4012" s="39"/>
    </row>
    <row r="4013" spans="3:11" ht="27.6" x14ac:dyDescent="0.3">
      <c r="C4013" s="11" t="s">
        <v>9</v>
      </c>
      <c r="D4013" s="11" t="s">
        <v>10</v>
      </c>
      <c r="E4013" s="11" t="s">
        <v>11</v>
      </c>
      <c r="F4013" s="11" t="s">
        <v>12</v>
      </c>
      <c r="G4013" s="11" t="s">
        <v>13</v>
      </c>
      <c r="H4013" s="11" t="s">
        <v>14</v>
      </c>
    </row>
    <row r="4014" spans="3:11" x14ac:dyDescent="0.25">
      <c r="C4014" s="12" t="s">
        <v>15</v>
      </c>
      <c r="D4014" s="13" t="s">
        <v>16</v>
      </c>
      <c r="E4014" s="14"/>
      <c r="F4014" s="14"/>
      <c r="G4014" s="14"/>
      <c r="H4014" s="14"/>
    </row>
    <row r="4015" spans="3:11" x14ac:dyDescent="0.3">
      <c r="C4015" s="16">
        <v>1</v>
      </c>
      <c r="D4015" s="13" t="s">
        <v>18</v>
      </c>
      <c r="E4015" s="17" t="s">
        <v>19</v>
      </c>
      <c r="F4015" s="18">
        <v>0.11899999999999999</v>
      </c>
      <c r="G4015" s="19">
        <f>VLOOKUP(D4015,upahbahan,3,FALSE)</f>
        <v>100000</v>
      </c>
      <c r="H4015" s="19">
        <f t="shared" ref="H4015:H4018" si="429">F4015*G4015</f>
        <v>11900</v>
      </c>
    </row>
    <row r="4016" spans="3:11" x14ac:dyDescent="0.3">
      <c r="C4016" s="16">
        <v>2</v>
      </c>
      <c r="D4016" s="13" t="s">
        <v>214</v>
      </c>
      <c r="E4016" s="17" t="s">
        <v>19</v>
      </c>
      <c r="F4016" s="18">
        <v>0.19900000000000001</v>
      </c>
      <c r="G4016" s="19">
        <f>VLOOKUP(D4016,upahbahan,3,FALSE)</f>
        <v>145000</v>
      </c>
      <c r="H4016" s="19">
        <f t="shared" si="429"/>
        <v>28855</v>
      </c>
    </row>
    <row r="4017" spans="3:11" x14ac:dyDescent="0.3">
      <c r="C4017" s="16">
        <v>3</v>
      </c>
      <c r="D4017" s="13" t="s">
        <v>22</v>
      </c>
      <c r="E4017" s="17" t="s">
        <v>19</v>
      </c>
      <c r="F4017" s="18">
        <v>0.02</v>
      </c>
      <c r="G4017" s="19">
        <f>VLOOKUP(D4017,upahbahan,3,FALSE)</f>
        <v>175000</v>
      </c>
      <c r="H4017" s="19">
        <f t="shared" si="429"/>
        <v>3500</v>
      </c>
    </row>
    <row r="4018" spans="3:11" x14ac:dyDescent="0.3">
      <c r="C4018" s="16">
        <v>4</v>
      </c>
      <c r="D4018" s="13" t="s">
        <v>23</v>
      </c>
      <c r="E4018" s="17" t="s">
        <v>19</v>
      </c>
      <c r="F4018" s="18">
        <v>7.0000000000000001E-3</v>
      </c>
      <c r="G4018" s="19">
        <f>VLOOKUP(D4018,upahbahan,3,FALSE)</f>
        <v>200000</v>
      </c>
      <c r="H4018" s="19">
        <f t="shared" si="429"/>
        <v>1400</v>
      </c>
    </row>
    <row r="4019" spans="3:11" x14ac:dyDescent="0.3">
      <c r="C4019" s="21" t="s">
        <v>24</v>
      </c>
      <c r="D4019" s="22"/>
      <c r="E4019" s="22"/>
      <c r="F4019" s="54"/>
      <c r="G4019" s="24"/>
      <c r="H4019" s="19">
        <f>SUM(H4015:H4018)</f>
        <v>45655</v>
      </c>
      <c r="I4019" s="25"/>
    </row>
    <row r="4020" spans="3:11" x14ac:dyDescent="0.25">
      <c r="C4020" s="12" t="s">
        <v>25</v>
      </c>
      <c r="D4020" s="13" t="s">
        <v>26</v>
      </c>
      <c r="E4020" s="14"/>
      <c r="F4020" s="55"/>
      <c r="G4020" s="14"/>
      <c r="H4020" s="14"/>
    </row>
    <row r="4021" spans="3:11" ht="55.2" x14ac:dyDescent="0.3">
      <c r="C4021" s="63" t="s">
        <v>202</v>
      </c>
      <c r="D4021" s="13" t="s">
        <v>774</v>
      </c>
      <c r="E4021" s="27" t="s">
        <v>617</v>
      </c>
      <c r="F4021" s="59">
        <v>1.2</v>
      </c>
      <c r="G4021" s="19">
        <f>VLOOKUP(D4021,upahbahan,3,FALSE)</f>
        <v>370000</v>
      </c>
      <c r="H4021" s="19">
        <f t="shared" ref="H4021" si="430">F4021*G4021</f>
        <v>444000</v>
      </c>
    </row>
    <row r="4022" spans="3:11" x14ac:dyDescent="0.3">
      <c r="C4022" s="21" t="s">
        <v>29</v>
      </c>
      <c r="D4022" s="22"/>
      <c r="E4022" s="22"/>
      <c r="F4022" s="22"/>
      <c r="G4022" s="28"/>
      <c r="H4022" s="19">
        <f>SUM(H4021:H4021)</f>
        <v>444000</v>
      </c>
    </row>
    <row r="4023" spans="3:11" x14ac:dyDescent="0.25">
      <c r="C4023" s="12" t="s">
        <v>30</v>
      </c>
      <c r="D4023" s="13" t="s">
        <v>31</v>
      </c>
      <c r="E4023" s="14"/>
      <c r="F4023" s="14"/>
      <c r="G4023" s="14"/>
      <c r="H4023" s="14"/>
    </row>
    <row r="4024" spans="3:11" x14ac:dyDescent="0.3">
      <c r="C4024" s="21" t="s">
        <v>32</v>
      </c>
      <c r="D4024" s="22"/>
      <c r="E4024" s="22"/>
      <c r="F4024" s="22"/>
      <c r="G4024" s="28"/>
      <c r="H4024" s="29">
        <v>0</v>
      </c>
    </row>
    <row r="4025" spans="3:11" x14ac:dyDescent="0.3">
      <c r="C4025" s="30" t="s">
        <v>33</v>
      </c>
      <c r="D4025" s="31" t="s">
        <v>34</v>
      </c>
      <c r="E4025" s="32"/>
      <c r="F4025" s="32"/>
      <c r="G4025" s="33"/>
      <c r="H4025" s="46">
        <f>H4024+H4022+H4019</f>
        <v>489655</v>
      </c>
      <c r="I4025" s="47"/>
    </row>
    <row r="4026" spans="3:11" x14ac:dyDescent="0.3">
      <c r="C4026" s="30" t="s">
        <v>35</v>
      </c>
      <c r="D4026" s="31" t="s">
        <v>36</v>
      </c>
      <c r="E4026" s="32"/>
      <c r="F4026" s="33"/>
      <c r="G4026" s="34">
        <f>$M$9</f>
        <v>0.1</v>
      </c>
      <c r="H4026" s="19">
        <f>H4025*G4026</f>
        <v>48965.5</v>
      </c>
      <c r="I4026" s="47"/>
    </row>
    <row r="4027" spans="3:11" x14ac:dyDescent="0.3">
      <c r="C4027" s="30" t="s">
        <v>37</v>
      </c>
      <c r="D4027" s="31" t="s">
        <v>38</v>
      </c>
      <c r="E4027" s="32"/>
      <c r="F4027" s="32"/>
      <c r="G4027" s="33"/>
      <c r="H4027" s="48">
        <f>SUM(H4025:H4026)</f>
        <v>538620.5</v>
      </c>
      <c r="I4027" s="47"/>
    </row>
    <row r="4028" spans="3:11" x14ac:dyDescent="0.3">
      <c r="C4028" s="50"/>
      <c r="D4028" s="51"/>
      <c r="E4028" s="51"/>
      <c r="F4028" s="51"/>
      <c r="G4028" s="51"/>
      <c r="H4028" s="52"/>
    </row>
    <row r="4029" spans="3:11" x14ac:dyDescent="0.3">
      <c r="C4029" s="40" t="s">
        <v>775</v>
      </c>
      <c r="D4029" s="68" t="s">
        <v>776</v>
      </c>
      <c r="E4029" s="44"/>
      <c r="F4029" s="44"/>
      <c r="G4029" s="44"/>
      <c r="H4029" s="44"/>
      <c r="I4029" s="10">
        <f>ROUNDDOWN(H4044,0)</f>
        <v>551820</v>
      </c>
      <c r="J4029" s="15" t="s">
        <v>595</v>
      </c>
      <c r="K4029" s="39"/>
    </row>
    <row r="4030" spans="3:11" ht="27.6" x14ac:dyDescent="0.3">
      <c r="C4030" s="11" t="s">
        <v>9</v>
      </c>
      <c r="D4030" s="11" t="s">
        <v>10</v>
      </c>
      <c r="E4030" s="11" t="s">
        <v>11</v>
      </c>
      <c r="F4030" s="11" t="s">
        <v>12</v>
      </c>
      <c r="G4030" s="11" t="s">
        <v>13</v>
      </c>
      <c r="H4030" s="11" t="s">
        <v>14</v>
      </c>
    </row>
    <row r="4031" spans="3:11" x14ac:dyDescent="0.25">
      <c r="C4031" s="12" t="s">
        <v>15</v>
      </c>
      <c r="D4031" s="13" t="s">
        <v>16</v>
      </c>
      <c r="E4031" s="14"/>
      <c r="F4031" s="14"/>
      <c r="G4031" s="14"/>
      <c r="H4031" s="14"/>
    </row>
    <row r="4032" spans="3:11" x14ac:dyDescent="0.3">
      <c r="C4032" s="16">
        <v>1</v>
      </c>
      <c r="D4032" s="13" t="s">
        <v>18</v>
      </c>
      <c r="E4032" s="17" t="s">
        <v>19</v>
      </c>
      <c r="F4032" s="18">
        <v>0.11899999999999999</v>
      </c>
      <c r="G4032" s="19">
        <f>VLOOKUP(D4032,upahbahan,3,FALSE)</f>
        <v>100000</v>
      </c>
      <c r="H4032" s="19">
        <f t="shared" ref="H4032:H4035" si="431">F4032*G4032</f>
        <v>11900</v>
      </c>
    </row>
    <row r="4033" spans="3:11" x14ac:dyDescent="0.3">
      <c r="C4033" s="16">
        <v>2</v>
      </c>
      <c r="D4033" s="13" t="s">
        <v>214</v>
      </c>
      <c r="E4033" s="17" t="s">
        <v>19</v>
      </c>
      <c r="F4033" s="18">
        <v>0.19900000000000001</v>
      </c>
      <c r="G4033" s="19">
        <f>VLOOKUP(D4033,upahbahan,3,FALSE)</f>
        <v>145000</v>
      </c>
      <c r="H4033" s="19">
        <f t="shared" si="431"/>
        <v>28855</v>
      </c>
    </row>
    <row r="4034" spans="3:11" x14ac:dyDescent="0.3">
      <c r="C4034" s="16">
        <v>3</v>
      </c>
      <c r="D4034" s="13" t="s">
        <v>22</v>
      </c>
      <c r="E4034" s="17" t="s">
        <v>19</v>
      </c>
      <c r="F4034" s="18">
        <v>0.02</v>
      </c>
      <c r="G4034" s="19">
        <f>VLOOKUP(D4034,upahbahan,3,FALSE)</f>
        <v>175000</v>
      </c>
      <c r="H4034" s="19">
        <f t="shared" si="431"/>
        <v>3500</v>
      </c>
    </row>
    <row r="4035" spans="3:11" x14ac:dyDescent="0.3">
      <c r="C4035" s="16">
        <v>4</v>
      </c>
      <c r="D4035" s="13" t="s">
        <v>23</v>
      </c>
      <c r="E4035" s="17" t="s">
        <v>19</v>
      </c>
      <c r="F4035" s="18">
        <v>7.0000000000000001E-3</v>
      </c>
      <c r="G4035" s="19">
        <f>VLOOKUP(D4035,upahbahan,3,FALSE)</f>
        <v>200000</v>
      </c>
      <c r="H4035" s="19">
        <f t="shared" si="431"/>
        <v>1400</v>
      </c>
    </row>
    <row r="4036" spans="3:11" x14ac:dyDescent="0.3">
      <c r="C4036" s="21" t="s">
        <v>24</v>
      </c>
      <c r="D4036" s="22"/>
      <c r="E4036" s="22"/>
      <c r="F4036" s="54"/>
      <c r="G4036" s="24"/>
      <c r="H4036" s="19">
        <f>SUM(H4032:H4035)</f>
        <v>45655</v>
      </c>
      <c r="I4036" s="25"/>
    </row>
    <row r="4037" spans="3:11" x14ac:dyDescent="0.25">
      <c r="C4037" s="12" t="s">
        <v>25</v>
      </c>
      <c r="D4037" s="13" t="s">
        <v>26</v>
      </c>
      <c r="E4037" s="14"/>
      <c r="F4037" s="55"/>
      <c r="G4037" s="14"/>
      <c r="H4037" s="14"/>
    </row>
    <row r="4038" spans="3:11" ht="41.4" x14ac:dyDescent="0.3">
      <c r="C4038" s="63" t="s">
        <v>202</v>
      </c>
      <c r="D4038" s="13" t="s">
        <v>777</v>
      </c>
      <c r="E4038" s="27" t="s">
        <v>617</v>
      </c>
      <c r="F4038" s="59">
        <v>1.2</v>
      </c>
      <c r="G4038" s="19">
        <f>VLOOKUP(D4038,upahbahan,3,FALSE)</f>
        <v>380000</v>
      </c>
      <c r="H4038" s="19">
        <f t="shared" ref="H4038" si="432">F4038*G4038</f>
        <v>456000</v>
      </c>
    </row>
    <row r="4039" spans="3:11" x14ac:dyDescent="0.3">
      <c r="C4039" s="21" t="s">
        <v>29</v>
      </c>
      <c r="D4039" s="22"/>
      <c r="E4039" s="22"/>
      <c r="F4039" s="22"/>
      <c r="G4039" s="28"/>
      <c r="H4039" s="19">
        <f>SUM(H4038:H4038)</f>
        <v>456000</v>
      </c>
    </row>
    <row r="4040" spans="3:11" x14ac:dyDescent="0.25">
      <c r="C4040" s="12" t="s">
        <v>30</v>
      </c>
      <c r="D4040" s="13" t="s">
        <v>31</v>
      </c>
      <c r="E4040" s="14"/>
      <c r="F4040" s="14"/>
      <c r="G4040" s="14"/>
      <c r="H4040" s="14"/>
    </row>
    <row r="4041" spans="3:11" x14ac:dyDescent="0.3">
      <c r="C4041" s="21" t="s">
        <v>32</v>
      </c>
      <c r="D4041" s="22"/>
      <c r="E4041" s="22"/>
      <c r="F4041" s="22"/>
      <c r="G4041" s="28"/>
      <c r="H4041" s="29">
        <v>0</v>
      </c>
    </row>
    <row r="4042" spans="3:11" x14ac:dyDescent="0.3">
      <c r="C4042" s="30" t="s">
        <v>33</v>
      </c>
      <c r="D4042" s="31" t="s">
        <v>34</v>
      </c>
      <c r="E4042" s="32"/>
      <c r="F4042" s="32"/>
      <c r="G4042" s="33"/>
      <c r="H4042" s="46">
        <f>H4041+H4039+H4036</f>
        <v>501655</v>
      </c>
      <c r="I4042" s="47"/>
    </row>
    <row r="4043" spans="3:11" x14ac:dyDescent="0.3">
      <c r="C4043" s="30" t="s">
        <v>35</v>
      </c>
      <c r="D4043" s="31" t="s">
        <v>36</v>
      </c>
      <c r="E4043" s="32"/>
      <c r="F4043" s="33"/>
      <c r="G4043" s="34">
        <f>$M$9</f>
        <v>0.1</v>
      </c>
      <c r="H4043" s="19">
        <f>H4042*G4043</f>
        <v>50165.5</v>
      </c>
      <c r="I4043" s="47"/>
    </row>
    <row r="4044" spans="3:11" x14ac:dyDescent="0.3">
      <c r="C4044" s="30" t="s">
        <v>37</v>
      </c>
      <c r="D4044" s="31" t="s">
        <v>38</v>
      </c>
      <c r="E4044" s="32"/>
      <c r="F4044" s="32"/>
      <c r="G4044" s="33"/>
      <c r="H4044" s="48">
        <f>SUM(H4042:H4043)</f>
        <v>551820.5</v>
      </c>
      <c r="I4044" s="47"/>
    </row>
    <row r="4045" spans="3:11" x14ac:dyDescent="0.3">
      <c r="C4045" s="50"/>
      <c r="D4045" s="51"/>
      <c r="E4045" s="51"/>
      <c r="F4045" s="51"/>
      <c r="G4045" s="51"/>
      <c r="H4045" s="52"/>
    </row>
    <row r="4046" spans="3:11" x14ac:dyDescent="0.3">
      <c r="C4046" s="40" t="s">
        <v>778</v>
      </c>
      <c r="D4046" s="68" t="s">
        <v>779</v>
      </c>
      <c r="E4046" s="44"/>
      <c r="F4046" s="44"/>
      <c r="G4046" s="44"/>
      <c r="H4046" s="44"/>
      <c r="I4046" s="10">
        <f>ROUNDDOWN(H4061,0)</f>
        <v>499020</v>
      </c>
      <c r="J4046" s="15" t="s">
        <v>595</v>
      </c>
      <c r="K4046" s="39"/>
    </row>
    <row r="4047" spans="3:11" ht="27.6" x14ac:dyDescent="0.3">
      <c r="C4047" s="11" t="s">
        <v>9</v>
      </c>
      <c r="D4047" s="11" t="s">
        <v>10</v>
      </c>
      <c r="E4047" s="11" t="s">
        <v>11</v>
      </c>
      <c r="F4047" s="11" t="s">
        <v>12</v>
      </c>
      <c r="G4047" s="11" t="s">
        <v>13</v>
      </c>
      <c r="H4047" s="11" t="s">
        <v>14</v>
      </c>
    </row>
    <row r="4048" spans="3:11" x14ac:dyDescent="0.25">
      <c r="C4048" s="12" t="s">
        <v>15</v>
      </c>
      <c r="D4048" s="13" t="s">
        <v>16</v>
      </c>
      <c r="E4048" s="14"/>
      <c r="F4048" s="14"/>
      <c r="G4048" s="14"/>
      <c r="H4048" s="14"/>
    </row>
    <row r="4049" spans="3:11" x14ac:dyDescent="0.3">
      <c r="C4049" s="16">
        <v>1</v>
      </c>
      <c r="D4049" s="13" t="s">
        <v>18</v>
      </c>
      <c r="E4049" s="17" t="s">
        <v>19</v>
      </c>
      <c r="F4049" s="18">
        <v>0.11899999999999999</v>
      </c>
      <c r="G4049" s="19">
        <f>VLOOKUP(D4049,upahbahan,3,FALSE)</f>
        <v>100000</v>
      </c>
      <c r="H4049" s="19">
        <f t="shared" ref="H4049:H4052" si="433">F4049*G4049</f>
        <v>11900</v>
      </c>
    </row>
    <row r="4050" spans="3:11" x14ac:dyDescent="0.3">
      <c r="C4050" s="16">
        <v>2</v>
      </c>
      <c r="D4050" s="13" t="s">
        <v>214</v>
      </c>
      <c r="E4050" s="17" t="s">
        <v>19</v>
      </c>
      <c r="F4050" s="18">
        <v>0.19900000000000001</v>
      </c>
      <c r="G4050" s="19">
        <f>VLOOKUP(D4050,upahbahan,3,FALSE)</f>
        <v>145000</v>
      </c>
      <c r="H4050" s="19">
        <f t="shared" si="433"/>
        <v>28855</v>
      </c>
    </row>
    <row r="4051" spans="3:11" x14ac:dyDescent="0.3">
      <c r="C4051" s="16">
        <v>3</v>
      </c>
      <c r="D4051" s="13" t="s">
        <v>22</v>
      </c>
      <c r="E4051" s="17" t="s">
        <v>19</v>
      </c>
      <c r="F4051" s="18">
        <v>0.02</v>
      </c>
      <c r="G4051" s="19">
        <f>VLOOKUP(D4051,upahbahan,3,FALSE)</f>
        <v>175000</v>
      </c>
      <c r="H4051" s="19">
        <f t="shared" si="433"/>
        <v>3500</v>
      </c>
    </row>
    <row r="4052" spans="3:11" x14ac:dyDescent="0.3">
      <c r="C4052" s="16">
        <v>4</v>
      </c>
      <c r="D4052" s="13" t="s">
        <v>23</v>
      </c>
      <c r="E4052" s="17" t="s">
        <v>19</v>
      </c>
      <c r="F4052" s="18">
        <v>7.0000000000000001E-3</v>
      </c>
      <c r="G4052" s="19">
        <f>VLOOKUP(D4052,upahbahan,3,FALSE)</f>
        <v>200000</v>
      </c>
      <c r="H4052" s="19">
        <f t="shared" si="433"/>
        <v>1400</v>
      </c>
    </row>
    <row r="4053" spans="3:11" x14ac:dyDescent="0.3">
      <c r="C4053" s="21" t="s">
        <v>24</v>
      </c>
      <c r="D4053" s="22"/>
      <c r="E4053" s="22"/>
      <c r="F4053" s="54"/>
      <c r="G4053" s="24"/>
      <c r="H4053" s="19">
        <f>SUM(H4049:H4052)</f>
        <v>45655</v>
      </c>
      <c r="I4053" s="25"/>
    </row>
    <row r="4054" spans="3:11" x14ac:dyDescent="0.25">
      <c r="C4054" s="12" t="s">
        <v>25</v>
      </c>
      <c r="D4054" s="13" t="s">
        <v>26</v>
      </c>
      <c r="E4054" s="14"/>
      <c r="F4054" s="55"/>
      <c r="G4054" s="14"/>
      <c r="H4054" s="14"/>
    </row>
    <row r="4055" spans="3:11" ht="55.2" x14ac:dyDescent="0.3">
      <c r="C4055" s="63" t="s">
        <v>202</v>
      </c>
      <c r="D4055" s="13" t="s">
        <v>780</v>
      </c>
      <c r="E4055" s="27" t="s">
        <v>617</v>
      </c>
      <c r="F4055" s="59">
        <v>1.2</v>
      </c>
      <c r="G4055" s="19">
        <f>VLOOKUP(D4055,upahbahan,3,FALSE)</f>
        <v>340000</v>
      </c>
      <c r="H4055" s="19">
        <f t="shared" ref="H4055" si="434">F4055*G4055</f>
        <v>408000</v>
      </c>
    </row>
    <row r="4056" spans="3:11" x14ac:dyDescent="0.3">
      <c r="C4056" s="21" t="s">
        <v>29</v>
      </c>
      <c r="D4056" s="22"/>
      <c r="E4056" s="22"/>
      <c r="F4056" s="22"/>
      <c r="G4056" s="28"/>
      <c r="H4056" s="19">
        <f>SUM(H4055:H4055)</f>
        <v>408000</v>
      </c>
    </row>
    <row r="4057" spans="3:11" x14ac:dyDescent="0.25">
      <c r="C4057" s="12" t="s">
        <v>30</v>
      </c>
      <c r="D4057" s="13" t="s">
        <v>31</v>
      </c>
      <c r="E4057" s="14"/>
      <c r="F4057" s="14"/>
      <c r="G4057" s="14"/>
      <c r="H4057" s="14"/>
    </row>
    <row r="4058" spans="3:11" x14ac:dyDescent="0.3">
      <c r="C4058" s="21" t="s">
        <v>32</v>
      </c>
      <c r="D4058" s="22"/>
      <c r="E4058" s="22"/>
      <c r="F4058" s="22"/>
      <c r="G4058" s="28"/>
      <c r="H4058" s="29">
        <v>0</v>
      </c>
    </row>
    <row r="4059" spans="3:11" x14ac:dyDescent="0.3">
      <c r="C4059" s="30" t="s">
        <v>33</v>
      </c>
      <c r="D4059" s="31" t="s">
        <v>34</v>
      </c>
      <c r="E4059" s="32"/>
      <c r="F4059" s="32"/>
      <c r="G4059" s="33"/>
      <c r="H4059" s="46">
        <f>H4058+H4056+H4053</f>
        <v>453655</v>
      </c>
      <c r="I4059" s="47"/>
    </row>
    <row r="4060" spans="3:11" x14ac:dyDescent="0.3">
      <c r="C4060" s="30" t="s">
        <v>35</v>
      </c>
      <c r="D4060" s="31" t="s">
        <v>36</v>
      </c>
      <c r="E4060" s="32"/>
      <c r="F4060" s="33"/>
      <c r="G4060" s="34">
        <f>$M$9</f>
        <v>0.1</v>
      </c>
      <c r="H4060" s="19">
        <f>H4059*G4060</f>
        <v>45365.5</v>
      </c>
      <c r="I4060" s="47"/>
    </row>
    <row r="4061" spans="3:11" x14ac:dyDescent="0.3">
      <c r="C4061" s="30" t="s">
        <v>37</v>
      </c>
      <c r="D4061" s="31" t="s">
        <v>38</v>
      </c>
      <c r="E4061" s="32"/>
      <c r="F4061" s="32"/>
      <c r="G4061" s="33"/>
      <c r="H4061" s="48">
        <f>SUM(H4059:H4060)</f>
        <v>499020.5</v>
      </c>
      <c r="I4061" s="47"/>
    </row>
    <row r="4062" spans="3:11" x14ac:dyDescent="0.3">
      <c r="C4062" s="50"/>
      <c r="D4062" s="51"/>
      <c r="E4062" s="51"/>
      <c r="F4062" s="51"/>
      <c r="G4062" s="51"/>
      <c r="H4062" s="52"/>
    </row>
    <row r="4063" spans="3:11" x14ac:dyDescent="0.3">
      <c r="C4063" s="40" t="s">
        <v>781</v>
      </c>
      <c r="D4063" s="68" t="s">
        <v>782</v>
      </c>
      <c r="E4063" s="44"/>
      <c r="F4063" s="44"/>
      <c r="G4063" s="44"/>
      <c r="H4063" s="44"/>
      <c r="I4063" s="10">
        <f>ROUNDDOWN(H4078,0)</f>
        <v>512220</v>
      </c>
      <c r="J4063" s="15" t="s">
        <v>595</v>
      </c>
      <c r="K4063" s="39"/>
    </row>
    <row r="4064" spans="3:11" ht="27.6" x14ac:dyDescent="0.3">
      <c r="C4064" s="11" t="s">
        <v>9</v>
      </c>
      <c r="D4064" s="11" t="s">
        <v>10</v>
      </c>
      <c r="E4064" s="11" t="s">
        <v>11</v>
      </c>
      <c r="F4064" s="11" t="s">
        <v>12</v>
      </c>
      <c r="G4064" s="11" t="s">
        <v>13</v>
      </c>
      <c r="H4064" s="11" t="s">
        <v>14</v>
      </c>
    </row>
    <row r="4065" spans="3:11" x14ac:dyDescent="0.25">
      <c r="C4065" s="12" t="s">
        <v>15</v>
      </c>
      <c r="D4065" s="13" t="s">
        <v>16</v>
      </c>
      <c r="E4065" s="14"/>
      <c r="F4065" s="14"/>
      <c r="G4065" s="14"/>
      <c r="H4065" s="14"/>
    </row>
    <row r="4066" spans="3:11" x14ac:dyDescent="0.3">
      <c r="C4066" s="16">
        <v>1</v>
      </c>
      <c r="D4066" s="13" t="s">
        <v>18</v>
      </c>
      <c r="E4066" s="17" t="s">
        <v>19</v>
      </c>
      <c r="F4066" s="18">
        <v>0.11899999999999999</v>
      </c>
      <c r="G4066" s="19">
        <f>VLOOKUP(D4066,upahbahan,3,FALSE)</f>
        <v>100000</v>
      </c>
      <c r="H4066" s="19">
        <f t="shared" ref="H4066:H4069" si="435">F4066*G4066</f>
        <v>11900</v>
      </c>
    </row>
    <row r="4067" spans="3:11" x14ac:dyDescent="0.3">
      <c r="C4067" s="16">
        <v>2</v>
      </c>
      <c r="D4067" s="13" t="s">
        <v>214</v>
      </c>
      <c r="E4067" s="17" t="s">
        <v>19</v>
      </c>
      <c r="F4067" s="18">
        <v>0.19900000000000001</v>
      </c>
      <c r="G4067" s="19">
        <f>VLOOKUP(D4067,upahbahan,3,FALSE)</f>
        <v>145000</v>
      </c>
      <c r="H4067" s="19">
        <f t="shared" si="435"/>
        <v>28855</v>
      </c>
    </row>
    <row r="4068" spans="3:11" x14ac:dyDescent="0.3">
      <c r="C4068" s="16">
        <v>3</v>
      </c>
      <c r="D4068" s="13" t="s">
        <v>22</v>
      </c>
      <c r="E4068" s="17" t="s">
        <v>19</v>
      </c>
      <c r="F4068" s="18">
        <v>0.02</v>
      </c>
      <c r="G4068" s="19">
        <f>VLOOKUP(D4068,upahbahan,3,FALSE)</f>
        <v>175000</v>
      </c>
      <c r="H4068" s="19">
        <f t="shared" si="435"/>
        <v>3500</v>
      </c>
    </row>
    <row r="4069" spans="3:11" x14ac:dyDescent="0.3">
      <c r="C4069" s="16">
        <v>4</v>
      </c>
      <c r="D4069" s="13" t="s">
        <v>23</v>
      </c>
      <c r="E4069" s="17" t="s">
        <v>19</v>
      </c>
      <c r="F4069" s="18">
        <v>7.0000000000000001E-3</v>
      </c>
      <c r="G4069" s="19">
        <f>VLOOKUP(D4069,upahbahan,3,FALSE)</f>
        <v>200000</v>
      </c>
      <c r="H4069" s="19">
        <f t="shared" si="435"/>
        <v>1400</v>
      </c>
    </row>
    <row r="4070" spans="3:11" x14ac:dyDescent="0.3">
      <c r="C4070" s="21" t="s">
        <v>24</v>
      </c>
      <c r="D4070" s="22"/>
      <c r="E4070" s="22"/>
      <c r="F4070" s="54"/>
      <c r="G4070" s="24"/>
      <c r="H4070" s="19">
        <f>SUM(H4066:H4069)</f>
        <v>45655</v>
      </c>
      <c r="I4070" s="25"/>
    </row>
    <row r="4071" spans="3:11" x14ac:dyDescent="0.25">
      <c r="C4071" s="12" t="s">
        <v>25</v>
      </c>
      <c r="D4071" s="13" t="s">
        <v>26</v>
      </c>
      <c r="E4071" s="14"/>
      <c r="F4071" s="55"/>
      <c r="G4071" s="14"/>
      <c r="H4071" s="14"/>
    </row>
    <row r="4072" spans="3:11" ht="41.4" x14ac:dyDescent="0.3">
      <c r="C4072" s="63" t="s">
        <v>202</v>
      </c>
      <c r="D4072" s="13" t="s">
        <v>783</v>
      </c>
      <c r="E4072" s="27" t="s">
        <v>617</v>
      </c>
      <c r="F4072" s="59">
        <v>1.2</v>
      </c>
      <c r="G4072" s="19">
        <f>VLOOKUP(D4072,upahbahan,3,FALSE)</f>
        <v>350000</v>
      </c>
      <c r="H4072" s="19">
        <f t="shared" ref="H4072" si="436">F4072*G4072</f>
        <v>420000</v>
      </c>
    </row>
    <row r="4073" spans="3:11" x14ac:dyDescent="0.3">
      <c r="C4073" s="21" t="s">
        <v>29</v>
      </c>
      <c r="D4073" s="22"/>
      <c r="E4073" s="22"/>
      <c r="F4073" s="22"/>
      <c r="G4073" s="28"/>
      <c r="H4073" s="19">
        <f>SUM(H4072:H4072)</f>
        <v>420000</v>
      </c>
    </row>
    <row r="4074" spans="3:11" x14ac:dyDescent="0.25">
      <c r="C4074" s="12" t="s">
        <v>30</v>
      </c>
      <c r="D4074" s="13" t="s">
        <v>31</v>
      </c>
      <c r="E4074" s="14"/>
      <c r="F4074" s="14"/>
      <c r="G4074" s="14"/>
      <c r="H4074" s="14"/>
    </row>
    <row r="4075" spans="3:11" x14ac:dyDescent="0.3">
      <c r="C4075" s="21" t="s">
        <v>32</v>
      </c>
      <c r="D4075" s="22"/>
      <c r="E4075" s="22"/>
      <c r="F4075" s="22"/>
      <c r="G4075" s="28"/>
      <c r="H4075" s="29">
        <v>0</v>
      </c>
    </row>
    <row r="4076" spans="3:11" x14ac:dyDescent="0.3">
      <c r="C4076" s="30" t="s">
        <v>33</v>
      </c>
      <c r="D4076" s="31" t="s">
        <v>34</v>
      </c>
      <c r="E4076" s="32"/>
      <c r="F4076" s="32"/>
      <c r="G4076" s="33"/>
      <c r="H4076" s="46">
        <f>H4075+H4073+H4070</f>
        <v>465655</v>
      </c>
      <c r="I4076" s="47"/>
    </row>
    <row r="4077" spans="3:11" x14ac:dyDescent="0.3">
      <c r="C4077" s="30" t="s">
        <v>35</v>
      </c>
      <c r="D4077" s="31" t="s">
        <v>36</v>
      </c>
      <c r="E4077" s="32"/>
      <c r="F4077" s="33"/>
      <c r="G4077" s="34">
        <f>$M$9</f>
        <v>0.1</v>
      </c>
      <c r="H4077" s="19">
        <f>H4076*G4077</f>
        <v>46565.5</v>
      </c>
      <c r="I4077" s="47"/>
    </row>
    <row r="4078" spans="3:11" x14ac:dyDescent="0.3">
      <c r="C4078" s="30" t="s">
        <v>37</v>
      </c>
      <c r="D4078" s="31" t="s">
        <v>38</v>
      </c>
      <c r="E4078" s="32"/>
      <c r="F4078" s="32"/>
      <c r="G4078" s="33"/>
      <c r="H4078" s="48">
        <f>SUM(H4076:H4077)</f>
        <v>512220.5</v>
      </c>
      <c r="I4078" s="47"/>
    </row>
    <row r="4079" spans="3:11" x14ac:dyDescent="0.3">
      <c r="C4079" s="50"/>
      <c r="D4079" s="51"/>
      <c r="E4079" s="51"/>
      <c r="F4079" s="51"/>
      <c r="G4079" s="51"/>
      <c r="H4079" s="52"/>
    </row>
    <row r="4080" spans="3:11" x14ac:dyDescent="0.3">
      <c r="C4080" s="40" t="s">
        <v>784</v>
      </c>
      <c r="D4080" s="68" t="s">
        <v>785</v>
      </c>
      <c r="E4080" s="44"/>
      <c r="F4080" s="44"/>
      <c r="G4080" s="44"/>
      <c r="H4080" s="44"/>
      <c r="I4080" s="10">
        <f>ROUNDDOWN(H4095,0)</f>
        <v>525420</v>
      </c>
      <c r="J4080" s="15" t="s">
        <v>595</v>
      </c>
      <c r="K4080" s="39"/>
    </row>
    <row r="4081" spans="3:9" ht="27.6" x14ac:dyDescent="0.3">
      <c r="C4081" s="11" t="s">
        <v>9</v>
      </c>
      <c r="D4081" s="11" t="s">
        <v>10</v>
      </c>
      <c r="E4081" s="11" t="s">
        <v>11</v>
      </c>
      <c r="F4081" s="11" t="s">
        <v>12</v>
      </c>
      <c r="G4081" s="11" t="s">
        <v>13</v>
      </c>
      <c r="H4081" s="11" t="s">
        <v>14</v>
      </c>
    </row>
    <row r="4082" spans="3:9" x14ac:dyDescent="0.25">
      <c r="C4082" s="12" t="s">
        <v>15</v>
      </c>
      <c r="D4082" s="13" t="s">
        <v>16</v>
      </c>
      <c r="E4082" s="14"/>
      <c r="F4082" s="14"/>
      <c r="G4082" s="14"/>
      <c r="H4082" s="14"/>
    </row>
    <row r="4083" spans="3:9" x14ac:dyDescent="0.3">
      <c r="C4083" s="16">
        <v>1</v>
      </c>
      <c r="D4083" s="13" t="s">
        <v>18</v>
      </c>
      <c r="E4083" s="17" t="s">
        <v>19</v>
      </c>
      <c r="F4083" s="18">
        <v>0.11899999999999999</v>
      </c>
      <c r="G4083" s="19">
        <f>VLOOKUP(D4083,upahbahan,3,FALSE)</f>
        <v>100000</v>
      </c>
      <c r="H4083" s="19">
        <f t="shared" ref="H4083:H4086" si="437">F4083*G4083</f>
        <v>11900</v>
      </c>
    </row>
    <row r="4084" spans="3:9" x14ac:dyDescent="0.3">
      <c r="C4084" s="16">
        <v>2</v>
      </c>
      <c r="D4084" s="13" t="s">
        <v>214</v>
      </c>
      <c r="E4084" s="17" t="s">
        <v>19</v>
      </c>
      <c r="F4084" s="18">
        <v>0.19900000000000001</v>
      </c>
      <c r="G4084" s="19">
        <f>VLOOKUP(D4084,upahbahan,3,FALSE)</f>
        <v>145000</v>
      </c>
      <c r="H4084" s="19">
        <f t="shared" si="437"/>
        <v>28855</v>
      </c>
    </row>
    <row r="4085" spans="3:9" x14ac:dyDescent="0.3">
      <c r="C4085" s="16">
        <v>3</v>
      </c>
      <c r="D4085" s="13" t="s">
        <v>22</v>
      </c>
      <c r="E4085" s="17" t="s">
        <v>19</v>
      </c>
      <c r="F4085" s="18">
        <v>0.02</v>
      </c>
      <c r="G4085" s="19">
        <f>VLOOKUP(D4085,upahbahan,3,FALSE)</f>
        <v>175000</v>
      </c>
      <c r="H4085" s="19">
        <f t="shared" si="437"/>
        <v>3500</v>
      </c>
    </row>
    <row r="4086" spans="3:9" x14ac:dyDescent="0.3">
      <c r="C4086" s="16">
        <v>4</v>
      </c>
      <c r="D4086" s="13" t="s">
        <v>23</v>
      </c>
      <c r="E4086" s="17" t="s">
        <v>19</v>
      </c>
      <c r="F4086" s="18">
        <v>7.0000000000000001E-3</v>
      </c>
      <c r="G4086" s="19">
        <f>VLOOKUP(D4086,upahbahan,3,FALSE)</f>
        <v>200000</v>
      </c>
      <c r="H4086" s="19">
        <f t="shared" si="437"/>
        <v>1400</v>
      </c>
    </row>
    <row r="4087" spans="3:9" x14ac:dyDescent="0.3">
      <c r="C4087" s="21" t="s">
        <v>24</v>
      </c>
      <c r="D4087" s="22"/>
      <c r="E4087" s="22"/>
      <c r="F4087" s="54"/>
      <c r="G4087" s="24"/>
      <c r="H4087" s="19">
        <f>SUM(H4083:H4086)</f>
        <v>45655</v>
      </c>
      <c r="I4087" s="25"/>
    </row>
    <row r="4088" spans="3:9" x14ac:dyDescent="0.25">
      <c r="C4088" s="12" t="s">
        <v>25</v>
      </c>
      <c r="D4088" s="13" t="s">
        <v>26</v>
      </c>
      <c r="E4088" s="14"/>
      <c r="F4088" s="55"/>
      <c r="G4088" s="14"/>
      <c r="H4088" s="14"/>
    </row>
    <row r="4089" spans="3:9" ht="55.2" x14ac:dyDescent="0.3">
      <c r="C4089" s="63" t="s">
        <v>202</v>
      </c>
      <c r="D4089" s="13" t="s">
        <v>786</v>
      </c>
      <c r="E4089" s="27" t="s">
        <v>617</v>
      </c>
      <c r="F4089" s="59">
        <v>1.2</v>
      </c>
      <c r="G4089" s="19">
        <f>VLOOKUP(D4089,upahbahan,3,FALSE)</f>
        <v>360000</v>
      </c>
      <c r="H4089" s="19">
        <f t="shared" ref="H4089" si="438">F4089*G4089</f>
        <v>432000</v>
      </c>
    </row>
    <row r="4090" spans="3:9" x14ac:dyDescent="0.3">
      <c r="C4090" s="21" t="s">
        <v>29</v>
      </c>
      <c r="D4090" s="22"/>
      <c r="E4090" s="22"/>
      <c r="F4090" s="22"/>
      <c r="G4090" s="28"/>
      <c r="H4090" s="19">
        <f>SUM(H4089:H4089)</f>
        <v>432000</v>
      </c>
    </row>
    <row r="4091" spans="3:9" x14ac:dyDescent="0.25">
      <c r="C4091" s="12" t="s">
        <v>30</v>
      </c>
      <c r="D4091" s="13" t="s">
        <v>31</v>
      </c>
      <c r="E4091" s="14"/>
      <c r="F4091" s="14"/>
      <c r="G4091" s="14"/>
      <c r="H4091" s="14"/>
    </row>
    <row r="4092" spans="3:9" x14ac:dyDescent="0.3">
      <c r="C4092" s="21" t="s">
        <v>32</v>
      </c>
      <c r="D4092" s="22"/>
      <c r="E4092" s="22"/>
      <c r="F4092" s="22"/>
      <c r="G4092" s="28"/>
      <c r="H4092" s="29">
        <v>0</v>
      </c>
    </row>
    <row r="4093" spans="3:9" x14ac:dyDescent="0.3">
      <c r="C4093" s="30" t="s">
        <v>33</v>
      </c>
      <c r="D4093" s="31" t="s">
        <v>34</v>
      </c>
      <c r="E4093" s="32"/>
      <c r="F4093" s="32"/>
      <c r="G4093" s="33"/>
      <c r="H4093" s="46">
        <f>H4092+H4090+H4087</f>
        <v>477655</v>
      </c>
      <c r="I4093" s="47"/>
    </row>
    <row r="4094" spans="3:9" x14ac:dyDescent="0.3">
      <c r="C4094" s="30" t="s">
        <v>35</v>
      </c>
      <c r="D4094" s="31" t="s">
        <v>36</v>
      </c>
      <c r="E4094" s="32"/>
      <c r="F4094" s="33"/>
      <c r="G4094" s="34">
        <f>$M$9</f>
        <v>0.1</v>
      </c>
      <c r="H4094" s="19">
        <f>H4093*G4094</f>
        <v>47765.5</v>
      </c>
      <c r="I4094" s="47"/>
    </row>
    <row r="4095" spans="3:9" x14ac:dyDescent="0.3">
      <c r="C4095" s="30" t="s">
        <v>37</v>
      </c>
      <c r="D4095" s="31" t="s">
        <v>38</v>
      </c>
      <c r="E4095" s="32"/>
      <c r="F4095" s="32"/>
      <c r="G4095" s="33"/>
      <c r="H4095" s="48">
        <f>SUM(H4093:H4094)</f>
        <v>525420.5</v>
      </c>
      <c r="I4095" s="47"/>
    </row>
    <row r="4096" spans="3:9" x14ac:dyDescent="0.3">
      <c r="C4096" s="50"/>
      <c r="D4096" s="51"/>
      <c r="E4096" s="51"/>
      <c r="F4096" s="51"/>
      <c r="G4096" s="51"/>
      <c r="H4096" s="52"/>
    </row>
    <row r="4097" spans="3:11" x14ac:dyDescent="0.3">
      <c r="C4097" s="40" t="s">
        <v>787</v>
      </c>
      <c r="D4097" s="68" t="s">
        <v>788</v>
      </c>
      <c r="E4097" s="44"/>
      <c r="F4097" s="44"/>
      <c r="G4097" s="44"/>
      <c r="H4097" s="44"/>
      <c r="I4097" s="10">
        <f>ROUNDDOWN(H4112,0)</f>
        <v>538620</v>
      </c>
      <c r="J4097" s="15" t="s">
        <v>595</v>
      </c>
      <c r="K4097" s="39"/>
    </row>
    <row r="4098" spans="3:11" ht="27.6" x14ac:dyDescent="0.3">
      <c r="C4098" s="11" t="s">
        <v>9</v>
      </c>
      <c r="D4098" s="11" t="s">
        <v>10</v>
      </c>
      <c r="E4098" s="11" t="s">
        <v>11</v>
      </c>
      <c r="F4098" s="11" t="s">
        <v>12</v>
      </c>
      <c r="G4098" s="11" t="s">
        <v>13</v>
      </c>
      <c r="H4098" s="11" t="s">
        <v>14</v>
      </c>
    </row>
    <row r="4099" spans="3:11" x14ac:dyDescent="0.25">
      <c r="C4099" s="12" t="s">
        <v>15</v>
      </c>
      <c r="D4099" s="13" t="s">
        <v>16</v>
      </c>
      <c r="E4099" s="14"/>
      <c r="F4099" s="14"/>
      <c r="G4099" s="14"/>
      <c r="H4099" s="14"/>
    </row>
    <row r="4100" spans="3:11" x14ac:dyDescent="0.3">
      <c r="C4100" s="16">
        <v>1</v>
      </c>
      <c r="D4100" s="13" t="s">
        <v>18</v>
      </c>
      <c r="E4100" s="17" t="s">
        <v>19</v>
      </c>
      <c r="F4100" s="18">
        <v>0.11899999999999999</v>
      </c>
      <c r="G4100" s="19">
        <f>VLOOKUP(D4100,upahbahan,3,FALSE)</f>
        <v>100000</v>
      </c>
      <c r="H4100" s="19">
        <f t="shared" ref="H4100:H4103" si="439">F4100*G4100</f>
        <v>11900</v>
      </c>
    </row>
    <row r="4101" spans="3:11" x14ac:dyDescent="0.3">
      <c r="C4101" s="16">
        <v>2</v>
      </c>
      <c r="D4101" s="13" t="s">
        <v>214</v>
      </c>
      <c r="E4101" s="17" t="s">
        <v>19</v>
      </c>
      <c r="F4101" s="18">
        <v>0.19900000000000001</v>
      </c>
      <c r="G4101" s="19">
        <f>VLOOKUP(D4101,upahbahan,3,FALSE)</f>
        <v>145000</v>
      </c>
      <c r="H4101" s="19">
        <f t="shared" si="439"/>
        <v>28855</v>
      </c>
    </row>
    <row r="4102" spans="3:11" x14ac:dyDescent="0.3">
      <c r="C4102" s="16">
        <v>3</v>
      </c>
      <c r="D4102" s="13" t="s">
        <v>22</v>
      </c>
      <c r="E4102" s="17" t="s">
        <v>19</v>
      </c>
      <c r="F4102" s="18">
        <v>0.02</v>
      </c>
      <c r="G4102" s="19">
        <f>VLOOKUP(D4102,upahbahan,3,FALSE)</f>
        <v>175000</v>
      </c>
      <c r="H4102" s="19">
        <f t="shared" si="439"/>
        <v>3500</v>
      </c>
    </row>
    <row r="4103" spans="3:11" x14ac:dyDescent="0.3">
      <c r="C4103" s="16">
        <v>4</v>
      </c>
      <c r="D4103" s="13" t="s">
        <v>23</v>
      </c>
      <c r="E4103" s="17" t="s">
        <v>19</v>
      </c>
      <c r="F4103" s="18">
        <v>7.0000000000000001E-3</v>
      </c>
      <c r="G4103" s="19">
        <f>VLOOKUP(D4103,upahbahan,3,FALSE)</f>
        <v>200000</v>
      </c>
      <c r="H4103" s="19">
        <f t="shared" si="439"/>
        <v>1400</v>
      </c>
    </row>
    <row r="4104" spans="3:11" x14ac:dyDescent="0.3">
      <c r="C4104" s="21" t="s">
        <v>24</v>
      </c>
      <c r="D4104" s="22"/>
      <c r="E4104" s="22"/>
      <c r="F4104" s="54"/>
      <c r="G4104" s="24"/>
      <c r="H4104" s="19">
        <f>SUM(H4100:H4103)</f>
        <v>45655</v>
      </c>
      <c r="I4104" s="25"/>
    </row>
    <row r="4105" spans="3:11" x14ac:dyDescent="0.25">
      <c r="C4105" s="12" t="s">
        <v>25</v>
      </c>
      <c r="D4105" s="13" t="s">
        <v>26</v>
      </c>
      <c r="E4105" s="14"/>
      <c r="F4105" s="55"/>
      <c r="G4105" s="14"/>
      <c r="H4105" s="14"/>
    </row>
    <row r="4106" spans="3:11" ht="55.2" x14ac:dyDescent="0.3">
      <c r="C4106" s="63" t="s">
        <v>202</v>
      </c>
      <c r="D4106" s="13" t="s">
        <v>789</v>
      </c>
      <c r="E4106" s="27" t="s">
        <v>617</v>
      </c>
      <c r="F4106" s="59">
        <v>1.2</v>
      </c>
      <c r="G4106" s="19">
        <f>VLOOKUP(D4106,upahbahan,3,FALSE)</f>
        <v>370000</v>
      </c>
      <c r="H4106" s="19">
        <f t="shared" ref="H4106" si="440">F4106*G4106</f>
        <v>444000</v>
      </c>
    </row>
    <row r="4107" spans="3:11" x14ac:dyDescent="0.3">
      <c r="C4107" s="21" t="s">
        <v>29</v>
      </c>
      <c r="D4107" s="22"/>
      <c r="E4107" s="22"/>
      <c r="F4107" s="22"/>
      <c r="G4107" s="28"/>
      <c r="H4107" s="19">
        <f>SUM(H4106:H4106)</f>
        <v>444000</v>
      </c>
    </row>
    <row r="4108" spans="3:11" x14ac:dyDescent="0.25">
      <c r="C4108" s="12" t="s">
        <v>30</v>
      </c>
      <c r="D4108" s="13" t="s">
        <v>31</v>
      </c>
      <c r="E4108" s="14"/>
      <c r="F4108" s="14"/>
      <c r="G4108" s="14"/>
      <c r="H4108" s="14"/>
    </row>
    <row r="4109" spans="3:11" x14ac:dyDescent="0.3">
      <c r="C4109" s="21" t="s">
        <v>32</v>
      </c>
      <c r="D4109" s="22"/>
      <c r="E4109" s="22"/>
      <c r="F4109" s="22"/>
      <c r="G4109" s="28"/>
      <c r="H4109" s="29">
        <v>0</v>
      </c>
    </row>
    <row r="4110" spans="3:11" x14ac:dyDescent="0.3">
      <c r="C4110" s="30" t="s">
        <v>33</v>
      </c>
      <c r="D4110" s="31" t="s">
        <v>34</v>
      </c>
      <c r="E4110" s="32"/>
      <c r="F4110" s="32"/>
      <c r="G4110" s="33"/>
      <c r="H4110" s="46">
        <f>H4109+H4107+H4104</f>
        <v>489655</v>
      </c>
      <c r="I4110" s="47"/>
    </row>
    <row r="4111" spans="3:11" x14ac:dyDescent="0.3">
      <c r="C4111" s="30" t="s">
        <v>35</v>
      </c>
      <c r="D4111" s="31" t="s">
        <v>36</v>
      </c>
      <c r="E4111" s="32"/>
      <c r="F4111" s="33"/>
      <c r="G4111" s="34">
        <f>$M$9</f>
        <v>0.1</v>
      </c>
      <c r="H4111" s="19">
        <f>H4110*G4111</f>
        <v>48965.5</v>
      </c>
      <c r="I4111" s="47"/>
    </row>
    <row r="4112" spans="3:11" x14ac:dyDescent="0.3">
      <c r="C4112" s="30" t="s">
        <v>37</v>
      </c>
      <c r="D4112" s="31" t="s">
        <v>38</v>
      </c>
      <c r="E4112" s="32"/>
      <c r="F4112" s="32"/>
      <c r="G4112" s="33"/>
      <c r="H4112" s="48">
        <f>SUM(H4110:H4111)</f>
        <v>538620.5</v>
      </c>
      <c r="I4112" s="47"/>
    </row>
    <row r="4113" spans="3:11" x14ac:dyDescent="0.3">
      <c r="C4113" s="50"/>
      <c r="D4113" s="51"/>
      <c r="E4113" s="51"/>
      <c r="F4113" s="51"/>
      <c r="G4113" s="51"/>
      <c r="H4113" s="52"/>
    </row>
    <row r="4114" spans="3:11" x14ac:dyDescent="0.3">
      <c r="C4114" s="40" t="s">
        <v>790</v>
      </c>
      <c r="D4114" s="68" t="s">
        <v>791</v>
      </c>
      <c r="E4114" s="44"/>
      <c r="F4114" s="44"/>
      <c r="G4114" s="44"/>
      <c r="H4114" s="44"/>
      <c r="I4114" s="10">
        <f>ROUNDDOWN(H4129,0)</f>
        <v>551820</v>
      </c>
      <c r="J4114" s="15" t="s">
        <v>595</v>
      </c>
      <c r="K4114" s="39"/>
    </row>
    <row r="4115" spans="3:11" ht="27.6" x14ac:dyDescent="0.3">
      <c r="C4115" s="11" t="s">
        <v>9</v>
      </c>
      <c r="D4115" s="11" t="s">
        <v>10</v>
      </c>
      <c r="E4115" s="11" t="s">
        <v>11</v>
      </c>
      <c r="F4115" s="11" t="s">
        <v>12</v>
      </c>
      <c r="G4115" s="11" t="s">
        <v>13</v>
      </c>
      <c r="H4115" s="11" t="s">
        <v>14</v>
      </c>
    </row>
    <row r="4116" spans="3:11" x14ac:dyDescent="0.25">
      <c r="C4116" s="12" t="s">
        <v>15</v>
      </c>
      <c r="D4116" s="13" t="s">
        <v>16</v>
      </c>
      <c r="E4116" s="14"/>
      <c r="F4116" s="14"/>
      <c r="G4116" s="14"/>
      <c r="H4116" s="14"/>
    </row>
    <row r="4117" spans="3:11" x14ac:dyDescent="0.3">
      <c r="C4117" s="16">
        <v>1</v>
      </c>
      <c r="D4117" s="13" t="s">
        <v>18</v>
      </c>
      <c r="E4117" s="17" t="s">
        <v>19</v>
      </c>
      <c r="F4117" s="18">
        <v>0.11899999999999999</v>
      </c>
      <c r="G4117" s="19">
        <f>VLOOKUP(D4117,upahbahan,3,FALSE)</f>
        <v>100000</v>
      </c>
      <c r="H4117" s="19">
        <f t="shared" ref="H4117:H4120" si="441">F4117*G4117</f>
        <v>11900</v>
      </c>
    </row>
    <row r="4118" spans="3:11" x14ac:dyDescent="0.3">
      <c r="C4118" s="16">
        <v>2</v>
      </c>
      <c r="D4118" s="13" t="s">
        <v>214</v>
      </c>
      <c r="E4118" s="17" t="s">
        <v>19</v>
      </c>
      <c r="F4118" s="18">
        <v>0.19900000000000001</v>
      </c>
      <c r="G4118" s="19">
        <f>VLOOKUP(D4118,upahbahan,3,FALSE)</f>
        <v>145000</v>
      </c>
      <c r="H4118" s="19">
        <f t="shared" si="441"/>
        <v>28855</v>
      </c>
    </row>
    <row r="4119" spans="3:11" x14ac:dyDescent="0.3">
      <c r="C4119" s="16">
        <v>3</v>
      </c>
      <c r="D4119" s="13" t="s">
        <v>22</v>
      </c>
      <c r="E4119" s="17" t="s">
        <v>19</v>
      </c>
      <c r="F4119" s="18">
        <v>0.02</v>
      </c>
      <c r="G4119" s="19">
        <f>VLOOKUP(D4119,upahbahan,3,FALSE)</f>
        <v>175000</v>
      </c>
      <c r="H4119" s="19">
        <f t="shared" si="441"/>
        <v>3500</v>
      </c>
    </row>
    <row r="4120" spans="3:11" x14ac:dyDescent="0.3">
      <c r="C4120" s="16">
        <v>4</v>
      </c>
      <c r="D4120" s="13" t="s">
        <v>23</v>
      </c>
      <c r="E4120" s="17" t="s">
        <v>19</v>
      </c>
      <c r="F4120" s="18">
        <v>7.0000000000000001E-3</v>
      </c>
      <c r="G4120" s="19">
        <f>VLOOKUP(D4120,upahbahan,3,FALSE)</f>
        <v>200000</v>
      </c>
      <c r="H4120" s="19">
        <f t="shared" si="441"/>
        <v>1400</v>
      </c>
    </row>
    <row r="4121" spans="3:11" x14ac:dyDescent="0.3">
      <c r="C4121" s="21" t="s">
        <v>24</v>
      </c>
      <c r="D4121" s="22"/>
      <c r="E4121" s="22"/>
      <c r="F4121" s="54"/>
      <c r="G4121" s="24"/>
      <c r="H4121" s="19">
        <f>SUM(H4117:H4120)</f>
        <v>45655</v>
      </c>
      <c r="I4121" s="25"/>
    </row>
    <row r="4122" spans="3:11" x14ac:dyDescent="0.25">
      <c r="C4122" s="12" t="s">
        <v>25</v>
      </c>
      <c r="D4122" s="13" t="s">
        <v>26</v>
      </c>
      <c r="E4122" s="14"/>
      <c r="F4122" s="55"/>
      <c r="G4122" s="14"/>
      <c r="H4122" s="14"/>
    </row>
    <row r="4123" spans="3:11" ht="41.4" x14ac:dyDescent="0.3">
      <c r="C4123" s="63" t="s">
        <v>202</v>
      </c>
      <c r="D4123" s="13" t="s">
        <v>792</v>
      </c>
      <c r="E4123" s="27" t="s">
        <v>617</v>
      </c>
      <c r="F4123" s="59">
        <v>1.2</v>
      </c>
      <c r="G4123" s="19">
        <f>VLOOKUP(D4123,upahbahan,3,FALSE)</f>
        <v>380000</v>
      </c>
      <c r="H4123" s="19">
        <f t="shared" ref="H4123" si="442">F4123*G4123</f>
        <v>456000</v>
      </c>
    </row>
    <row r="4124" spans="3:11" x14ac:dyDescent="0.3">
      <c r="C4124" s="21" t="s">
        <v>29</v>
      </c>
      <c r="D4124" s="22"/>
      <c r="E4124" s="22"/>
      <c r="F4124" s="22"/>
      <c r="G4124" s="28"/>
      <c r="H4124" s="19">
        <f>SUM(H4123:H4123)</f>
        <v>456000</v>
      </c>
    </row>
    <row r="4125" spans="3:11" x14ac:dyDescent="0.25">
      <c r="C4125" s="12" t="s">
        <v>30</v>
      </c>
      <c r="D4125" s="13" t="s">
        <v>31</v>
      </c>
      <c r="E4125" s="14"/>
      <c r="F4125" s="14"/>
      <c r="G4125" s="14"/>
      <c r="H4125" s="14"/>
    </row>
    <row r="4126" spans="3:11" x14ac:dyDescent="0.3">
      <c r="C4126" s="21" t="s">
        <v>32</v>
      </c>
      <c r="D4126" s="22"/>
      <c r="E4126" s="22"/>
      <c r="F4126" s="22"/>
      <c r="G4126" s="28"/>
      <c r="H4126" s="29">
        <v>0</v>
      </c>
    </row>
    <row r="4127" spans="3:11" x14ac:dyDescent="0.3">
      <c r="C4127" s="30" t="s">
        <v>33</v>
      </c>
      <c r="D4127" s="31" t="s">
        <v>34</v>
      </c>
      <c r="E4127" s="32"/>
      <c r="F4127" s="32"/>
      <c r="G4127" s="33"/>
      <c r="H4127" s="46">
        <f>H4126+H4124+H4121</f>
        <v>501655</v>
      </c>
      <c r="I4127" s="47"/>
    </row>
    <row r="4128" spans="3:11" x14ac:dyDescent="0.3">
      <c r="C4128" s="30" t="s">
        <v>35</v>
      </c>
      <c r="D4128" s="31" t="s">
        <v>36</v>
      </c>
      <c r="E4128" s="32"/>
      <c r="F4128" s="33"/>
      <c r="G4128" s="34">
        <f>$M$9</f>
        <v>0.1</v>
      </c>
      <c r="H4128" s="19">
        <f>H4127*G4128</f>
        <v>50165.5</v>
      </c>
      <c r="I4128" s="47"/>
    </row>
    <row r="4129" spans="3:11" x14ac:dyDescent="0.3">
      <c r="C4129" s="30" t="s">
        <v>37</v>
      </c>
      <c r="D4129" s="31" t="s">
        <v>38</v>
      </c>
      <c r="E4129" s="32"/>
      <c r="F4129" s="32"/>
      <c r="G4129" s="33"/>
      <c r="H4129" s="48">
        <f>SUM(H4127:H4128)</f>
        <v>551820.5</v>
      </c>
      <c r="I4129" s="47"/>
    </row>
    <row r="4130" spans="3:11" x14ac:dyDescent="0.3">
      <c r="C4130" s="50"/>
      <c r="D4130" s="51"/>
      <c r="E4130" s="51"/>
      <c r="F4130" s="51"/>
      <c r="G4130" s="51"/>
      <c r="H4130" s="52"/>
    </row>
    <row r="4131" spans="3:11" x14ac:dyDescent="0.3">
      <c r="C4131" s="40" t="s">
        <v>793</v>
      </c>
      <c r="D4131" s="68" t="s">
        <v>794</v>
      </c>
      <c r="E4131" s="44"/>
      <c r="F4131" s="44"/>
      <c r="G4131" s="44"/>
      <c r="H4131" s="44"/>
      <c r="I4131" s="10">
        <f>ROUNDDOWN(H4146,0)</f>
        <v>499020</v>
      </c>
      <c r="J4131" s="15" t="s">
        <v>595</v>
      </c>
      <c r="K4131" s="39"/>
    </row>
    <row r="4132" spans="3:11" ht="27.6" x14ac:dyDescent="0.3">
      <c r="C4132" s="11" t="s">
        <v>9</v>
      </c>
      <c r="D4132" s="11" t="s">
        <v>10</v>
      </c>
      <c r="E4132" s="11" t="s">
        <v>11</v>
      </c>
      <c r="F4132" s="11" t="s">
        <v>12</v>
      </c>
      <c r="G4132" s="11" t="s">
        <v>13</v>
      </c>
      <c r="H4132" s="11" t="s">
        <v>14</v>
      </c>
    </row>
    <row r="4133" spans="3:11" x14ac:dyDescent="0.25">
      <c r="C4133" s="12" t="s">
        <v>15</v>
      </c>
      <c r="D4133" s="13" t="s">
        <v>16</v>
      </c>
      <c r="E4133" s="14"/>
      <c r="F4133" s="14"/>
      <c r="G4133" s="14"/>
      <c r="H4133" s="14"/>
    </row>
    <row r="4134" spans="3:11" x14ac:dyDescent="0.3">
      <c r="C4134" s="16">
        <v>1</v>
      </c>
      <c r="D4134" s="13" t="s">
        <v>18</v>
      </c>
      <c r="E4134" s="17" t="s">
        <v>19</v>
      </c>
      <c r="F4134" s="18">
        <v>0.11899999999999999</v>
      </c>
      <c r="G4134" s="19">
        <f>VLOOKUP(D4134,upahbahan,3,FALSE)</f>
        <v>100000</v>
      </c>
      <c r="H4134" s="19">
        <f t="shared" ref="H4134:H4137" si="443">F4134*G4134</f>
        <v>11900</v>
      </c>
    </row>
    <row r="4135" spans="3:11" x14ac:dyDescent="0.3">
      <c r="C4135" s="16">
        <v>2</v>
      </c>
      <c r="D4135" s="13" t="s">
        <v>214</v>
      </c>
      <c r="E4135" s="17" t="s">
        <v>19</v>
      </c>
      <c r="F4135" s="18">
        <v>0.19900000000000001</v>
      </c>
      <c r="G4135" s="19">
        <f>VLOOKUP(D4135,upahbahan,3,FALSE)</f>
        <v>145000</v>
      </c>
      <c r="H4135" s="19">
        <f t="shared" si="443"/>
        <v>28855</v>
      </c>
    </row>
    <row r="4136" spans="3:11" x14ac:dyDescent="0.3">
      <c r="C4136" s="16">
        <v>3</v>
      </c>
      <c r="D4136" s="13" t="s">
        <v>22</v>
      </c>
      <c r="E4136" s="17" t="s">
        <v>19</v>
      </c>
      <c r="F4136" s="18">
        <v>0.02</v>
      </c>
      <c r="G4136" s="19">
        <f>VLOOKUP(D4136,upahbahan,3,FALSE)</f>
        <v>175000</v>
      </c>
      <c r="H4136" s="19">
        <f t="shared" si="443"/>
        <v>3500</v>
      </c>
    </row>
    <row r="4137" spans="3:11" x14ac:dyDescent="0.3">
      <c r="C4137" s="16">
        <v>4</v>
      </c>
      <c r="D4137" s="13" t="s">
        <v>23</v>
      </c>
      <c r="E4137" s="17" t="s">
        <v>19</v>
      </c>
      <c r="F4137" s="18">
        <v>7.0000000000000001E-3</v>
      </c>
      <c r="G4137" s="19">
        <f>VLOOKUP(D4137,upahbahan,3,FALSE)</f>
        <v>200000</v>
      </c>
      <c r="H4137" s="19">
        <f t="shared" si="443"/>
        <v>1400</v>
      </c>
    </row>
    <row r="4138" spans="3:11" x14ac:dyDescent="0.3">
      <c r="C4138" s="21" t="s">
        <v>24</v>
      </c>
      <c r="D4138" s="22"/>
      <c r="E4138" s="22"/>
      <c r="F4138" s="54"/>
      <c r="G4138" s="24"/>
      <c r="H4138" s="19">
        <f>SUM(H4134:H4137)</f>
        <v>45655</v>
      </c>
      <c r="I4138" s="25"/>
    </row>
    <row r="4139" spans="3:11" x14ac:dyDescent="0.25">
      <c r="C4139" s="12" t="s">
        <v>25</v>
      </c>
      <c r="D4139" s="13" t="s">
        <v>26</v>
      </c>
      <c r="E4139" s="14"/>
      <c r="F4139" s="55"/>
      <c r="G4139" s="14"/>
      <c r="H4139" s="14"/>
    </row>
    <row r="4140" spans="3:11" ht="55.2" x14ac:dyDescent="0.3">
      <c r="C4140" s="63" t="s">
        <v>202</v>
      </c>
      <c r="D4140" s="13" t="s">
        <v>795</v>
      </c>
      <c r="E4140" s="27" t="s">
        <v>617</v>
      </c>
      <c r="F4140" s="59">
        <v>1.2</v>
      </c>
      <c r="G4140" s="19">
        <f>VLOOKUP(D4140,upahbahan,3,FALSE)</f>
        <v>340000</v>
      </c>
      <c r="H4140" s="19">
        <f t="shared" ref="H4140" si="444">F4140*G4140</f>
        <v>408000</v>
      </c>
    </row>
    <row r="4141" spans="3:11" x14ac:dyDescent="0.3">
      <c r="C4141" s="21" t="s">
        <v>29</v>
      </c>
      <c r="D4141" s="22"/>
      <c r="E4141" s="22"/>
      <c r="F4141" s="22"/>
      <c r="G4141" s="28"/>
      <c r="H4141" s="19">
        <f>SUM(H4140:H4140)</f>
        <v>408000</v>
      </c>
    </row>
    <row r="4142" spans="3:11" x14ac:dyDescent="0.25">
      <c r="C4142" s="12" t="s">
        <v>30</v>
      </c>
      <c r="D4142" s="13" t="s">
        <v>31</v>
      </c>
      <c r="E4142" s="14"/>
      <c r="F4142" s="14"/>
      <c r="G4142" s="14"/>
      <c r="H4142" s="14"/>
    </row>
    <row r="4143" spans="3:11" x14ac:dyDescent="0.3">
      <c r="C4143" s="21" t="s">
        <v>32</v>
      </c>
      <c r="D4143" s="22"/>
      <c r="E4143" s="22"/>
      <c r="F4143" s="22"/>
      <c r="G4143" s="28"/>
      <c r="H4143" s="29">
        <v>0</v>
      </c>
    </row>
    <row r="4144" spans="3:11" x14ac:dyDescent="0.3">
      <c r="C4144" s="30" t="s">
        <v>33</v>
      </c>
      <c r="D4144" s="31" t="s">
        <v>34</v>
      </c>
      <c r="E4144" s="32"/>
      <c r="F4144" s="32"/>
      <c r="G4144" s="33"/>
      <c r="H4144" s="46">
        <f>H4143+H4141+H4138</f>
        <v>453655</v>
      </c>
      <c r="I4144" s="47"/>
    </row>
    <row r="4145" spans="3:11" x14ac:dyDescent="0.3">
      <c r="C4145" s="30" t="s">
        <v>35</v>
      </c>
      <c r="D4145" s="31" t="s">
        <v>36</v>
      </c>
      <c r="E4145" s="32"/>
      <c r="F4145" s="33"/>
      <c r="G4145" s="34">
        <f>$M$9</f>
        <v>0.1</v>
      </c>
      <c r="H4145" s="19">
        <f>H4144*G4145</f>
        <v>45365.5</v>
      </c>
      <c r="I4145" s="47"/>
    </row>
    <row r="4146" spans="3:11" x14ac:dyDescent="0.3">
      <c r="C4146" s="30" t="s">
        <v>37</v>
      </c>
      <c r="D4146" s="31" t="s">
        <v>38</v>
      </c>
      <c r="E4146" s="32"/>
      <c r="F4146" s="32"/>
      <c r="G4146" s="33"/>
      <c r="H4146" s="48">
        <f>SUM(H4144:H4145)</f>
        <v>499020.5</v>
      </c>
      <c r="I4146" s="47"/>
    </row>
    <row r="4147" spans="3:11" x14ac:dyDescent="0.3">
      <c r="C4147" s="50"/>
      <c r="D4147" s="51"/>
      <c r="E4147" s="51"/>
      <c r="F4147" s="51"/>
      <c r="G4147" s="51"/>
      <c r="H4147" s="52"/>
    </row>
    <row r="4148" spans="3:11" x14ac:dyDescent="0.3">
      <c r="C4148" s="40" t="s">
        <v>796</v>
      </c>
      <c r="D4148" s="68" t="s">
        <v>797</v>
      </c>
      <c r="E4148" s="44"/>
      <c r="F4148" s="44"/>
      <c r="G4148" s="44"/>
      <c r="H4148" s="44"/>
      <c r="I4148" s="10">
        <f>ROUNDDOWN(H4163,0)</f>
        <v>512220</v>
      </c>
      <c r="J4148" s="15" t="s">
        <v>595</v>
      </c>
      <c r="K4148" s="39"/>
    </row>
    <row r="4149" spans="3:11" ht="27.6" x14ac:dyDescent="0.3">
      <c r="C4149" s="11" t="s">
        <v>9</v>
      </c>
      <c r="D4149" s="11" t="s">
        <v>10</v>
      </c>
      <c r="E4149" s="11" t="s">
        <v>11</v>
      </c>
      <c r="F4149" s="11" t="s">
        <v>12</v>
      </c>
      <c r="G4149" s="11" t="s">
        <v>13</v>
      </c>
      <c r="H4149" s="11" t="s">
        <v>14</v>
      </c>
    </row>
    <row r="4150" spans="3:11" x14ac:dyDescent="0.25">
      <c r="C4150" s="12" t="s">
        <v>15</v>
      </c>
      <c r="D4150" s="13" t="s">
        <v>16</v>
      </c>
      <c r="E4150" s="14"/>
      <c r="F4150" s="14"/>
      <c r="G4150" s="14"/>
      <c r="H4150" s="14"/>
    </row>
    <row r="4151" spans="3:11" x14ac:dyDescent="0.3">
      <c r="C4151" s="16">
        <v>1</v>
      </c>
      <c r="D4151" s="13" t="s">
        <v>18</v>
      </c>
      <c r="E4151" s="17" t="s">
        <v>19</v>
      </c>
      <c r="F4151" s="18">
        <v>0.11899999999999999</v>
      </c>
      <c r="G4151" s="19">
        <f>VLOOKUP(D4151,upahbahan,3,FALSE)</f>
        <v>100000</v>
      </c>
      <c r="H4151" s="19">
        <f t="shared" ref="H4151:H4154" si="445">F4151*G4151</f>
        <v>11900</v>
      </c>
    </row>
    <row r="4152" spans="3:11" x14ac:dyDescent="0.3">
      <c r="C4152" s="16">
        <v>2</v>
      </c>
      <c r="D4152" s="13" t="s">
        <v>214</v>
      </c>
      <c r="E4152" s="17" t="s">
        <v>19</v>
      </c>
      <c r="F4152" s="18">
        <v>0.19900000000000001</v>
      </c>
      <c r="G4152" s="19">
        <f>VLOOKUP(D4152,upahbahan,3,FALSE)</f>
        <v>145000</v>
      </c>
      <c r="H4152" s="19">
        <f t="shared" si="445"/>
        <v>28855</v>
      </c>
    </row>
    <row r="4153" spans="3:11" x14ac:dyDescent="0.3">
      <c r="C4153" s="16">
        <v>3</v>
      </c>
      <c r="D4153" s="13" t="s">
        <v>22</v>
      </c>
      <c r="E4153" s="17" t="s">
        <v>19</v>
      </c>
      <c r="F4153" s="18">
        <v>0.02</v>
      </c>
      <c r="G4153" s="19">
        <f>VLOOKUP(D4153,upahbahan,3,FALSE)</f>
        <v>175000</v>
      </c>
      <c r="H4153" s="19">
        <f t="shared" si="445"/>
        <v>3500</v>
      </c>
    </row>
    <row r="4154" spans="3:11" x14ac:dyDescent="0.3">
      <c r="C4154" s="16">
        <v>4</v>
      </c>
      <c r="D4154" s="13" t="s">
        <v>23</v>
      </c>
      <c r="E4154" s="17" t="s">
        <v>19</v>
      </c>
      <c r="F4154" s="18">
        <v>7.0000000000000001E-3</v>
      </c>
      <c r="G4154" s="19">
        <f>VLOOKUP(D4154,upahbahan,3,FALSE)</f>
        <v>200000</v>
      </c>
      <c r="H4154" s="19">
        <f t="shared" si="445"/>
        <v>1400</v>
      </c>
    </row>
    <row r="4155" spans="3:11" x14ac:dyDescent="0.3">
      <c r="C4155" s="21" t="s">
        <v>24</v>
      </c>
      <c r="D4155" s="22"/>
      <c r="E4155" s="22"/>
      <c r="F4155" s="54"/>
      <c r="G4155" s="24"/>
      <c r="H4155" s="19">
        <f>SUM(H4151:H4154)</f>
        <v>45655</v>
      </c>
      <c r="I4155" s="25"/>
    </row>
    <row r="4156" spans="3:11" x14ac:dyDescent="0.25">
      <c r="C4156" s="12" t="s">
        <v>25</v>
      </c>
      <c r="D4156" s="13" t="s">
        <v>26</v>
      </c>
      <c r="E4156" s="14"/>
      <c r="F4156" s="55"/>
      <c r="G4156" s="14"/>
      <c r="H4156" s="14"/>
    </row>
    <row r="4157" spans="3:11" ht="41.4" x14ac:dyDescent="0.3">
      <c r="C4157" s="63" t="s">
        <v>202</v>
      </c>
      <c r="D4157" s="13" t="s">
        <v>798</v>
      </c>
      <c r="E4157" s="27" t="s">
        <v>617</v>
      </c>
      <c r="F4157" s="59">
        <v>1.2</v>
      </c>
      <c r="G4157" s="19">
        <f>VLOOKUP(D4157,upahbahan,3,FALSE)</f>
        <v>350000</v>
      </c>
      <c r="H4157" s="19">
        <f t="shared" ref="H4157" si="446">F4157*G4157</f>
        <v>420000</v>
      </c>
    </row>
    <row r="4158" spans="3:11" x14ac:dyDescent="0.3">
      <c r="C4158" s="21" t="s">
        <v>29</v>
      </c>
      <c r="D4158" s="22"/>
      <c r="E4158" s="22"/>
      <c r="F4158" s="22"/>
      <c r="G4158" s="28"/>
      <c r="H4158" s="19">
        <f>SUM(H4157:H4157)</f>
        <v>420000</v>
      </c>
    </row>
    <row r="4159" spans="3:11" x14ac:dyDescent="0.25">
      <c r="C4159" s="12" t="s">
        <v>30</v>
      </c>
      <c r="D4159" s="13" t="s">
        <v>31</v>
      </c>
      <c r="E4159" s="14"/>
      <c r="F4159" s="14"/>
      <c r="G4159" s="14"/>
      <c r="H4159" s="14"/>
    </row>
    <row r="4160" spans="3:11" x14ac:dyDescent="0.3">
      <c r="C4160" s="21" t="s">
        <v>32</v>
      </c>
      <c r="D4160" s="22"/>
      <c r="E4160" s="22"/>
      <c r="F4160" s="22"/>
      <c r="G4160" s="28"/>
      <c r="H4160" s="29">
        <v>0</v>
      </c>
    </row>
    <row r="4161" spans="3:11" x14ac:dyDescent="0.3">
      <c r="C4161" s="30" t="s">
        <v>33</v>
      </c>
      <c r="D4161" s="31" t="s">
        <v>34</v>
      </c>
      <c r="E4161" s="32"/>
      <c r="F4161" s="32"/>
      <c r="G4161" s="33"/>
      <c r="H4161" s="46">
        <f>H4160+H4158+H4155</f>
        <v>465655</v>
      </c>
      <c r="I4161" s="47"/>
    </row>
    <row r="4162" spans="3:11" x14ac:dyDescent="0.3">
      <c r="C4162" s="30" t="s">
        <v>35</v>
      </c>
      <c r="D4162" s="31" t="s">
        <v>36</v>
      </c>
      <c r="E4162" s="32"/>
      <c r="F4162" s="33"/>
      <c r="G4162" s="34">
        <f>$M$9</f>
        <v>0.1</v>
      </c>
      <c r="H4162" s="19">
        <f>H4161*G4162</f>
        <v>46565.5</v>
      </c>
      <c r="I4162" s="47"/>
    </row>
    <row r="4163" spans="3:11" x14ac:dyDescent="0.3">
      <c r="C4163" s="30" t="s">
        <v>37</v>
      </c>
      <c r="D4163" s="31" t="s">
        <v>38</v>
      </c>
      <c r="E4163" s="32"/>
      <c r="F4163" s="32"/>
      <c r="G4163" s="33"/>
      <c r="H4163" s="48">
        <f>SUM(H4161:H4162)</f>
        <v>512220.5</v>
      </c>
      <c r="I4163" s="47"/>
    </row>
    <row r="4164" spans="3:11" x14ac:dyDescent="0.3">
      <c r="C4164" s="50"/>
      <c r="D4164" s="51"/>
      <c r="E4164" s="51"/>
      <c r="F4164" s="51"/>
      <c r="G4164" s="51"/>
      <c r="H4164" s="52"/>
    </row>
    <row r="4165" spans="3:11" x14ac:dyDescent="0.3">
      <c r="C4165" s="40" t="s">
        <v>799</v>
      </c>
      <c r="D4165" s="68" t="s">
        <v>800</v>
      </c>
      <c r="E4165" s="44"/>
      <c r="F4165" s="44"/>
      <c r="G4165" s="44"/>
      <c r="H4165" s="44"/>
      <c r="I4165" s="10">
        <f>ROUNDDOWN(H4180,0)</f>
        <v>525420</v>
      </c>
      <c r="J4165" s="15" t="s">
        <v>595</v>
      </c>
      <c r="K4165" s="39"/>
    </row>
    <row r="4166" spans="3:11" ht="27.6" x14ac:dyDescent="0.3">
      <c r="C4166" s="11" t="s">
        <v>9</v>
      </c>
      <c r="D4166" s="11" t="s">
        <v>10</v>
      </c>
      <c r="E4166" s="11" t="s">
        <v>11</v>
      </c>
      <c r="F4166" s="11" t="s">
        <v>12</v>
      </c>
      <c r="G4166" s="11" t="s">
        <v>13</v>
      </c>
      <c r="H4166" s="11" t="s">
        <v>14</v>
      </c>
    </row>
    <row r="4167" spans="3:11" x14ac:dyDescent="0.25">
      <c r="C4167" s="12" t="s">
        <v>15</v>
      </c>
      <c r="D4167" s="13" t="s">
        <v>16</v>
      </c>
      <c r="E4167" s="14"/>
      <c r="F4167" s="14"/>
      <c r="G4167" s="14"/>
      <c r="H4167" s="14"/>
    </row>
    <row r="4168" spans="3:11" x14ac:dyDescent="0.3">
      <c r="C4168" s="16">
        <v>1</v>
      </c>
      <c r="D4168" s="13" t="s">
        <v>18</v>
      </c>
      <c r="E4168" s="17" t="s">
        <v>19</v>
      </c>
      <c r="F4168" s="18">
        <v>0.11899999999999999</v>
      </c>
      <c r="G4168" s="19">
        <f>VLOOKUP(D4168,upahbahan,3,FALSE)</f>
        <v>100000</v>
      </c>
      <c r="H4168" s="19">
        <f t="shared" ref="H4168:H4171" si="447">F4168*G4168</f>
        <v>11900</v>
      </c>
    </row>
    <row r="4169" spans="3:11" x14ac:dyDescent="0.3">
      <c r="C4169" s="16">
        <v>2</v>
      </c>
      <c r="D4169" s="13" t="s">
        <v>214</v>
      </c>
      <c r="E4169" s="17" t="s">
        <v>19</v>
      </c>
      <c r="F4169" s="18">
        <v>0.19900000000000001</v>
      </c>
      <c r="G4169" s="19">
        <f>VLOOKUP(D4169,upahbahan,3,FALSE)</f>
        <v>145000</v>
      </c>
      <c r="H4169" s="19">
        <f t="shared" si="447"/>
        <v>28855</v>
      </c>
    </row>
    <row r="4170" spans="3:11" x14ac:dyDescent="0.3">
      <c r="C4170" s="16">
        <v>3</v>
      </c>
      <c r="D4170" s="13" t="s">
        <v>22</v>
      </c>
      <c r="E4170" s="17" t="s">
        <v>19</v>
      </c>
      <c r="F4170" s="18">
        <v>0.02</v>
      </c>
      <c r="G4170" s="19">
        <f>VLOOKUP(D4170,upahbahan,3,FALSE)</f>
        <v>175000</v>
      </c>
      <c r="H4170" s="19">
        <f t="shared" si="447"/>
        <v>3500</v>
      </c>
    </row>
    <row r="4171" spans="3:11" x14ac:dyDescent="0.3">
      <c r="C4171" s="16">
        <v>4</v>
      </c>
      <c r="D4171" s="13" t="s">
        <v>23</v>
      </c>
      <c r="E4171" s="17" t="s">
        <v>19</v>
      </c>
      <c r="F4171" s="18">
        <v>7.0000000000000001E-3</v>
      </c>
      <c r="G4171" s="19">
        <f>VLOOKUP(D4171,upahbahan,3,FALSE)</f>
        <v>200000</v>
      </c>
      <c r="H4171" s="19">
        <f t="shared" si="447"/>
        <v>1400</v>
      </c>
    </row>
    <row r="4172" spans="3:11" x14ac:dyDescent="0.3">
      <c r="C4172" s="21" t="s">
        <v>24</v>
      </c>
      <c r="D4172" s="22"/>
      <c r="E4172" s="22"/>
      <c r="F4172" s="54"/>
      <c r="G4172" s="24"/>
      <c r="H4172" s="19">
        <f>SUM(H4168:H4171)</f>
        <v>45655</v>
      </c>
      <c r="I4172" s="25"/>
    </row>
    <row r="4173" spans="3:11" x14ac:dyDescent="0.25">
      <c r="C4173" s="12" t="s">
        <v>25</v>
      </c>
      <c r="D4173" s="13" t="s">
        <v>26</v>
      </c>
      <c r="E4173" s="14"/>
      <c r="F4173" s="55"/>
      <c r="G4173" s="14"/>
      <c r="H4173" s="14"/>
    </row>
    <row r="4174" spans="3:11" ht="55.2" x14ac:dyDescent="0.3">
      <c r="C4174" s="63" t="s">
        <v>202</v>
      </c>
      <c r="D4174" s="13" t="s">
        <v>801</v>
      </c>
      <c r="E4174" s="27" t="s">
        <v>617</v>
      </c>
      <c r="F4174" s="59">
        <v>1.2</v>
      </c>
      <c r="G4174" s="19">
        <f>VLOOKUP(D4174,upahbahan,3,FALSE)</f>
        <v>360000</v>
      </c>
      <c r="H4174" s="19">
        <f t="shared" ref="H4174" si="448">F4174*G4174</f>
        <v>432000</v>
      </c>
    </row>
    <row r="4175" spans="3:11" x14ac:dyDescent="0.3">
      <c r="C4175" s="21" t="s">
        <v>29</v>
      </c>
      <c r="D4175" s="22"/>
      <c r="E4175" s="22"/>
      <c r="F4175" s="22"/>
      <c r="G4175" s="28"/>
      <c r="H4175" s="19">
        <f>SUM(H4174:H4174)</f>
        <v>432000</v>
      </c>
    </row>
    <row r="4176" spans="3:11" x14ac:dyDescent="0.25">
      <c r="C4176" s="12" t="s">
        <v>30</v>
      </c>
      <c r="D4176" s="13" t="s">
        <v>31</v>
      </c>
      <c r="E4176" s="14"/>
      <c r="F4176" s="14"/>
      <c r="G4176" s="14"/>
      <c r="H4176" s="14"/>
    </row>
    <row r="4177" spans="3:11" x14ac:dyDescent="0.3">
      <c r="C4177" s="21" t="s">
        <v>32</v>
      </c>
      <c r="D4177" s="22"/>
      <c r="E4177" s="22"/>
      <c r="F4177" s="22"/>
      <c r="G4177" s="28"/>
      <c r="H4177" s="29">
        <v>0</v>
      </c>
    </row>
    <row r="4178" spans="3:11" x14ac:dyDescent="0.3">
      <c r="C4178" s="30" t="s">
        <v>33</v>
      </c>
      <c r="D4178" s="31" t="s">
        <v>34</v>
      </c>
      <c r="E4178" s="32"/>
      <c r="F4178" s="32"/>
      <c r="G4178" s="33"/>
      <c r="H4178" s="46">
        <f>H4177+H4175+H4172</f>
        <v>477655</v>
      </c>
      <c r="I4178" s="47"/>
    </row>
    <row r="4179" spans="3:11" x14ac:dyDescent="0.3">
      <c r="C4179" s="30" t="s">
        <v>35</v>
      </c>
      <c r="D4179" s="31" t="s">
        <v>36</v>
      </c>
      <c r="E4179" s="32"/>
      <c r="F4179" s="33"/>
      <c r="G4179" s="34">
        <f>$M$9</f>
        <v>0.1</v>
      </c>
      <c r="H4179" s="19">
        <f>H4178*G4179</f>
        <v>47765.5</v>
      </c>
      <c r="I4179" s="47"/>
    </row>
    <row r="4180" spans="3:11" x14ac:dyDescent="0.3">
      <c r="C4180" s="30" t="s">
        <v>37</v>
      </c>
      <c r="D4180" s="31" t="s">
        <v>38</v>
      </c>
      <c r="E4180" s="32"/>
      <c r="F4180" s="32"/>
      <c r="G4180" s="33"/>
      <c r="H4180" s="48">
        <f>SUM(H4178:H4179)</f>
        <v>525420.5</v>
      </c>
      <c r="I4180" s="47"/>
    </row>
    <row r="4181" spans="3:11" x14ac:dyDescent="0.3">
      <c r="C4181" s="50"/>
      <c r="D4181" s="51"/>
      <c r="E4181" s="51"/>
      <c r="F4181" s="51"/>
      <c r="G4181" s="51"/>
      <c r="H4181" s="52"/>
    </row>
    <row r="4182" spans="3:11" x14ac:dyDescent="0.3">
      <c r="C4182" s="40" t="s">
        <v>802</v>
      </c>
      <c r="D4182" s="68" t="s">
        <v>803</v>
      </c>
      <c r="E4182" s="44"/>
      <c r="F4182" s="44"/>
      <c r="G4182" s="44"/>
      <c r="H4182" s="44"/>
      <c r="I4182" s="10">
        <f>ROUNDDOWN(H4197,0)</f>
        <v>538620</v>
      </c>
      <c r="J4182" s="15" t="s">
        <v>595</v>
      </c>
      <c r="K4182" s="39"/>
    </row>
    <row r="4183" spans="3:11" ht="27.6" x14ac:dyDescent="0.3">
      <c r="C4183" s="11" t="s">
        <v>9</v>
      </c>
      <c r="D4183" s="11" t="s">
        <v>10</v>
      </c>
      <c r="E4183" s="11" t="s">
        <v>11</v>
      </c>
      <c r="F4183" s="11" t="s">
        <v>12</v>
      </c>
      <c r="G4183" s="11" t="s">
        <v>13</v>
      </c>
      <c r="H4183" s="11" t="s">
        <v>14</v>
      </c>
    </row>
    <row r="4184" spans="3:11" x14ac:dyDescent="0.25">
      <c r="C4184" s="12" t="s">
        <v>15</v>
      </c>
      <c r="D4184" s="13" t="s">
        <v>16</v>
      </c>
      <c r="E4184" s="14"/>
      <c r="F4184" s="14"/>
      <c r="G4184" s="14"/>
      <c r="H4184" s="14"/>
    </row>
    <row r="4185" spans="3:11" x14ac:dyDescent="0.3">
      <c r="C4185" s="16">
        <v>1</v>
      </c>
      <c r="D4185" s="13" t="s">
        <v>18</v>
      </c>
      <c r="E4185" s="17" t="s">
        <v>19</v>
      </c>
      <c r="F4185" s="18">
        <v>0.11899999999999999</v>
      </c>
      <c r="G4185" s="19">
        <f>VLOOKUP(D4185,upahbahan,3,FALSE)</f>
        <v>100000</v>
      </c>
      <c r="H4185" s="19">
        <f t="shared" ref="H4185:H4188" si="449">F4185*G4185</f>
        <v>11900</v>
      </c>
    </row>
    <row r="4186" spans="3:11" x14ac:dyDescent="0.3">
      <c r="C4186" s="16">
        <v>2</v>
      </c>
      <c r="D4186" s="13" t="s">
        <v>214</v>
      </c>
      <c r="E4186" s="17" t="s">
        <v>19</v>
      </c>
      <c r="F4186" s="18">
        <v>0.19900000000000001</v>
      </c>
      <c r="G4186" s="19">
        <f>VLOOKUP(D4186,upahbahan,3,FALSE)</f>
        <v>145000</v>
      </c>
      <c r="H4186" s="19">
        <f t="shared" si="449"/>
        <v>28855</v>
      </c>
    </row>
    <row r="4187" spans="3:11" x14ac:dyDescent="0.3">
      <c r="C4187" s="16">
        <v>3</v>
      </c>
      <c r="D4187" s="13" t="s">
        <v>22</v>
      </c>
      <c r="E4187" s="17" t="s">
        <v>19</v>
      </c>
      <c r="F4187" s="18">
        <v>0.02</v>
      </c>
      <c r="G4187" s="19">
        <f>VLOOKUP(D4187,upahbahan,3,FALSE)</f>
        <v>175000</v>
      </c>
      <c r="H4187" s="19">
        <f t="shared" si="449"/>
        <v>3500</v>
      </c>
    </row>
    <row r="4188" spans="3:11" x14ac:dyDescent="0.3">
      <c r="C4188" s="16">
        <v>4</v>
      </c>
      <c r="D4188" s="13" t="s">
        <v>23</v>
      </c>
      <c r="E4188" s="17" t="s">
        <v>19</v>
      </c>
      <c r="F4188" s="18">
        <v>7.0000000000000001E-3</v>
      </c>
      <c r="G4188" s="19">
        <f>VLOOKUP(D4188,upahbahan,3,FALSE)</f>
        <v>200000</v>
      </c>
      <c r="H4188" s="19">
        <f t="shared" si="449"/>
        <v>1400</v>
      </c>
    </row>
    <row r="4189" spans="3:11" x14ac:dyDescent="0.3">
      <c r="C4189" s="21" t="s">
        <v>24</v>
      </c>
      <c r="D4189" s="22"/>
      <c r="E4189" s="22"/>
      <c r="F4189" s="54"/>
      <c r="G4189" s="24"/>
      <c r="H4189" s="19">
        <f>SUM(H4185:H4188)</f>
        <v>45655</v>
      </c>
      <c r="I4189" s="25"/>
    </row>
    <row r="4190" spans="3:11" x14ac:dyDescent="0.25">
      <c r="C4190" s="12" t="s">
        <v>25</v>
      </c>
      <c r="D4190" s="13" t="s">
        <v>26</v>
      </c>
      <c r="E4190" s="14"/>
      <c r="F4190" s="55"/>
      <c r="G4190" s="14"/>
      <c r="H4190" s="14"/>
    </row>
    <row r="4191" spans="3:11" ht="55.2" x14ac:dyDescent="0.3">
      <c r="C4191" s="63" t="s">
        <v>202</v>
      </c>
      <c r="D4191" s="13" t="s">
        <v>804</v>
      </c>
      <c r="E4191" s="27" t="s">
        <v>617</v>
      </c>
      <c r="F4191" s="59">
        <v>1.2</v>
      </c>
      <c r="G4191" s="19">
        <f>VLOOKUP(D4191,upahbahan,3,FALSE)</f>
        <v>370000</v>
      </c>
      <c r="H4191" s="19">
        <f t="shared" ref="H4191" si="450">F4191*G4191</f>
        <v>444000</v>
      </c>
    </row>
    <row r="4192" spans="3:11" x14ac:dyDescent="0.3">
      <c r="C4192" s="21" t="s">
        <v>29</v>
      </c>
      <c r="D4192" s="22"/>
      <c r="E4192" s="22"/>
      <c r="F4192" s="22"/>
      <c r="G4192" s="28"/>
      <c r="H4192" s="19">
        <f>SUM(H4191:H4191)</f>
        <v>444000</v>
      </c>
    </row>
    <row r="4193" spans="3:11" x14ac:dyDescent="0.25">
      <c r="C4193" s="12" t="s">
        <v>30</v>
      </c>
      <c r="D4193" s="13" t="s">
        <v>31</v>
      </c>
      <c r="E4193" s="14"/>
      <c r="F4193" s="14"/>
      <c r="G4193" s="14"/>
      <c r="H4193" s="14"/>
    </row>
    <row r="4194" spans="3:11" x14ac:dyDescent="0.3">
      <c r="C4194" s="21" t="s">
        <v>32</v>
      </c>
      <c r="D4194" s="22"/>
      <c r="E4194" s="22"/>
      <c r="F4194" s="22"/>
      <c r="G4194" s="28"/>
      <c r="H4194" s="29">
        <v>0</v>
      </c>
    </row>
    <row r="4195" spans="3:11" x14ac:dyDescent="0.3">
      <c r="C4195" s="30" t="s">
        <v>33</v>
      </c>
      <c r="D4195" s="31" t="s">
        <v>34</v>
      </c>
      <c r="E4195" s="32"/>
      <c r="F4195" s="32"/>
      <c r="G4195" s="33"/>
      <c r="H4195" s="46">
        <f>H4194+H4192+H4189</f>
        <v>489655</v>
      </c>
      <c r="I4195" s="47"/>
    </row>
    <row r="4196" spans="3:11" x14ac:dyDescent="0.3">
      <c r="C4196" s="30" t="s">
        <v>35</v>
      </c>
      <c r="D4196" s="31" t="s">
        <v>36</v>
      </c>
      <c r="E4196" s="32"/>
      <c r="F4196" s="33"/>
      <c r="G4196" s="34">
        <f>$M$9</f>
        <v>0.1</v>
      </c>
      <c r="H4196" s="19">
        <f>H4195*G4196</f>
        <v>48965.5</v>
      </c>
      <c r="I4196" s="47"/>
    </row>
    <row r="4197" spans="3:11" x14ac:dyDescent="0.3">
      <c r="C4197" s="30" t="s">
        <v>37</v>
      </c>
      <c r="D4197" s="31" t="s">
        <v>38</v>
      </c>
      <c r="E4197" s="32"/>
      <c r="F4197" s="32"/>
      <c r="G4197" s="33"/>
      <c r="H4197" s="48">
        <f>SUM(H4195:H4196)</f>
        <v>538620.5</v>
      </c>
      <c r="I4197" s="47"/>
    </row>
    <row r="4198" spans="3:11" x14ac:dyDescent="0.3">
      <c r="C4198" s="50"/>
      <c r="D4198" s="51"/>
      <c r="E4198" s="51"/>
      <c r="F4198" s="51"/>
      <c r="G4198" s="51"/>
      <c r="H4198" s="52"/>
    </row>
    <row r="4199" spans="3:11" x14ac:dyDescent="0.3">
      <c r="C4199" s="40" t="s">
        <v>805</v>
      </c>
      <c r="D4199" s="68" t="s">
        <v>806</v>
      </c>
      <c r="E4199" s="44"/>
      <c r="F4199" s="44"/>
      <c r="G4199" s="44"/>
      <c r="H4199" s="44"/>
      <c r="I4199" s="10">
        <f>ROUNDDOWN(H4214,0)</f>
        <v>551820</v>
      </c>
      <c r="J4199" s="15" t="s">
        <v>595</v>
      </c>
      <c r="K4199" s="39"/>
    </row>
    <row r="4200" spans="3:11" ht="27.6" x14ac:dyDescent="0.3">
      <c r="C4200" s="11" t="s">
        <v>9</v>
      </c>
      <c r="D4200" s="11" t="s">
        <v>10</v>
      </c>
      <c r="E4200" s="11" t="s">
        <v>11</v>
      </c>
      <c r="F4200" s="11" t="s">
        <v>12</v>
      </c>
      <c r="G4200" s="11" t="s">
        <v>13</v>
      </c>
      <c r="H4200" s="11" t="s">
        <v>14</v>
      </c>
    </row>
    <row r="4201" spans="3:11" x14ac:dyDescent="0.25">
      <c r="C4201" s="12" t="s">
        <v>15</v>
      </c>
      <c r="D4201" s="13" t="s">
        <v>16</v>
      </c>
      <c r="E4201" s="14"/>
      <c r="F4201" s="14"/>
      <c r="G4201" s="14"/>
      <c r="H4201" s="14"/>
    </row>
    <row r="4202" spans="3:11" x14ac:dyDescent="0.3">
      <c r="C4202" s="16">
        <v>1</v>
      </c>
      <c r="D4202" s="13" t="s">
        <v>18</v>
      </c>
      <c r="E4202" s="17" t="s">
        <v>19</v>
      </c>
      <c r="F4202" s="18">
        <v>0.11899999999999999</v>
      </c>
      <c r="G4202" s="19">
        <f>VLOOKUP(D4202,upahbahan,3,FALSE)</f>
        <v>100000</v>
      </c>
      <c r="H4202" s="19">
        <f t="shared" ref="H4202:H4205" si="451">F4202*G4202</f>
        <v>11900</v>
      </c>
    </row>
    <row r="4203" spans="3:11" x14ac:dyDescent="0.3">
      <c r="C4203" s="16">
        <v>2</v>
      </c>
      <c r="D4203" s="13" t="s">
        <v>214</v>
      </c>
      <c r="E4203" s="17" t="s">
        <v>19</v>
      </c>
      <c r="F4203" s="18">
        <v>0.19900000000000001</v>
      </c>
      <c r="G4203" s="19">
        <f>VLOOKUP(D4203,upahbahan,3,FALSE)</f>
        <v>145000</v>
      </c>
      <c r="H4203" s="19">
        <f t="shared" si="451"/>
        <v>28855</v>
      </c>
    </row>
    <row r="4204" spans="3:11" x14ac:dyDescent="0.3">
      <c r="C4204" s="16">
        <v>3</v>
      </c>
      <c r="D4204" s="13" t="s">
        <v>22</v>
      </c>
      <c r="E4204" s="17" t="s">
        <v>19</v>
      </c>
      <c r="F4204" s="18">
        <v>0.02</v>
      </c>
      <c r="G4204" s="19">
        <f>VLOOKUP(D4204,upahbahan,3,FALSE)</f>
        <v>175000</v>
      </c>
      <c r="H4204" s="19">
        <f t="shared" si="451"/>
        <v>3500</v>
      </c>
    </row>
    <row r="4205" spans="3:11" x14ac:dyDescent="0.3">
      <c r="C4205" s="16">
        <v>4</v>
      </c>
      <c r="D4205" s="13" t="s">
        <v>23</v>
      </c>
      <c r="E4205" s="17" t="s">
        <v>19</v>
      </c>
      <c r="F4205" s="18">
        <v>7.0000000000000001E-3</v>
      </c>
      <c r="G4205" s="19">
        <f>VLOOKUP(D4205,upahbahan,3,FALSE)</f>
        <v>200000</v>
      </c>
      <c r="H4205" s="19">
        <f t="shared" si="451"/>
        <v>1400</v>
      </c>
    </row>
    <row r="4206" spans="3:11" x14ac:dyDescent="0.3">
      <c r="C4206" s="21" t="s">
        <v>24</v>
      </c>
      <c r="D4206" s="22"/>
      <c r="E4206" s="22"/>
      <c r="F4206" s="54"/>
      <c r="G4206" s="24"/>
      <c r="H4206" s="19">
        <f>SUM(H4202:H4205)</f>
        <v>45655</v>
      </c>
      <c r="I4206" s="25"/>
    </row>
    <row r="4207" spans="3:11" x14ac:dyDescent="0.25">
      <c r="C4207" s="12" t="s">
        <v>25</v>
      </c>
      <c r="D4207" s="13" t="s">
        <v>26</v>
      </c>
      <c r="E4207" s="14"/>
      <c r="F4207" s="55"/>
      <c r="G4207" s="14"/>
      <c r="H4207" s="14"/>
    </row>
    <row r="4208" spans="3:11" ht="41.4" x14ac:dyDescent="0.3">
      <c r="C4208" s="63" t="s">
        <v>202</v>
      </c>
      <c r="D4208" s="13" t="s">
        <v>807</v>
      </c>
      <c r="E4208" s="27" t="s">
        <v>617</v>
      </c>
      <c r="F4208" s="59">
        <v>1.2</v>
      </c>
      <c r="G4208" s="19">
        <f>VLOOKUP(D4208,upahbahan,3,FALSE)</f>
        <v>380000</v>
      </c>
      <c r="H4208" s="19">
        <f t="shared" ref="H4208" si="452">F4208*G4208</f>
        <v>456000</v>
      </c>
    </row>
    <row r="4209" spans="3:11" x14ac:dyDescent="0.3">
      <c r="C4209" s="21" t="s">
        <v>29</v>
      </c>
      <c r="D4209" s="22"/>
      <c r="E4209" s="22"/>
      <c r="F4209" s="22"/>
      <c r="G4209" s="28"/>
      <c r="H4209" s="19">
        <f>SUM(H4208:H4208)</f>
        <v>456000</v>
      </c>
    </row>
    <row r="4210" spans="3:11" x14ac:dyDescent="0.25">
      <c r="C4210" s="12" t="s">
        <v>30</v>
      </c>
      <c r="D4210" s="13" t="s">
        <v>31</v>
      </c>
      <c r="E4210" s="14"/>
      <c r="F4210" s="14"/>
      <c r="G4210" s="14"/>
      <c r="H4210" s="14"/>
    </row>
    <row r="4211" spans="3:11" x14ac:dyDescent="0.3">
      <c r="C4211" s="21" t="s">
        <v>32</v>
      </c>
      <c r="D4211" s="22"/>
      <c r="E4211" s="22"/>
      <c r="F4211" s="22"/>
      <c r="G4211" s="28"/>
      <c r="H4211" s="29">
        <v>0</v>
      </c>
    </row>
    <row r="4212" spans="3:11" x14ac:dyDescent="0.3">
      <c r="C4212" s="30" t="s">
        <v>33</v>
      </c>
      <c r="D4212" s="31" t="s">
        <v>34</v>
      </c>
      <c r="E4212" s="32"/>
      <c r="F4212" s="32"/>
      <c r="G4212" s="33"/>
      <c r="H4212" s="46">
        <f>H4211+H4209+H4206</f>
        <v>501655</v>
      </c>
      <c r="I4212" s="47"/>
    </row>
    <row r="4213" spans="3:11" x14ac:dyDescent="0.3">
      <c r="C4213" s="30" t="s">
        <v>35</v>
      </c>
      <c r="D4213" s="31" t="s">
        <v>36</v>
      </c>
      <c r="E4213" s="32"/>
      <c r="F4213" s="33"/>
      <c r="G4213" s="34">
        <f>$M$9</f>
        <v>0.1</v>
      </c>
      <c r="H4213" s="19">
        <f>H4212*G4213</f>
        <v>50165.5</v>
      </c>
      <c r="I4213" s="47"/>
    </row>
    <row r="4214" spans="3:11" x14ac:dyDescent="0.3">
      <c r="C4214" s="30" t="s">
        <v>37</v>
      </c>
      <c r="D4214" s="31" t="s">
        <v>38</v>
      </c>
      <c r="E4214" s="32"/>
      <c r="F4214" s="32"/>
      <c r="G4214" s="33"/>
      <c r="H4214" s="48">
        <f>SUM(H4212:H4213)</f>
        <v>551820.5</v>
      </c>
      <c r="I4214" s="47"/>
    </row>
    <row r="4215" spans="3:11" x14ac:dyDescent="0.3">
      <c r="C4215" s="50"/>
      <c r="D4215" s="51"/>
      <c r="E4215" s="51"/>
      <c r="F4215" s="51"/>
      <c r="G4215" s="51"/>
      <c r="H4215" s="52"/>
    </row>
    <row r="4216" spans="3:11" x14ac:dyDescent="0.3">
      <c r="C4216" s="40" t="s">
        <v>808</v>
      </c>
      <c r="D4216" s="68" t="s">
        <v>809</v>
      </c>
      <c r="E4216" s="44"/>
      <c r="F4216" s="44"/>
      <c r="G4216" s="44"/>
      <c r="H4216" s="44"/>
      <c r="I4216" s="10">
        <f>ROUNDDOWN(H4231,0)</f>
        <v>485820</v>
      </c>
      <c r="J4216" s="15" t="s">
        <v>595</v>
      </c>
      <c r="K4216" s="39"/>
    </row>
    <row r="4217" spans="3:11" ht="27.6" x14ac:dyDescent="0.3">
      <c r="C4217" s="11" t="s">
        <v>9</v>
      </c>
      <c r="D4217" s="11" t="s">
        <v>10</v>
      </c>
      <c r="E4217" s="11" t="s">
        <v>11</v>
      </c>
      <c r="F4217" s="11" t="s">
        <v>12</v>
      </c>
      <c r="G4217" s="11" t="s">
        <v>13</v>
      </c>
      <c r="H4217" s="11" t="s">
        <v>14</v>
      </c>
    </row>
    <row r="4218" spans="3:11" x14ac:dyDescent="0.25">
      <c r="C4218" s="12" t="s">
        <v>15</v>
      </c>
      <c r="D4218" s="13" t="s">
        <v>16</v>
      </c>
      <c r="E4218" s="14"/>
      <c r="F4218" s="14"/>
      <c r="G4218" s="14"/>
      <c r="H4218" s="14"/>
    </row>
    <row r="4219" spans="3:11" x14ac:dyDescent="0.3">
      <c r="C4219" s="16">
        <v>1</v>
      </c>
      <c r="D4219" s="13" t="s">
        <v>18</v>
      </c>
      <c r="E4219" s="17" t="s">
        <v>19</v>
      </c>
      <c r="F4219" s="18">
        <v>0.11899999999999999</v>
      </c>
      <c r="G4219" s="19">
        <f>VLOOKUP(D4219,upahbahan,3,FALSE)</f>
        <v>100000</v>
      </c>
      <c r="H4219" s="19">
        <f t="shared" ref="H4219:H4222" si="453">F4219*G4219</f>
        <v>11900</v>
      </c>
    </row>
    <row r="4220" spans="3:11" x14ac:dyDescent="0.3">
      <c r="C4220" s="16">
        <v>2</v>
      </c>
      <c r="D4220" s="13" t="s">
        <v>214</v>
      </c>
      <c r="E4220" s="17" t="s">
        <v>19</v>
      </c>
      <c r="F4220" s="18">
        <v>0.19900000000000001</v>
      </c>
      <c r="G4220" s="19">
        <f>VLOOKUP(D4220,upahbahan,3,FALSE)</f>
        <v>145000</v>
      </c>
      <c r="H4220" s="19">
        <f t="shared" si="453"/>
        <v>28855</v>
      </c>
    </row>
    <row r="4221" spans="3:11" x14ac:dyDescent="0.3">
      <c r="C4221" s="16">
        <v>3</v>
      </c>
      <c r="D4221" s="13" t="s">
        <v>22</v>
      </c>
      <c r="E4221" s="17" t="s">
        <v>19</v>
      </c>
      <c r="F4221" s="18">
        <v>0.02</v>
      </c>
      <c r="G4221" s="19">
        <f>VLOOKUP(D4221,upahbahan,3,FALSE)</f>
        <v>175000</v>
      </c>
      <c r="H4221" s="19">
        <f t="shared" si="453"/>
        <v>3500</v>
      </c>
    </row>
    <row r="4222" spans="3:11" x14ac:dyDescent="0.3">
      <c r="C4222" s="16">
        <v>4</v>
      </c>
      <c r="D4222" s="13" t="s">
        <v>23</v>
      </c>
      <c r="E4222" s="17" t="s">
        <v>19</v>
      </c>
      <c r="F4222" s="18">
        <v>7.0000000000000001E-3</v>
      </c>
      <c r="G4222" s="19">
        <f>VLOOKUP(D4222,upahbahan,3,FALSE)</f>
        <v>200000</v>
      </c>
      <c r="H4222" s="19">
        <f t="shared" si="453"/>
        <v>1400</v>
      </c>
    </row>
    <row r="4223" spans="3:11" x14ac:dyDescent="0.3">
      <c r="C4223" s="21" t="s">
        <v>24</v>
      </c>
      <c r="D4223" s="22"/>
      <c r="E4223" s="22"/>
      <c r="F4223" s="54"/>
      <c r="G4223" s="24"/>
      <c r="H4223" s="19">
        <f>SUM(H4219:H4222)</f>
        <v>45655</v>
      </c>
      <c r="I4223" s="25"/>
    </row>
    <row r="4224" spans="3:11" x14ac:dyDescent="0.25">
      <c r="C4224" s="12" t="s">
        <v>25</v>
      </c>
      <c r="D4224" s="13" t="s">
        <v>26</v>
      </c>
      <c r="E4224" s="14"/>
      <c r="F4224" s="55"/>
      <c r="G4224" s="14"/>
      <c r="H4224" s="14"/>
    </row>
    <row r="4225" spans="3:11" ht="55.2" x14ac:dyDescent="0.3">
      <c r="C4225" s="63" t="s">
        <v>202</v>
      </c>
      <c r="D4225" s="13" t="s">
        <v>810</v>
      </c>
      <c r="E4225" s="27" t="s">
        <v>617</v>
      </c>
      <c r="F4225" s="59">
        <v>1.2</v>
      </c>
      <c r="G4225" s="19">
        <f>VLOOKUP(D4225,upahbahan,3,FALSE)</f>
        <v>330000</v>
      </c>
      <c r="H4225" s="19">
        <f t="shared" ref="H4225" si="454">F4225*G4225</f>
        <v>396000</v>
      </c>
    </row>
    <row r="4226" spans="3:11" x14ac:dyDescent="0.3">
      <c r="C4226" s="21" t="s">
        <v>29</v>
      </c>
      <c r="D4226" s="22"/>
      <c r="E4226" s="22"/>
      <c r="F4226" s="22"/>
      <c r="G4226" s="28"/>
      <c r="H4226" s="19">
        <f>SUM(H4225:H4225)</f>
        <v>396000</v>
      </c>
    </row>
    <row r="4227" spans="3:11" x14ac:dyDescent="0.25">
      <c r="C4227" s="12" t="s">
        <v>30</v>
      </c>
      <c r="D4227" s="13" t="s">
        <v>31</v>
      </c>
      <c r="E4227" s="14"/>
      <c r="F4227" s="14"/>
      <c r="G4227" s="14"/>
      <c r="H4227" s="14"/>
    </row>
    <row r="4228" spans="3:11" x14ac:dyDescent="0.3">
      <c r="C4228" s="21" t="s">
        <v>32</v>
      </c>
      <c r="D4228" s="22"/>
      <c r="E4228" s="22"/>
      <c r="F4228" s="22"/>
      <c r="G4228" s="28"/>
      <c r="H4228" s="29">
        <v>0</v>
      </c>
    </row>
    <row r="4229" spans="3:11" x14ac:dyDescent="0.3">
      <c r="C4229" s="30" t="s">
        <v>33</v>
      </c>
      <c r="D4229" s="31" t="s">
        <v>34</v>
      </c>
      <c r="E4229" s="32"/>
      <c r="F4229" s="32"/>
      <c r="G4229" s="33"/>
      <c r="H4229" s="46">
        <f>H4228+H4226+H4223</f>
        <v>441655</v>
      </c>
      <c r="I4229" s="47"/>
    </row>
    <row r="4230" spans="3:11" x14ac:dyDescent="0.3">
      <c r="C4230" s="30" t="s">
        <v>35</v>
      </c>
      <c r="D4230" s="31" t="s">
        <v>36</v>
      </c>
      <c r="E4230" s="32"/>
      <c r="F4230" s="33"/>
      <c r="G4230" s="34">
        <f>$M$9</f>
        <v>0.1</v>
      </c>
      <c r="H4230" s="19">
        <f>H4229*G4230</f>
        <v>44165.5</v>
      </c>
      <c r="I4230" s="47"/>
    </row>
    <row r="4231" spans="3:11" x14ac:dyDescent="0.3">
      <c r="C4231" s="30" t="s">
        <v>37</v>
      </c>
      <c r="D4231" s="31" t="s">
        <v>38</v>
      </c>
      <c r="E4231" s="32"/>
      <c r="F4231" s="32"/>
      <c r="G4231" s="33"/>
      <c r="H4231" s="48">
        <f>SUM(H4229:H4230)</f>
        <v>485820.5</v>
      </c>
      <c r="I4231" s="47"/>
    </row>
    <row r="4232" spans="3:11" x14ac:dyDescent="0.3">
      <c r="C4232" s="50"/>
      <c r="D4232" s="51"/>
      <c r="E4232" s="51"/>
      <c r="F4232" s="51"/>
      <c r="G4232" s="51"/>
      <c r="H4232" s="52"/>
    </row>
    <row r="4233" spans="3:11" x14ac:dyDescent="0.3">
      <c r="C4233" s="40" t="s">
        <v>811</v>
      </c>
      <c r="D4233" s="68" t="s">
        <v>812</v>
      </c>
      <c r="E4233" s="44"/>
      <c r="F4233" s="44"/>
      <c r="G4233" s="44"/>
      <c r="H4233" s="44"/>
      <c r="I4233" s="10">
        <f>ROUNDDOWN(H4248,0)</f>
        <v>499020</v>
      </c>
      <c r="J4233" s="15" t="s">
        <v>595</v>
      </c>
      <c r="K4233" s="39"/>
    </row>
    <row r="4234" spans="3:11" ht="27.6" x14ac:dyDescent="0.3">
      <c r="C4234" s="11" t="s">
        <v>9</v>
      </c>
      <c r="D4234" s="11" t="s">
        <v>10</v>
      </c>
      <c r="E4234" s="11" t="s">
        <v>11</v>
      </c>
      <c r="F4234" s="11" t="s">
        <v>12</v>
      </c>
      <c r="G4234" s="11" t="s">
        <v>13</v>
      </c>
      <c r="H4234" s="11" t="s">
        <v>14</v>
      </c>
    </row>
    <row r="4235" spans="3:11" x14ac:dyDescent="0.25">
      <c r="C4235" s="12" t="s">
        <v>15</v>
      </c>
      <c r="D4235" s="13" t="s">
        <v>16</v>
      </c>
      <c r="E4235" s="14"/>
      <c r="F4235" s="14"/>
      <c r="G4235" s="14"/>
      <c r="H4235" s="14"/>
    </row>
    <row r="4236" spans="3:11" x14ac:dyDescent="0.3">
      <c r="C4236" s="16">
        <v>1</v>
      </c>
      <c r="D4236" s="13" t="s">
        <v>18</v>
      </c>
      <c r="E4236" s="17" t="s">
        <v>19</v>
      </c>
      <c r="F4236" s="18">
        <v>0.11899999999999999</v>
      </c>
      <c r="G4236" s="19">
        <f>VLOOKUP(D4236,upahbahan,3,FALSE)</f>
        <v>100000</v>
      </c>
      <c r="H4236" s="19">
        <f t="shared" ref="H4236:H4239" si="455">F4236*G4236</f>
        <v>11900</v>
      </c>
    </row>
    <row r="4237" spans="3:11" x14ac:dyDescent="0.3">
      <c r="C4237" s="16">
        <v>2</v>
      </c>
      <c r="D4237" s="13" t="s">
        <v>214</v>
      </c>
      <c r="E4237" s="17" t="s">
        <v>19</v>
      </c>
      <c r="F4237" s="18">
        <v>0.19900000000000001</v>
      </c>
      <c r="G4237" s="19">
        <f>VLOOKUP(D4237,upahbahan,3,FALSE)</f>
        <v>145000</v>
      </c>
      <c r="H4237" s="19">
        <f t="shared" si="455"/>
        <v>28855</v>
      </c>
    </row>
    <row r="4238" spans="3:11" x14ac:dyDescent="0.3">
      <c r="C4238" s="16">
        <v>3</v>
      </c>
      <c r="D4238" s="13" t="s">
        <v>22</v>
      </c>
      <c r="E4238" s="17" t="s">
        <v>19</v>
      </c>
      <c r="F4238" s="18">
        <v>0.02</v>
      </c>
      <c r="G4238" s="19">
        <f>VLOOKUP(D4238,upahbahan,3,FALSE)</f>
        <v>175000</v>
      </c>
      <c r="H4238" s="19">
        <f t="shared" si="455"/>
        <v>3500</v>
      </c>
    </row>
    <row r="4239" spans="3:11" x14ac:dyDescent="0.3">
      <c r="C4239" s="16">
        <v>4</v>
      </c>
      <c r="D4239" s="13" t="s">
        <v>23</v>
      </c>
      <c r="E4239" s="17" t="s">
        <v>19</v>
      </c>
      <c r="F4239" s="18">
        <v>7.0000000000000001E-3</v>
      </c>
      <c r="G4239" s="19">
        <f>VLOOKUP(D4239,upahbahan,3,FALSE)</f>
        <v>200000</v>
      </c>
      <c r="H4239" s="19">
        <f t="shared" si="455"/>
        <v>1400</v>
      </c>
    </row>
    <row r="4240" spans="3:11" x14ac:dyDescent="0.3">
      <c r="C4240" s="21" t="s">
        <v>24</v>
      </c>
      <c r="D4240" s="22"/>
      <c r="E4240" s="22"/>
      <c r="F4240" s="54"/>
      <c r="G4240" s="24"/>
      <c r="H4240" s="19">
        <f>SUM(H4236:H4239)</f>
        <v>45655</v>
      </c>
      <c r="I4240" s="25"/>
    </row>
    <row r="4241" spans="3:11" x14ac:dyDescent="0.25">
      <c r="C4241" s="12" t="s">
        <v>25</v>
      </c>
      <c r="D4241" s="13" t="s">
        <v>26</v>
      </c>
      <c r="E4241" s="14"/>
      <c r="F4241" s="55"/>
      <c r="G4241" s="14"/>
      <c r="H4241" s="14"/>
    </row>
    <row r="4242" spans="3:11" ht="41.4" x14ac:dyDescent="0.3">
      <c r="C4242" s="63" t="s">
        <v>202</v>
      </c>
      <c r="D4242" s="13" t="s">
        <v>813</v>
      </c>
      <c r="E4242" s="27" t="s">
        <v>617</v>
      </c>
      <c r="F4242" s="59">
        <v>1.2</v>
      </c>
      <c r="G4242" s="19">
        <f>VLOOKUP(D4242,upahbahan,3,FALSE)</f>
        <v>340000</v>
      </c>
      <c r="H4242" s="19">
        <f t="shared" ref="H4242" si="456">F4242*G4242</f>
        <v>408000</v>
      </c>
    </row>
    <row r="4243" spans="3:11" x14ac:dyDescent="0.3">
      <c r="C4243" s="21" t="s">
        <v>29</v>
      </c>
      <c r="D4243" s="22"/>
      <c r="E4243" s="22"/>
      <c r="F4243" s="22"/>
      <c r="G4243" s="28"/>
      <c r="H4243" s="19">
        <f>SUM(H4242:H4242)</f>
        <v>408000</v>
      </c>
    </row>
    <row r="4244" spans="3:11" x14ac:dyDescent="0.25">
      <c r="C4244" s="12" t="s">
        <v>30</v>
      </c>
      <c r="D4244" s="13" t="s">
        <v>31</v>
      </c>
      <c r="E4244" s="14"/>
      <c r="F4244" s="14"/>
      <c r="G4244" s="14"/>
      <c r="H4244" s="14"/>
    </row>
    <row r="4245" spans="3:11" x14ac:dyDescent="0.3">
      <c r="C4245" s="21" t="s">
        <v>32</v>
      </c>
      <c r="D4245" s="22"/>
      <c r="E4245" s="22"/>
      <c r="F4245" s="22"/>
      <c r="G4245" s="28"/>
      <c r="H4245" s="29">
        <v>0</v>
      </c>
    </row>
    <row r="4246" spans="3:11" x14ac:dyDescent="0.3">
      <c r="C4246" s="30" t="s">
        <v>33</v>
      </c>
      <c r="D4246" s="31" t="s">
        <v>34</v>
      </c>
      <c r="E4246" s="32"/>
      <c r="F4246" s="32"/>
      <c r="G4246" s="33"/>
      <c r="H4246" s="46">
        <f>H4245+H4243+H4240</f>
        <v>453655</v>
      </c>
      <c r="I4246" s="47"/>
    </row>
    <row r="4247" spans="3:11" x14ac:dyDescent="0.3">
      <c r="C4247" s="30" t="s">
        <v>35</v>
      </c>
      <c r="D4247" s="31" t="s">
        <v>36</v>
      </c>
      <c r="E4247" s="32"/>
      <c r="F4247" s="33"/>
      <c r="G4247" s="34">
        <f>$M$9</f>
        <v>0.1</v>
      </c>
      <c r="H4247" s="19">
        <f>H4246*G4247</f>
        <v>45365.5</v>
      </c>
      <c r="I4247" s="47"/>
    </row>
    <row r="4248" spans="3:11" x14ac:dyDescent="0.3">
      <c r="C4248" s="30" t="s">
        <v>37</v>
      </c>
      <c r="D4248" s="31" t="s">
        <v>38</v>
      </c>
      <c r="E4248" s="32"/>
      <c r="F4248" s="32"/>
      <c r="G4248" s="33"/>
      <c r="H4248" s="48">
        <f>SUM(H4246:H4247)</f>
        <v>499020.5</v>
      </c>
      <c r="I4248" s="47"/>
    </row>
    <row r="4249" spans="3:11" x14ac:dyDescent="0.3">
      <c r="C4249" s="50"/>
      <c r="D4249" s="51"/>
      <c r="E4249" s="51"/>
      <c r="F4249" s="51"/>
      <c r="G4249" s="51"/>
      <c r="H4249" s="52"/>
    </row>
    <row r="4250" spans="3:11" x14ac:dyDescent="0.3">
      <c r="C4250" s="40" t="s">
        <v>814</v>
      </c>
      <c r="D4250" s="68" t="s">
        <v>815</v>
      </c>
      <c r="E4250" s="44"/>
      <c r="F4250" s="44"/>
      <c r="G4250" s="44"/>
      <c r="H4250" s="44"/>
      <c r="I4250" s="10">
        <f>ROUNDDOWN(H4265,0)</f>
        <v>512220</v>
      </c>
      <c r="J4250" s="15" t="s">
        <v>595</v>
      </c>
      <c r="K4250" s="39"/>
    </row>
    <row r="4251" spans="3:11" ht="27.6" x14ac:dyDescent="0.3">
      <c r="C4251" s="11" t="s">
        <v>9</v>
      </c>
      <c r="D4251" s="11" t="s">
        <v>10</v>
      </c>
      <c r="E4251" s="11" t="s">
        <v>11</v>
      </c>
      <c r="F4251" s="11" t="s">
        <v>12</v>
      </c>
      <c r="G4251" s="11" t="s">
        <v>13</v>
      </c>
      <c r="H4251" s="11" t="s">
        <v>14</v>
      </c>
    </row>
    <row r="4252" spans="3:11" x14ac:dyDescent="0.25">
      <c r="C4252" s="12" t="s">
        <v>15</v>
      </c>
      <c r="D4252" s="13" t="s">
        <v>16</v>
      </c>
      <c r="E4252" s="14"/>
      <c r="F4252" s="14"/>
      <c r="G4252" s="14"/>
      <c r="H4252" s="14"/>
    </row>
    <row r="4253" spans="3:11" x14ac:dyDescent="0.3">
      <c r="C4253" s="16">
        <v>1</v>
      </c>
      <c r="D4253" s="13" t="s">
        <v>18</v>
      </c>
      <c r="E4253" s="17" t="s">
        <v>19</v>
      </c>
      <c r="F4253" s="18">
        <v>0.11899999999999999</v>
      </c>
      <c r="G4253" s="19">
        <f>VLOOKUP(D4253,upahbahan,3,FALSE)</f>
        <v>100000</v>
      </c>
      <c r="H4253" s="19">
        <f t="shared" ref="H4253:H4256" si="457">F4253*G4253</f>
        <v>11900</v>
      </c>
    </row>
    <row r="4254" spans="3:11" x14ac:dyDescent="0.3">
      <c r="C4254" s="16">
        <v>2</v>
      </c>
      <c r="D4254" s="13" t="s">
        <v>214</v>
      </c>
      <c r="E4254" s="17" t="s">
        <v>19</v>
      </c>
      <c r="F4254" s="18">
        <v>0.19900000000000001</v>
      </c>
      <c r="G4254" s="19">
        <f>VLOOKUP(D4254,upahbahan,3,FALSE)</f>
        <v>145000</v>
      </c>
      <c r="H4254" s="19">
        <f t="shared" si="457"/>
        <v>28855</v>
      </c>
    </row>
    <row r="4255" spans="3:11" x14ac:dyDescent="0.3">
      <c r="C4255" s="16">
        <v>3</v>
      </c>
      <c r="D4255" s="13" t="s">
        <v>22</v>
      </c>
      <c r="E4255" s="17" t="s">
        <v>19</v>
      </c>
      <c r="F4255" s="18">
        <v>0.02</v>
      </c>
      <c r="G4255" s="19">
        <f>VLOOKUP(D4255,upahbahan,3,FALSE)</f>
        <v>175000</v>
      </c>
      <c r="H4255" s="19">
        <f t="shared" si="457"/>
        <v>3500</v>
      </c>
    </row>
    <row r="4256" spans="3:11" x14ac:dyDescent="0.3">
      <c r="C4256" s="16">
        <v>4</v>
      </c>
      <c r="D4256" s="13" t="s">
        <v>23</v>
      </c>
      <c r="E4256" s="17" t="s">
        <v>19</v>
      </c>
      <c r="F4256" s="18">
        <v>7.0000000000000001E-3</v>
      </c>
      <c r="G4256" s="19">
        <f>VLOOKUP(D4256,upahbahan,3,FALSE)</f>
        <v>200000</v>
      </c>
      <c r="H4256" s="19">
        <f t="shared" si="457"/>
        <v>1400</v>
      </c>
    </row>
    <row r="4257" spans="3:11" x14ac:dyDescent="0.3">
      <c r="C4257" s="21" t="s">
        <v>24</v>
      </c>
      <c r="D4257" s="22"/>
      <c r="E4257" s="22"/>
      <c r="F4257" s="54"/>
      <c r="G4257" s="24"/>
      <c r="H4257" s="19">
        <f>SUM(H4253:H4256)</f>
        <v>45655</v>
      </c>
      <c r="I4257" s="25"/>
    </row>
    <row r="4258" spans="3:11" x14ac:dyDescent="0.25">
      <c r="C4258" s="12" t="s">
        <v>25</v>
      </c>
      <c r="D4258" s="13" t="s">
        <v>26</v>
      </c>
      <c r="E4258" s="14"/>
      <c r="F4258" s="55"/>
      <c r="G4258" s="14"/>
      <c r="H4258" s="14"/>
    </row>
    <row r="4259" spans="3:11" ht="55.2" x14ac:dyDescent="0.3">
      <c r="C4259" s="63" t="s">
        <v>202</v>
      </c>
      <c r="D4259" s="13" t="s">
        <v>816</v>
      </c>
      <c r="E4259" s="27" t="s">
        <v>617</v>
      </c>
      <c r="F4259" s="59">
        <v>1.2</v>
      </c>
      <c r="G4259" s="19">
        <f>VLOOKUP(D4259,upahbahan,3,FALSE)</f>
        <v>350000</v>
      </c>
      <c r="H4259" s="19">
        <f t="shared" ref="H4259" si="458">F4259*G4259</f>
        <v>420000</v>
      </c>
    </row>
    <row r="4260" spans="3:11" x14ac:dyDescent="0.3">
      <c r="C4260" s="21" t="s">
        <v>29</v>
      </c>
      <c r="D4260" s="22"/>
      <c r="E4260" s="22"/>
      <c r="F4260" s="22"/>
      <c r="G4260" s="28"/>
      <c r="H4260" s="19">
        <f>SUM(H4259:H4259)</f>
        <v>420000</v>
      </c>
    </row>
    <row r="4261" spans="3:11" x14ac:dyDescent="0.25">
      <c r="C4261" s="12" t="s">
        <v>30</v>
      </c>
      <c r="D4261" s="13" t="s">
        <v>31</v>
      </c>
      <c r="E4261" s="14"/>
      <c r="F4261" s="14"/>
      <c r="G4261" s="14"/>
      <c r="H4261" s="14"/>
    </row>
    <row r="4262" spans="3:11" x14ac:dyDescent="0.3">
      <c r="C4262" s="21" t="s">
        <v>32</v>
      </c>
      <c r="D4262" s="22"/>
      <c r="E4262" s="22"/>
      <c r="F4262" s="22"/>
      <c r="G4262" s="28"/>
      <c r="H4262" s="29">
        <v>0</v>
      </c>
    </row>
    <row r="4263" spans="3:11" x14ac:dyDescent="0.3">
      <c r="C4263" s="30" t="s">
        <v>33</v>
      </c>
      <c r="D4263" s="31" t="s">
        <v>34</v>
      </c>
      <c r="E4263" s="32"/>
      <c r="F4263" s="32"/>
      <c r="G4263" s="33"/>
      <c r="H4263" s="46">
        <f>H4262+H4260+H4257</f>
        <v>465655</v>
      </c>
      <c r="I4263" s="47"/>
    </row>
    <row r="4264" spans="3:11" x14ac:dyDescent="0.3">
      <c r="C4264" s="30" t="s">
        <v>35</v>
      </c>
      <c r="D4264" s="31" t="s">
        <v>36</v>
      </c>
      <c r="E4264" s="32"/>
      <c r="F4264" s="33"/>
      <c r="G4264" s="34">
        <f>$M$9</f>
        <v>0.1</v>
      </c>
      <c r="H4264" s="19">
        <f>H4263*G4264</f>
        <v>46565.5</v>
      </c>
      <c r="I4264" s="47"/>
    </row>
    <row r="4265" spans="3:11" x14ac:dyDescent="0.3">
      <c r="C4265" s="30" t="s">
        <v>37</v>
      </c>
      <c r="D4265" s="31" t="s">
        <v>38</v>
      </c>
      <c r="E4265" s="32"/>
      <c r="F4265" s="32"/>
      <c r="G4265" s="33"/>
      <c r="H4265" s="48">
        <f>SUM(H4263:H4264)</f>
        <v>512220.5</v>
      </c>
      <c r="I4265" s="47"/>
    </row>
    <row r="4266" spans="3:11" x14ac:dyDescent="0.3">
      <c r="C4266" s="50"/>
      <c r="D4266" s="51"/>
      <c r="E4266" s="51"/>
      <c r="F4266" s="51"/>
      <c r="G4266" s="51"/>
      <c r="H4266" s="52"/>
    </row>
    <row r="4267" spans="3:11" x14ac:dyDescent="0.3">
      <c r="C4267" s="40" t="s">
        <v>817</v>
      </c>
      <c r="D4267" s="68" t="s">
        <v>818</v>
      </c>
      <c r="E4267" s="44"/>
      <c r="F4267" s="44"/>
      <c r="G4267" s="44"/>
      <c r="H4267" s="44"/>
      <c r="I4267" s="10">
        <f>ROUNDDOWN(H4282,0)</f>
        <v>525420</v>
      </c>
      <c r="J4267" s="15" t="s">
        <v>595</v>
      </c>
      <c r="K4267" s="39"/>
    </row>
    <row r="4268" spans="3:11" ht="27.6" x14ac:dyDescent="0.3">
      <c r="C4268" s="11" t="s">
        <v>9</v>
      </c>
      <c r="D4268" s="11" t="s">
        <v>10</v>
      </c>
      <c r="E4268" s="11" t="s">
        <v>11</v>
      </c>
      <c r="F4268" s="11" t="s">
        <v>12</v>
      </c>
      <c r="G4268" s="11" t="s">
        <v>13</v>
      </c>
      <c r="H4268" s="11" t="s">
        <v>14</v>
      </c>
    </row>
    <row r="4269" spans="3:11" x14ac:dyDescent="0.25">
      <c r="C4269" s="12" t="s">
        <v>15</v>
      </c>
      <c r="D4269" s="13" t="s">
        <v>16</v>
      </c>
      <c r="E4269" s="14"/>
      <c r="F4269" s="14"/>
      <c r="G4269" s="14"/>
      <c r="H4269" s="14"/>
    </row>
    <row r="4270" spans="3:11" x14ac:dyDescent="0.3">
      <c r="C4270" s="16">
        <v>1</v>
      </c>
      <c r="D4270" s="13" t="s">
        <v>18</v>
      </c>
      <c r="E4270" s="17" t="s">
        <v>19</v>
      </c>
      <c r="F4270" s="18">
        <v>0.11899999999999999</v>
      </c>
      <c r="G4270" s="19">
        <f>VLOOKUP(D4270,upahbahan,3,FALSE)</f>
        <v>100000</v>
      </c>
      <c r="H4270" s="19">
        <f t="shared" ref="H4270:H4273" si="459">F4270*G4270</f>
        <v>11900</v>
      </c>
    </row>
    <row r="4271" spans="3:11" x14ac:dyDescent="0.3">
      <c r="C4271" s="16">
        <v>2</v>
      </c>
      <c r="D4271" s="13" t="s">
        <v>214</v>
      </c>
      <c r="E4271" s="17" t="s">
        <v>19</v>
      </c>
      <c r="F4271" s="18">
        <v>0.19900000000000001</v>
      </c>
      <c r="G4271" s="19">
        <f>VLOOKUP(D4271,upahbahan,3,FALSE)</f>
        <v>145000</v>
      </c>
      <c r="H4271" s="19">
        <f t="shared" si="459"/>
        <v>28855</v>
      </c>
    </row>
    <row r="4272" spans="3:11" x14ac:dyDescent="0.3">
      <c r="C4272" s="16">
        <v>3</v>
      </c>
      <c r="D4272" s="13" t="s">
        <v>22</v>
      </c>
      <c r="E4272" s="17" t="s">
        <v>19</v>
      </c>
      <c r="F4272" s="18">
        <v>0.02</v>
      </c>
      <c r="G4272" s="19">
        <f>VLOOKUP(D4272,upahbahan,3,FALSE)</f>
        <v>175000</v>
      </c>
      <c r="H4272" s="19">
        <f t="shared" si="459"/>
        <v>3500</v>
      </c>
    </row>
    <row r="4273" spans="3:11" x14ac:dyDescent="0.3">
      <c r="C4273" s="16">
        <v>4</v>
      </c>
      <c r="D4273" s="13" t="s">
        <v>23</v>
      </c>
      <c r="E4273" s="17" t="s">
        <v>19</v>
      </c>
      <c r="F4273" s="18">
        <v>7.0000000000000001E-3</v>
      </c>
      <c r="G4273" s="19">
        <f>VLOOKUP(D4273,upahbahan,3,FALSE)</f>
        <v>200000</v>
      </c>
      <c r="H4273" s="19">
        <f t="shared" si="459"/>
        <v>1400</v>
      </c>
    </row>
    <row r="4274" spans="3:11" x14ac:dyDescent="0.3">
      <c r="C4274" s="21" t="s">
        <v>24</v>
      </c>
      <c r="D4274" s="22"/>
      <c r="E4274" s="22"/>
      <c r="F4274" s="54"/>
      <c r="G4274" s="24"/>
      <c r="H4274" s="19">
        <f>SUM(H4270:H4273)</f>
        <v>45655</v>
      </c>
      <c r="I4274" s="25"/>
    </row>
    <row r="4275" spans="3:11" x14ac:dyDescent="0.25">
      <c r="C4275" s="12" t="s">
        <v>25</v>
      </c>
      <c r="D4275" s="13" t="s">
        <v>26</v>
      </c>
      <c r="E4275" s="14"/>
      <c r="F4275" s="55"/>
      <c r="G4275" s="14"/>
      <c r="H4275" s="14"/>
    </row>
    <row r="4276" spans="3:11" ht="55.2" x14ac:dyDescent="0.3">
      <c r="C4276" s="63" t="s">
        <v>202</v>
      </c>
      <c r="D4276" s="13" t="s">
        <v>819</v>
      </c>
      <c r="E4276" s="27" t="s">
        <v>617</v>
      </c>
      <c r="F4276" s="59">
        <v>1.2</v>
      </c>
      <c r="G4276" s="19">
        <f>VLOOKUP(D4276,upahbahan,3,FALSE)</f>
        <v>360000</v>
      </c>
      <c r="H4276" s="19">
        <f t="shared" ref="H4276" si="460">F4276*G4276</f>
        <v>432000</v>
      </c>
    </row>
    <row r="4277" spans="3:11" x14ac:dyDescent="0.3">
      <c r="C4277" s="21" t="s">
        <v>29</v>
      </c>
      <c r="D4277" s="22"/>
      <c r="E4277" s="22"/>
      <c r="F4277" s="22"/>
      <c r="G4277" s="28"/>
      <c r="H4277" s="19">
        <f>SUM(H4276:H4276)</f>
        <v>432000</v>
      </c>
    </row>
    <row r="4278" spans="3:11" x14ac:dyDescent="0.25">
      <c r="C4278" s="12" t="s">
        <v>30</v>
      </c>
      <c r="D4278" s="13" t="s">
        <v>31</v>
      </c>
      <c r="E4278" s="14"/>
      <c r="F4278" s="14"/>
      <c r="G4278" s="14"/>
      <c r="H4278" s="14"/>
    </row>
    <row r="4279" spans="3:11" x14ac:dyDescent="0.3">
      <c r="C4279" s="21" t="s">
        <v>32</v>
      </c>
      <c r="D4279" s="22"/>
      <c r="E4279" s="22"/>
      <c r="F4279" s="22"/>
      <c r="G4279" s="28"/>
      <c r="H4279" s="29">
        <v>0</v>
      </c>
    </row>
    <row r="4280" spans="3:11" x14ac:dyDescent="0.3">
      <c r="C4280" s="30" t="s">
        <v>33</v>
      </c>
      <c r="D4280" s="31" t="s">
        <v>34</v>
      </c>
      <c r="E4280" s="32"/>
      <c r="F4280" s="32"/>
      <c r="G4280" s="33"/>
      <c r="H4280" s="46">
        <f>H4279+H4277+H4274</f>
        <v>477655</v>
      </c>
      <c r="I4280" s="47"/>
    </row>
    <row r="4281" spans="3:11" x14ac:dyDescent="0.3">
      <c r="C4281" s="30" t="s">
        <v>35</v>
      </c>
      <c r="D4281" s="31" t="s">
        <v>36</v>
      </c>
      <c r="E4281" s="32"/>
      <c r="F4281" s="33"/>
      <c r="G4281" s="34">
        <f>$M$9</f>
        <v>0.1</v>
      </c>
      <c r="H4281" s="19">
        <f>H4280*G4281</f>
        <v>47765.5</v>
      </c>
      <c r="I4281" s="47"/>
    </row>
    <row r="4282" spans="3:11" x14ac:dyDescent="0.3">
      <c r="C4282" s="30" t="s">
        <v>37</v>
      </c>
      <c r="D4282" s="31" t="s">
        <v>38</v>
      </c>
      <c r="E4282" s="32"/>
      <c r="F4282" s="32"/>
      <c r="G4282" s="33"/>
      <c r="H4282" s="48">
        <f>SUM(H4280:H4281)</f>
        <v>525420.5</v>
      </c>
      <c r="I4282" s="47"/>
    </row>
    <row r="4283" spans="3:11" x14ac:dyDescent="0.3">
      <c r="C4283" s="50"/>
      <c r="D4283" s="51"/>
      <c r="E4283" s="51"/>
      <c r="F4283" s="51"/>
      <c r="G4283" s="51"/>
      <c r="H4283" s="52"/>
    </row>
    <row r="4284" spans="3:11" x14ac:dyDescent="0.3">
      <c r="C4284" s="40" t="s">
        <v>820</v>
      </c>
      <c r="D4284" s="68" t="s">
        <v>821</v>
      </c>
      <c r="E4284" s="44"/>
      <c r="F4284" s="44"/>
      <c r="G4284" s="44"/>
      <c r="H4284" s="44"/>
      <c r="I4284" s="10">
        <f>ROUNDDOWN(H4299,0)</f>
        <v>538620</v>
      </c>
      <c r="J4284" s="15" t="s">
        <v>595</v>
      </c>
      <c r="K4284" s="39"/>
    </row>
    <row r="4285" spans="3:11" ht="27.6" x14ac:dyDescent="0.3">
      <c r="C4285" s="11" t="s">
        <v>9</v>
      </c>
      <c r="D4285" s="11" t="s">
        <v>10</v>
      </c>
      <c r="E4285" s="11" t="s">
        <v>11</v>
      </c>
      <c r="F4285" s="11" t="s">
        <v>12</v>
      </c>
      <c r="G4285" s="11" t="s">
        <v>13</v>
      </c>
      <c r="H4285" s="11" t="s">
        <v>14</v>
      </c>
    </row>
    <row r="4286" spans="3:11" x14ac:dyDescent="0.25">
      <c r="C4286" s="12" t="s">
        <v>15</v>
      </c>
      <c r="D4286" s="13" t="s">
        <v>16</v>
      </c>
      <c r="E4286" s="14"/>
      <c r="F4286" s="14"/>
      <c r="G4286" s="14"/>
      <c r="H4286" s="14"/>
    </row>
    <row r="4287" spans="3:11" x14ac:dyDescent="0.3">
      <c r="C4287" s="16">
        <v>1</v>
      </c>
      <c r="D4287" s="13" t="s">
        <v>18</v>
      </c>
      <c r="E4287" s="17" t="s">
        <v>19</v>
      </c>
      <c r="F4287" s="18">
        <v>0.11899999999999999</v>
      </c>
      <c r="G4287" s="19">
        <f>VLOOKUP(D4287,upahbahan,3,FALSE)</f>
        <v>100000</v>
      </c>
      <c r="H4287" s="19">
        <f t="shared" ref="H4287:H4290" si="461">F4287*G4287</f>
        <v>11900</v>
      </c>
    </row>
    <row r="4288" spans="3:11" x14ac:dyDescent="0.3">
      <c r="C4288" s="16">
        <v>2</v>
      </c>
      <c r="D4288" s="13" t="s">
        <v>214</v>
      </c>
      <c r="E4288" s="17" t="s">
        <v>19</v>
      </c>
      <c r="F4288" s="18">
        <v>0.19900000000000001</v>
      </c>
      <c r="G4288" s="19">
        <f>VLOOKUP(D4288,upahbahan,3,FALSE)</f>
        <v>145000</v>
      </c>
      <c r="H4288" s="19">
        <f t="shared" si="461"/>
        <v>28855</v>
      </c>
    </row>
    <row r="4289" spans="3:11" x14ac:dyDescent="0.3">
      <c r="C4289" s="16">
        <v>3</v>
      </c>
      <c r="D4289" s="13" t="s">
        <v>22</v>
      </c>
      <c r="E4289" s="17" t="s">
        <v>19</v>
      </c>
      <c r="F4289" s="18">
        <v>0.02</v>
      </c>
      <c r="G4289" s="19">
        <f>VLOOKUP(D4289,upahbahan,3,FALSE)</f>
        <v>175000</v>
      </c>
      <c r="H4289" s="19">
        <f t="shared" si="461"/>
        <v>3500</v>
      </c>
    </row>
    <row r="4290" spans="3:11" x14ac:dyDescent="0.3">
      <c r="C4290" s="16">
        <v>4</v>
      </c>
      <c r="D4290" s="13" t="s">
        <v>23</v>
      </c>
      <c r="E4290" s="17" t="s">
        <v>19</v>
      </c>
      <c r="F4290" s="18">
        <v>7.0000000000000001E-3</v>
      </c>
      <c r="G4290" s="19">
        <f>VLOOKUP(D4290,upahbahan,3,FALSE)</f>
        <v>200000</v>
      </c>
      <c r="H4290" s="19">
        <f t="shared" si="461"/>
        <v>1400</v>
      </c>
    </row>
    <row r="4291" spans="3:11" x14ac:dyDescent="0.3">
      <c r="C4291" s="21" t="s">
        <v>24</v>
      </c>
      <c r="D4291" s="22"/>
      <c r="E4291" s="22"/>
      <c r="F4291" s="54"/>
      <c r="G4291" s="24"/>
      <c r="H4291" s="19">
        <f>SUM(H4287:H4290)</f>
        <v>45655</v>
      </c>
      <c r="I4291" s="25"/>
    </row>
    <row r="4292" spans="3:11" x14ac:dyDescent="0.25">
      <c r="C4292" s="12" t="s">
        <v>25</v>
      </c>
      <c r="D4292" s="13" t="s">
        <v>26</v>
      </c>
      <c r="E4292" s="14"/>
      <c r="F4292" s="55"/>
      <c r="G4292" s="14"/>
      <c r="H4292" s="14"/>
    </row>
    <row r="4293" spans="3:11" ht="41.4" x14ac:dyDescent="0.3">
      <c r="C4293" s="63" t="s">
        <v>202</v>
      </c>
      <c r="D4293" s="13" t="s">
        <v>822</v>
      </c>
      <c r="E4293" s="27" t="s">
        <v>617</v>
      </c>
      <c r="F4293" s="59">
        <v>1.2</v>
      </c>
      <c r="G4293" s="19">
        <f>VLOOKUP(D4293,upahbahan,3,FALSE)</f>
        <v>370000</v>
      </c>
      <c r="H4293" s="19">
        <f t="shared" ref="H4293" si="462">F4293*G4293</f>
        <v>444000</v>
      </c>
    </row>
    <row r="4294" spans="3:11" x14ac:dyDescent="0.3">
      <c r="C4294" s="21" t="s">
        <v>29</v>
      </c>
      <c r="D4294" s="22"/>
      <c r="E4294" s="22"/>
      <c r="F4294" s="22"/>
      <c r="G4294" s="28"/>
      <c r="H4294" s="19">
        <f>SUM(H4293:H4293)</f>
        <v>444000</v>
      </c>
    </row>
    <row r="4295" spans="3:11" x14ac:dyDescent="0.25">
      <c r="C4295" s="12" t="s">
        <v>30</v>
      </c>
      <c r="D4295" s="13" t="s">
        <v>31</v>
      </c>
      <c r="E4295" s="14"/>
      <c r="F4295" s="14"/>
      <c r="G4295" s="14"/>
      <c r="H4295" s="14"/>
    </row>
    <row r="4296" spans="3:11" x14ac:dyDescent="0.3">
      <c r="C4296" s="21" t="s">
        <v>32</v>
      </c>
      <c r="D4296" s="22"/>
      <c r="E4296" s="22"/>
      <c r="F4296" s="22"/>
      <c r="G4296" s="28"/>
      <c r="H4296" s="29">
        <v>0</v>
      </c>
    </row>
    <row r="4297" spans="3:11" x14ac:dyDescent="0.3">
      <c r="C4297" s="30" t="s">
        <v>33</v>
      </c>
      <c r="D4297" s="31" t="s">
        <v>34</v>
      </c>
      <c r="E4297" s="32"/>
      <c r="F4297" s="32"/>
      <c r="G4297" s="33"/>
      <c r="H4297" s="46">
        <f>H4296+H4294+H4291</f>
        <v>489655</v>
      </c>
      <c r="I4297" s="47"/>
    </row>
    <row r="4298" spans="3:11" x14ac:dyDescent="0.3">
      <c r="C4298" s="30" t="s">
        <v>35</v>
      </c>
      <c r="D4298" s="31" t="s">
        <v>36</v>
      </c>
      <c r="E4298" s="32"/>
      <c r="F4298" s="33"/>
      <c r="G4298" s="34">
        <f>$M$9</f>
        <v>0.1</v>
      </c>
      <c r="H4298" s="19">
        <f>H4297*G4298</f>
        <v>48965.5</v>
      </c>
      <c r="I4298" s="47"/>
    </row>
    <row r="4299" spans="3:11" x14ac:dyDescent="0.3">
      <c r="C4299" s="30" t="s">
        <v>37</v>
      </c>
      <c r="D4299" s="31" t="s">
        <v>38</v>
      </c>
      <c r="E4299" s="32"/>
      <c r="F4299" s="32"/>
      <c r="G4299" s="33"/>
      <c r="H4299" s="48">
        <f>SUM(H4297:H4298)</f>
        <v>538620.5</v>
      </c>
      <c r="I4299" s="47"/>
    </row>
    <row r="4300" spans="3:11" x14ac:dyDescent="0.3">
      <c r="C4300" s="50"/>
      <c r="D4300" s="51"/>
      <c r="E4300" s="51"/>
      <c r="F4300" s="51"/>
      <c r="G4300" s="51"/>
      <c r="H4300" s="52"/>
    </row>
    <row r="4301" spans="3:11" x14ac:dyDescent="0.3">
      <c r="C4301" s="40" t="s">
        <v>823</v>
      </c>
      <c r="D4301" s="68" t="s">
        <v>824</v>
      </c>
      <c r="E4301" s="44"/>
      <c r="F4301" s="44"/>
      <c r="G4301" s="44"/>
      <c r="H4301" s="44"/>
      <c r="I4301" s="10">
        <f>ROUNDDOWN(H4316,0)</f>
        <v>485820</v>
      </c>
      <c r="J4301" s="15" t="s">
        <v>595</v>
      </c>
      <c r="K4301" s="39"/>
    </row>
    <row r="4302" spans="3:11" ht="27.6" x14ac:dyDescent="0.3">
      <c r="C4302" s="11" t="s">
        <v>9</v>
      </c>
      <c r="D4302" s="11" t="s">
        <v>10</v>
      </c>
      <c r="E4302" s="11" t="s">
        <v>11</v>
      </c>
      <c r="F4302" s="11" t="s">
        <v>12</v>
      </c>
      <c r="G4302" s="11" t="s">
        <v>13</v>
      </c>
      <c r="H4302" s="11" t="s">
        <v>14</v>
      </c>
    </row>
    <row r="4303" spans="3:11" x14ac:dyDescent="0.25">
      <c r="C4303" s="12" t="s">
        <v>15</v>
      </c>
      <c r="D4303" s="13" t="s">
        <v>16</v>
      </c>
      <c r="E4303" s="14"/>
      <c r="F4303" s="14"/>
      <c r="G4303" s="14"/>
      <c r="H4303" s="14"/>
    </row>
    <row r="4304" spans="3:11" x14ac:dyDescent="0.3">
      <c r="C4304" s="16">
        <v>1</v>
      </c>
      <c r="D4304" s="13" t="s">
        <v>18</v>
      </c>
      <c r="E4304" s="17" t="s">
        <v>19</v>
      </c>
      <c r="F4304" s="18">
        <v>0.11899999999999999</v>
      </c>
      <c r="G4304" s="19">
        <f>VLOOKUP(D4304,upahbahan,3,FALSE)</f>
        <v>100000</v>
      </c>
      <c r="H4304" s="19">
        <f t="shared" ref="H4304:H4307" si="463">F4304*G4304</f>
        <v>11900</v>
      </c>
    </row>
    <row r="4305" spans="3:11" x14ac:dyDescent="0.3">
      <c r="C4305" s="16">
        <v>2</v>
      </c>
      <c r="D4305" s="13" t="s">
        <v>214</v>
      </c>
      <c r="E4305" s="17" t="s">
        <v>19</v>
      </c>
      <c r="F4305" s="18">
        <v>0.19900000000000001</v>
      </c>
      <c r="G4305" s="19">
        <f>VLOOKUP(D4305,upahbahan,3,FALSE)</f>
        <v>145000</v>
      </c>
      <c r="H4305" s="19">
        <f t="shared" si="463"/>
        <v>28855</v>
      </c>
    </row>
    <row r="4306" spans="3:11" x14ac:dyDescent="0.3">
      <c r="C4306" s="16">
        <v>3</v>
      </c>
      <c r="D4306" s="13" t="s">
        <v>22</v>
      </c>
      <c r="E4306" s="17" t="s">
        <v>19</v>
      </c>
      <c r="F4306" s="18">
        <v>0.02</v>
      </c>
      <c r="G4306" s="19">
        <f>VLOOKUP(D4306,upahbahan,3,FALSE)</f>
        <v>175000</v>
      </c>
      <c r="H4306" s="19">
        <f t="shared" si="463"/>
        <v>3500</v>
      </c>
    </row>
    <row r="4307" spans="3:11" x14ac:dyDescent="0.3">
      <c r="C4307" s="16">
        <v>4</v>
      </c>
      <c r="D4307" s="13" t="s">
        <v>23</v>
      </c>
      <c r="E4307" s="17" t="s">
        <v>19</v>
      </c>
      <c r="F4307" s="18">
        <v>7.0000000000000001E-3</v>
      </c>
      <c r="G4307" s="19">
        <f>VLOOKUP(D4307,upahbahan,3,FALSE)</f>
        <v>200000</v>
      </c>
      <c r="H4307" s="19">
        <f t="shared" si="463"/>
        <v>1400</v>
      </c>
    </row>
    <row r="4308" spans="3:11" x14ac:dyDescent="0.3">
      <c r="C4308" s="21" t="s">
        <v>24</v>
      </c>
      <c r="D4308" s="22"/>
      <c r="E4308" s="22"/>
      <c r="F4308" s="54"/>
      <c r="G4308" s="24"/>
      <c r="H4308" s="19">
        <f>SUM(H4304:H4307)</f>
        <v>45655</v>
      </c>
      <c r="I4308" s="25"/>
    </row>
    <row r="4309" spans="3:11" x14ac:dyDescent="0.25">
      <c r="C4309" s="12" t="s">
        <v>25</v>
      </c>
      <c r="D4309" s="13" t="s">
        <v>26</v>
      </c>
      <c r="E4309" s="14"/>
      <c r="F4309" s="55"/>
      <c r="G4309" s="14"/>
      <c r="H4309" s="14"/>
    </row>
    <row r="4310" spans="3:11" ht="55.2" x14ac:dyDescent="0.3">
      <c r="C4310" s="63" t="s">
        <v>202</v>
      </c>
      <c r="D4310" s="13" t="s">
        <v>825</v>
      </c>
      <c r="E4310" s="27" t="s">
        <v>617</v>
      </c>
      <c r="F4310" s="59">
        <v>1.2</v>
      </c>
      <c r="G4310" s="19">
        <f>VLOOKUP(D4310,upahbahan,3,FALSE)</f>
        <v>330000</v>
      </c>
      <c r="H4310" s="19">
        <f t="shared" ref="H4310" si="464">F4310*G4310</f>
        <v>396000</v>
      </c>
    </row>
    <row r="4311" spans="3:11" x14ac:dyDescent="0.3">
      <c r="C4311" s="21" t="s">
        <v>29</v>
      </c>
      <c r="D4311" s="22"/>
      <c r="E4311" s="22"/>
      <c r="F4311" s="22"/>
      <c r="G4311" s="28"/>
      <c r="H4311" s="19">
        <f>SUM(H4310:H4310)</f>
        <v>396000</v>
      </c>
    </row>
    <row r="4312" spans="3:11" x14ac:dyDescent="0.25">
      <c r="C4312" s="12" t="s">
        <v>30</v>
      </c>
      <c r="D4312" s="13" t="s">
        <v>31</v>
      </c>
      <c r="E4312" s="14"/>
      <c r="F4312" s="14"/>
      <c r="G4312" s="14"/>
      <c r="H4312" s="14"/>
    </row>
    <row r="4313" spans="3:11" x14ac:dyDescent="0.3">
      <c r="C4313" s="21" t="s">
        <v>32</v>
      </c>
      <c r="D4313" s="22"/>
      <c r="E4313" s="22"/>
      <c r="F4313" s="22"/>
      <c r="G4313" s="28"/>
      <c r="H4313" s="29">
        <v>0</v>
      </c>
    </row>
    <row r="4314" spans="3:11" x14ac:dyDescent="0.3">
      <c r="C4314" s="30" t="s">
        <v>33</v>
      </c>
      <c r="D4314" s="31" t="s">
        <v>34</v>
      </c>
      <c r="E4314" s="32"/>
      <c r="F4314" s="32"/>
      <c r="G4314" s="33"/>
      <c r="H4314" s="46">
        <f>H4313+H4311+H4308</f>
        <v>441655</v>
      </c>
      <c r="I4314" s="47"/>
    </row>
    <row r="4315" spans="3:11" x14ac:dyDescent="0.3">
      <c r="C4315" s="30" t="s">
        <v>35</v>
      </c>
      <c r="D4315" s="31" t="s">
        <v>36</v>
      </c>
      <c r="E4315" s="32"/>
      <c r="F4315" s="33"/>
      <c r="G4315" s="34">
        <f>$M$9</f>
        <v>0.1</v>
      </c>
      <c r="H4315" s="19">
        <f>H4314*G4315</f>
        <v>44165.5</v>
      </c>
      <c r="I4315" s="47"/>
    </row>
    <row r="4316" spans="3:11" x14ac:dyDescent="0.3">
      <c r="C4316" s="30" t="s">
        <v>37</v>
      </c>
      <c r="D4316" s="31" t="s">
        <v>38</v>
      </c>
      <c r="E4316" s="32"/>
      <c r="F4316" s="32"/>
      <c r="G4316" s="33"/>
      <c r="H4316" s="48">
        <f>SUM(H4314:H4315)</f>
        <v>485820.5</v>
      </c>
      <c r="I4316" s="47"/>
    </row>
    <row r="4317" spans="3:11" x14ac:dyDescent="0.3">
      <c r="C4317" s="50"/>
      <c r="D4317" s="51"/>
      <c r="E4317" s="51"/>
      <c r="F4317" s="51"/>
      <c r="G4317" s="51"/>
      <c r="H4317" s="52"/>
    </row>
    <row r="4318" spans="3:11" x14ac:dyDescent="0.3">
      <c r="C4318" s="40" t="s">
        <v>826</v>
      </c>
      <c r="D4318" s="68" t="s">
        <v>827</v>
      </c>
      <c r="E4318" s="44"/>
      <c r="F4318" s="44"/>
      <c r="G4318" s="44"/>
      <c r="H4318" s="44"/>
      <c r="I4318" s="10">
        <f>ROUNDDOWN(H4333,0)</f>
        <v>499020</v>
      </c>
      <c r="J4318" s="15" t="s">
        <v>595</v>
      </c>
      <c r="K4318" s="39"/>
    </row>
    <row r="4319" spans="3:11" ht="27.6" x14ac:dyDescent="0.3">
      <c r="C4319" s="11" t="s">
        <v>9</v>
      </c>
      <c r="D4319" s="11" t="s">
        <v>10</v>
      </c>
      <c r="E4319" s="11" t="s">
        <v>11</v>
      </c>
      <c r="F4319" s="11" t="s">
        <v>12</v>
      </c>
      <c r="G4319" s="11" t="s">
        <v>13</v>
      </c>
      <c r="H4319" s="11" t="s">
        <v>14</v>
      </c>
    </row>
    <row r="4320" spans="3:11" x14ac:dyDescent="0.25">
      <c r="C4320" s="12" t="s">
        <v>15</v>
      </c>
      <c r="D4320" s="13" t="s">
        <v>16</v>
      </c>
      <c r="E4320" s="14"/>
      <c r="F4320" s="14"/>
      <c r="G4320" s="14"/>
      <c r="H4320" s="14"/>
    </row>
    <row r="4321" spans="3:11" x14ac:dyDescent="0.3">
      <c r="C4321" s="16">
        <v>1</v>
      </c>
      <c r="D4321" s="13" t="s">
        <v>18</v>
      </c>
      <c r="E4321" s="17" t="s">
        <v>19</v>
      </c>
      <c r="F4321" s="18">
        <v>0.11899999999999999</v>
      </c>
      <c r="G4321" s="19">
        <f>VLOOKUP(D4321,upahbahan,3,FALSE)</f>
        <v>100000</v>
      </c>
      <c r="H4321" s="19">
        <f t="shared" ref="H4321:H4324" si="465">F4321*G4321</f>
        <v>11900</v>
      </c>
    </row>
    <row r="4322" spans="3:11" x14ac:dyDescent="0.3">
      <c r="C4322" s="16">
        <v>2</v>
      </c>
      <c r="D4322" s="13" t="s">
        <v>214</v>
      </c>
      <c r="E4322" s="17" t="s">
        <v>19</v>
      </c>
      <c r="F4322" s="18">
        <v>0.19900000000000001</v>
      </c>
      <c r="G4322" s="19">
        <f>VLOOKUP(D4322,upahbahan,3,FALSE)</f>
        <v>145000</v>
      </c>
      <c r="H4322" s="19">
        <f t="shared" si="465"/>
        <v>28855</v>
      </c>
    </row>
    <row r="4323" spans="3:11" x14ac:dyDescent="0.3">
      <c r="C4323" s="16">
        <v>3</v>
      </c>
      <c r="D4323" s="13" t="s">
        <v>22</v>
      </c>
      <c r="E4323" s="17" t="s">
        <v>19</v>
      </c>
      <c r="F4323" s="18">
        <v>0.02</v>
      </c>
      <c r="G4323" s="19">
        <f>VLOOKUP(D4323,upahbahan,3,FALSE)</f>
        <v>175000</v>
      </c>
      <c r="H4323" s="19">
        <f t="shared" si="465"/>
        <v>3500</v>
      </c>
    </row>
    <row r="4324" spans="3:11" x14ac:dyDescent="0.3">
      <c r="C4324" s="16">
        <v>4</v>
      </c>
      <c r="D4324" s="13" t="s">
        <v>23</v>
      </c>
      <c r="E4324" s="17" t="s">
        <v>19</v>
      </c>
      <c r="F4324" s="18">
        <v>7.0000000000000001E-3</v>
      </c>
      <c r="G4324" s="19">
        <f>VLOOKUP(D4324,upahbahan,3,FALSE)</f>
        <v>200000</v>
      </c>
      <c r="H4324" s="19">
        <f t="shared" si="465"/>
        <v>1400</v>
      </c>
    </row>
    <row r="4325" spans="3:11" x14ac:dyDescent="0.3">
      <c r="C4325" s="21" t="s">
        <v>24</v>
      </c>
      <c r="D4325" s="22"/>
      <c r="E4325" s="22"/>
      <c r="F4325" s="54"/>
      <c r="G4325" s="24"/>
      <c r="H4325" s="19">
        <f>SUM(H4321:H4324)</f>
        <v>45655</v>
      </c>
      <c r="I4325" s="25"/>
    </row>
    <row r="4326" spans="3:11" x14ac:dyDescent="0.25">
      <c r="C4326" s="12" t="s">
        <v>25</v>
      </c>
      <c r="D4326" s="13" t="s">
        <v>26</v>
      </c>
      <c r="E4326" s="14"/>
      <c r="F4326" s="55"/>
      <c r="G4326" s="14"/>
      <c r="H4326" s="14"/>
    </row>
    <row r="4327" spans="3:11" ht="55.2" x14ac:dyDescent="0.3">
      <c r="C4327" s="63" t="s">
        <v>202</v>
      </c>
      <c r="D4327" s="13" t="s">
        <v>828</v>
      </c>
      <c r="E4327" s="27" t="s">
        <v>617</v>
      </c>
      <c r="F4327" s="59">
        <v>1.2</v>
      </c>
      <c r="G4327" s="19">
        <f>VLOOKUP(D4327,upahbahan,3,FALSE)</f>
        <v>340000</v>
      </c>
      <c r="H4327" s="19">
        <f t="shared" ref="H4327" si="466">F4327*G4327</f>
        <v>408000</v>
      </c>
    </row>
    <row r="4328" spans="3:11" x14ac:dyDescent="0.3">
      <c r="C4328" s="21" t="s">
        <v>29</v>
      </c>
      <c r="D4328" s="22"/>
      <c r="E4328" s="22"/>
      <c r="F4328" s="22"/>
      <c r="G4328" s="28"/>
      <c r="H4328" s="19">
        <f>SUM(H4327:H4327)</f>
        <v>408000</v>
      </c>
    </row>
    <row r="4329" spans="3:11" x14ac:dyDescent="0.25">
      <c r="C4329" s="12" t="s">
        <v>30</v>
      </c>
      <c r="D4329" s="13" t="s">
        <v>31</v>
      </c>
      <c r="E4329" s="14"/>
      <c r="F4329" s="14"/>
      <c r="G4329" s="14"/>
      <c r="H4329" s="14"/>
    </row>
    <row r="4330" spans="3:11" x14ac:dyDescent="0.3">
      <c r="C4330" s="21" t="s">
        <v>32</v>
      </c>
      <c r="D4330" s="22"/>
      <c r="E4330" s="22"/>
      <c r="F4330" s="22"/>
      <c r="G4330" s="28"/>
      <c r="H4330" s="29">
        <v>0</v>
      </c>
    </row>
    <row r="4331" spans="3:11" x14ac:dyDescent="0.3">
      <c r="C4331" s="30" t="s">
        <v>33</v>
      </c>
      <c r="D4331" s="31" t="s">
        <v>34</v>
      </c>
      <c r="E4331" s="32"/>
      <c r="F4331" s="32"/>
      <c r="G4331" s="33"/>
      <c r="H4331" s="46">
        <f>H4330+H4328+H4325</f>
        <v>453655</v>
      </c>
      <c r="I4331" s="47"/>
    </row>
    <row r="4332" spans="3:11" x14ac:dyDescent="0.3">
      <c r="C4332" s="30" t="s">
        <v>35</v>
      </c>
      <c r="D4332" s="31" t="s">
        <v>36</v>
      </c>
      <c r="E4332" s="32"/>
      <c r="F4332" s="33"/>
      <c r="G4332" s="34">
        <f>$M$9</f>
        <v>0.1</v>
      </c>
      <c r="H4332" s="19">
        <f>H4331*G4332</f>
        <v>45365.5</v>
      </c>
      <c r="I4332" s="47"/>
    </row>
    <row r="4333" spans="3:11" x14ac:dyDescent="0.3">
      <c r="C4333" s="30" t="s">
        <v>37</v>
      </c>
      <c r="D4333" s="31" t="s">
        <v>38</v>
      </c>
      <c r="E4333" s="32"/>
      <c r="F4333" s="32"/>
      <c r="G4333" s="33"/>
      <c r="H4333" s="48">
        <f>SUM(H4331:H4332)</f>
        <v>499020.5</v>
      </c>
      <c r="I4333" s="47"/>
    </row>
    <row r="4334" spans="3:11" x14ac:dyDescent="0.3">
      <c r="C4334" s="50"/>
      <c r="D4334" s="51"/>
      <c r="E4334" s="51"/>
      <c r="F4334" s="51"/>
      <c r="G4334" s="51"/>
      <c r="H4334" s="52"/>
    </row>
    <row r="4335" spans="3:11" x14ac:dyDescent="0.3">
      <c r="C4335" s="40" t="s">
        <v>829</v>
      </c>
      <c r="D4335" s="68" t="s">
        <v>830</v>
      </c>
      <c r="E4335" s="44"/>
      <c r="F4335" s="44"/>
      <c r="G4335" s="44"/>
      <c r="H4335" s="44"/>
      <c r="I4335" s="10">
        <f>ROUNDDOWN(H4350,0)</f>
        <v>512220</v>
      </c>
      <c r="J4335" s="15" t="s">
        <v>595</v>
      </c>
      <c r="K4335" s="39"/>
    </row>
    <row r="4336" spans="3:11" ht="27.6" x14ac:dyDescent="0.3">
      <c r="C4336" s="11" t="s">
        <v>9</v>
      </c>
      <c r="D4336" s="11" t="s">
        <v>10</v>
      </c>
      <c r="E4336" s="11" t="s">
        <v>11</v>
      </c>
      <c r="F4336" s="11" t="s">
        <v>12</v>
      </c>
      <c r="G4336" s="11" t="s">
        <v>13</v>
      </c>
      <c r="H4336" s="11" t="s">
        <v>14</v>
      </c>
    </row>
    <row r="4337" spans="3:11" x14ac:dyDescent="0.25">
      <c r="C4337" s="12" t="s">
        <v>15</v>
      </c>
      <c r="D4337" s="13" t="s">
        <v>16</v>
      </c>
      <c r="E4337" s="14"/>
      <c r="F4337" s="14"/>
      <c r="G4337" s="14"/>
      <c r="H4337" s="14"/>
    </row>
    <row r="4338" spans="3:11" x14ac:dyDescent="0.3">
      <c r="C4338" s="16">
        <v>1</v>
      </c>
      <c r="D4338" s="13" t="s">
        <v>18</v>
      </c>
      <c r="E4338" s="17" t="s">
        <v>19</v>
      </c>
      <c r="F4338" s="18">
        <v>0.11899999999999999</v>
      </c>
      <c r="G4338" s="19">
        <f>VLOOKUP(D4338,upahbahan,3,FALSE)</f>
        <v>100000</v>
      </c>
      <c r="H4338" s="19">
        <f t="shared" ref="H4338:H4341" si="467">F4338*G4338</f>
        <v>11900</v>
      </c>
    </row>
    <row r="4339" spans="3:11" x14ac:dyDescent="0.3">
      <c r="C4339" s="16">
        <v>2</v>
      </c>
      <c r="D4339" s="13" t="s">
        <v>214</v>
      </c>
      <c r="E4339" s="17" t="s">
        <v>19</v>
      </c>
      <c r="F4339" s="18">
        <v>0.19900000000000001</v>
      </c>
      <c r="G4339" s="19">
        <f>VLOOKUP(D4339,upahbahan,3,FALSE)</f>
        <v>145000</v>
      </c>
      <c r="H4339" s="19">
        <f t="shared" si="467"/>
        <v>28855</v>
      </c>
    </row>
    <row r="4340" spans="3:11" x14ac:dyDescent="0.3">
      <c r="C4340" s="16">
        <v>3</v>
      </c>
      <c r="D4340" s="13" t="s">
        <v>22</v>
      </c>
      <c r="E4340" s="17" t="s">
        <v>19</v>
      </c>
      <c r="F4340" s="18">
        <v>0.02</v>
      </c>
      <c r="G4340" s="19">
        <f>VLOOKUP(D4340,upahbahan,3,FALSE)</f>
        <v>175000</v>
      </c>
      <c r="H4340" s="19">
        <f t="shared" si="467"/>
        <v>3500</v>
      </c>
    </row>
    <row r="4341" spans="3:11" x14ac:dyDescent="0.3">
      <c r="C4341" s="16">
        <v>4</v>
      </c>
      <c r="D4341" s="13" t="s">
        <v>23</v>
      </c>
      <c r="E4341" s="17" t="s">
        <v>19</v>
      </c>
      <c r="F4341" s="18">
        <v>7.0000000000000001E-3</v>
      </c>
      <c r="G4341" s="19">
        <f>VLOOKUP(D4341,upahbahan,3,FALSE)</f>
        <v>200000</v>
      </c>
      <c r="H4341" s="19">
        <f t="shared" si="467"/>
        <v>1400</v>
      </c>
    </row>
    <row r="4342" spans="3:11" x14ac:dyDescent="0.3">
      <c r="C4342" s="21" t="s">
        <v>24</v>
      </c>
      <c r="D4342" s="22"/>
      <c r="E4342" s="22"/>
      <c r="F4342" s="54"/>
      <c r="G4342" s="24"/>
      <c r="H4342" s="19">
        <f>SUM(H4338:H4341)</f>
        <v>45655</v>
      </c>
      <c r="I4342" s="25"/>
    </row>
    <row r="4343" spans="3:11" x14ac:dyDescent="0.25">
      <c r="C4343" s="12" t="s">
        <v>25</v>
      </c>
      <c r="D4343" s="13" t="s">
        <v>26</v>
      </c>
      <c r="E4343" s="14"/>
      <c r="F4343" s="55"/>
      <c r="G4343" s="14"/>
      <c r="H4343" s="14"/>
    </row>
    <row r="4344" spans="3:11" ht="41.4" x14ac:dyDescent="0.3">
      <c r="C4344" s="63" t="s">
        <v>202</v>
      </c>
      <c r="D4344" s="13" t="s">
        <v>831</v>
      </c>
      <c r="E4344" s="27" t="s">
        <v>617</v>
      </c>
      <c r="F4344" s="59">
        <v>1.2</v>
      </c>
      <c r="G4344" s="19">
        <f>VLOOKUP(D4344,upahbahan,3,FALSE)</f>
        <v>350000</v>
      </c>
      <c r="H4344" s="19">
        <f t="shared" ref="H4344" si="468">F4344*G4344</f>
        <v>420000</v>
      </c>
    </row>
    <row r="4345" spans="3:11" x14ac:dyDescent="0.3">
      <c r="C4345" s="21" t="s">
        <v>29</v>
      </c>
      <c r="D4345" s="22"/>
      <c r="E4345" s="22"/>
      <c r="F4345" s="22"/>
      <c r="G4345" s="28"/>
      <c r="H4345" s="19">
        <f>SUM(H4344:H4344)</f>
        <v>420000</v>
      </c>
    </row>
    <row r="4346" spans="3:11" x14ac:dyDescent="0.25">
      <c r="C4346" s="12" t="s">
        <v>30</v>
      </c>
      <c r="D4346" s="13" t="s">
        <v>31</v>
      </c>
      <c r="E4346" s="14"/>
      <c r="F4346" s="14"/>
      <c r="G4346" s="14"/>
      <c r="H4346" s="14"/>
    </row>
    <row r="4347" spans="3:11" x14ac:dyDescent="0.3">
      <c r="C4347" s="21" t="s">
        <v>32</v>
      </c>
      <c r="D4347" s="22"/>
      <c r="E4347" s="22"/>
      <c r="F4347" s="22"/>
      <c r="G4347" s="28"/>
      <c r="H4347" s="29">
        <v>0</v>
      </c>
    </row>
    <row r="4348" spans="3:11" x14ac:dyDescent="0.3">
      <c r="C4348" s="30" t="s">
        <v>33</v>
      </c>
      <c r="D4348" s="31" t="s">
        <v>34</v>
      </c>
      <c r="E4348" s="32"/>
      <c r="F4348" s="32"/>
      <c r="G4348" s="33"/>
      <c r="H4348" s="46">
        <f>H4347+H4345+H4342</f>
        <v>465655</v>
      </c>
      <c r="I4348" s="47"/>
    </row>
    <row r="4349" spans="3:11" x14ac:dyDescent="0.3">
      <c r="C4349" s="30" t="s">
        <v>35</v>
      </c>
      <c r="D4349" s="31" t="s">
        <v>36</v>
      </c>
      <c r="E4349" s="32"/>
      <c r="F4349" s="33"/>
      <c r="G4349" s="34">
        <f>$M$9</f>
        <v>0.1</v>
      </c>
      <c r="H4349" s="19">
        <f>H4348*G4349</f>
        <v>46565.5</v>
      </c>
      <c r="I4349" s="47"/>
    </row>
    <row r="4350" spans="3:11" x14ac:dyDescent="0.3">
      <c r="C4350" s="30" t="s">
        <v>37</v>
      </c>
      <c r="D4350" s="31" t="s">
        <v>38</v>
      </c>
      <c r="E4350" s="32"/>
      <c r="F4350" s="32"/>
      <c r="G4350" s="33"/>
      <c r="H4350" s="48">
        <f>SUM(H4348:H4349)</f>
        <v>512220.5</v>
      </c>
      <c r="I4350" s="47"/>
    </row>
    <row r="4351" spans="3:11" x14ac:dyDescent="0.3">
      <c r="C4351" s="50"/>
      <c r="D4351" s="51"/>
      <c r="E4351" s="51"/>
      <c r="F4351" s="51"/>
      <c r="G4351" s="51"/>
      <c r="H4351" s="52"/>
    </row>
    <row r="4352" spans="3:11" x14ac:dyDescent="0.3">
      <c r="C4352" s="40" t="s">
        <v>832</v>
      </c>
      <c r="D4352" s="68" t="s">
        <v>833</v>
      </c>
      <c r="E4352" s="44"/>
      <c r="F4352" s="44"/>
      <c r="G4352" s="44"/>
      <c r="H4352" s="44"/>
      <c r="I4352" s="10">
        <f>ROUNDDOWN(H4367,0)</f>
        <v>525420</v>
      </c>
      <c r="J4352" s="15" t="s">
        <v>595</v>
      </c>
      <c r="K4352" s="39"/>
    </row>
    <row r="4353" spans="3:9" ht="27.6" x14ac:dyDescent="0.3">
      <c r="C4353" s="11" t="s">
        <v>9</v>
      </c>
      <c r="D4353" s="11" t="s">
        <v>10</v>
      </c>
      <c r="E4353" s="11" t="s">
        <v>11</v>
      </c>
      <c r="F4353" s="11" t="s">
        <v>12</v>
      </c>
      <c r="G4353" s="11" t="s">
        <v>13</v>
      </c>
      <c r="H4353" s="11" t="s">
        <v>14</v>
      </c>
    </row>
    <row r="4354" spans="3:9" x14ac:dyDescent="0.25">
      <c r="C4354" s="12" t="s">
        <v>15</v>
      </c>
      <c r="D4354" s="13" t="s">
        <v>16</v>
      </c>
      <c r="E4354" s="14"/>
      <c r="F4354" s="14"/>
      <c r="G4354" s="14"/>
      <c r="H4354" s="14"/>
    </row>
    <row r="4355" spans="3:9" x14ac:dyDescent="0.3">
      <c r="C4355" s="16">
        <v>1</v>
      </c>
      <c r="D4355" s="13" t="s">
        <v>18</v>
      </c>
      <c r="E4355" s="17" t="s">
        <v>19</v>
      </c>
      <c r="F4355" s="18">
        <v>0.11899999999999999</v>
      </c>
      <c r="G4355" s="19">
        <f>VLOOKUP(D4355,upahbahan,3,FALSE)</f>
        <v>100000</v>
      </c>
      <c r="H4355" s="19">
        <f t="shared" ref="H4355:H4358" si="469">F4355*G4355</f>
        <v>11900</v>
      </c>
    </row>
    <row r="4356" spans="3:9" x14ac:dyDescent="0.3">
      <c r="C4356" s="16">
        <v>2</v>
      </c>
      <c r="D4356" s="13" t="s">
        <v>214</v>
      </c>
      <c r="E4356" s="17" t="s">
        <v>19</v>
      </c>
      <c r="F4356" s="18">
        <v>0.19900000000000001</v>
      </c>
      <c r="G4356" s="19">
        <f>VLOOKUP(D4356,upahbahan,3,FALSE)</f>
        <v>145000</v>
      </c>
      <c r="H4356" s="19">
        <f t="shared" si="469"/>
        <v>28855</v>
      </c>
    </row>
    <row r="4357" spans="3:9" x14ac:dyDescent="0.3">
      <c r="C4357" s="16">
        <v>3</v>
      </c>
      <c r="D4357" s="13" t="s">
        <v>22</v>
      </c>
      <c r="E4357" s="17" t="s">
        <v>19</v>
      </c>
      <c r="F4357" s="18">
        <v>0.02</v>
      </c>
      <c r="G4357" s="19">
        <f>VLOOKUP(D4357,upahbahan,3,FALSE)</f>
        <v>175000</v>
      </c>
      <c r="H4357" s="19">
        <f t="shared" si="469"/>
        <v>3500</v>
      </c>
    </row>
    <row r="4358" spans="3:9" x14ac:dyDescent="0.3">
      <c r="C4358" s="16">
        <v>4</v>
      </c>
      <c r="D4358" s="13" t="s">
        <v>23</v>
      </c>
      <c r="E4358" s="17" t="s">
        <v>19</v>
      </c>
      <c r="F4358" s="18">
        <v>7.0000000000000001E-3</v>
      </c>
      <c r="G4358" s="19">
        <f>VLOOKUP(D4358,upahbahan,3,FALSE)</f>
        <v>200000</v>
      </c>
      <c r="H4358" s="19">
        <f t="shared" si="469"/>
        <v>1400</v>
      </c>
    </row>
    <row r="4359" spans="3:9" x14ac:dyDescent="0.3">
      <c r="C4359" s="21" t="s">
        <v>24</v>
      </c>
      <c r="D4359" s="22"/>
      <c r="E4359" s="22"/>
      <c r="F4359" s="54"/>
      <c r="G4359" s="24"/>
      <c r="H4359" s="19">
        <f>SUM(H4355:H4358)</f>
        <v>45655</v>
      </c>
      <c r="I4359" s="25"/>
    </row>
    <row r="4360" spans="3:9" x14ac:dyDescent="0.25">
      <c r="C4360" s="12" t="s">
        <v>25</v>
      </c>
      <c r="D4360" s="13" t="s">
        <v>26</v>
      </c>
      <c r="E4360" s="14"/>
      <c r="F4360" s="55"/>
      <c r="G4360" s="14"/>
      <c r="H4360" s="14"/>
    </row>
    <row r="4361" spans="3:9" ht="55.2" x14ac:dyDescent="0.3">
      <c r="C4361" s="63" t="s">
        <v>202</v>
      </c>
      <c r="D4361" s="13" t="s">
        <v>834</v>
      </c>
      <c r="E4361" s="27" t="s">
        <v>617</v>
      </c>
      <c r="F4361" s="59">
        <v>1.2</v>
      </c>
      <c r="G4361" s="19">
        <f>VLOOKUP(D4361,upahbahan,3,FALSE)</f>
        <v>360000</v>
      </c>
      <c r="H4361" s="19">
        <f t="shared" ref="H4361" si="470">F4361*G4361</f>
        <v>432000</v>
      </c>
    </row>
    <row r="4362" spans="3:9" x14ac:dyDescent="0.3">
      <c r="C4362" s="21" t="s">
        <v>29</v>
      </c>
      <c r="D4362" s="22"/>
      <c r="E4362" s="22"/>
      <c r="F4362" s="22"/>
      <c r="G4362" s="28"/>
      <c r="H4362" s="19">
        <f>SUM(H4361:H4361)</f>
        <v>432000</v>
      </c>
    </row>
    <row r="4363" spans="3:9" x14ac:dyDescent="0.25">
      <c r="C4363" s="12" t="s">
        <v>30</v>
      </c>
      <c r="D4363" s="13" t="s">
        <v>31</v>
      </c>
      <c r="E4363" s="14"/>
      <c r="F4363" s="14"/>
      <c r="G4363" s="14"/>
      <c r="H4363" s="14"/>
    </row>
    <row r="4364" spans="3:9" x14ac:dyDescent="0.3">
      <c r="C4364" s="21" t="s">
        <v>32</v>
      </c>
      <c r="D4364" s="22"/>
      <c r="E4364" s="22"/>
      <c r="F4364" s="22"/>
      <c r="G4364" s="28"/>
      <c r="H4364" s="29">
        <v>0</v>
      </c>
    </row>
    <row r="4365" spans="3:9" x14ac:dyDescent="0.3">
      <c r="C4365" s="30" t="s">
        <v>33</v>
      </c>
      <c r="D4365" s="31" t="s">
        <v>34</v>
      </c>
      <c r="E4365" s="32"/>
      <c r="F4365" s="32"/>
      <c r="G4365" s="33"/>
      <c r="H4365" s="46">
        <f>H4364+H4362+H4359</f>
        <v>477655</v>
      </c>
      <c r="I4365" s="47"/>
    </row>
    <row r="4366" spans="3:9" x14ac:dyDescent="0.3">
      <c r="C4366" s="30" t="s">
        <v>35</v>
      </c>
      <c r="D4366" s="31" t="s">
        <v>36</v>
      </c>
      <c r="E4366" s="32"/>
      <c r="F4366" s="33"/>
      <c r="G4366" s="34">
        <f>$M$9</f>
        <v>0.1</v>
      </c>
      <c r="H4366" s="19">
        <f>H4365*G4366</f>
        <v>47765.5</v>
      </c>
      <c r="I4366" s="47"/>
    </row>
    <row r="4367" spans="3:9" x14ac:dyDescent="0.3">
      <c r="C4367" s="30" t="s">
        <v>37</v>
      </c>
      <c r="D4367" s="31" t="s">
        <v>38</v>
      </c>
      <c r="E4367" s="32"/>
      <c r="F4367" s="32"/>
      <c r="G4367" s="33"/>
      <c r="H4367" s="48">
        <f>SUM(H4365:H4366)</f>
        <v>525420.5</v>
      </c>
      <c r="I4367" s="47"/>
    </row>
    <row r="4368" spans="3:9" x14ac:dyDescent="0.3">
      <c r="C4368" s="50"/>
      <c r="D4368" s="51"/>
      <c r="E4368" s="51"/>
      <c r="F4368" s="51"/>
      <c r="G4368" s="51"/>
      <c r="H4368" s="52"/>
    </row>
    <row r="4369" spans="3:11" x14ac:dyDescent="0.3">
      <c r="C4369" s="40" t="s">
        <v>835</v>
      </c>
      <c r="D4369" s="68" t="s">
        <v>836</v>
      </c>
      <c r="E4369" s="44"/>
      <c r="F4369" s="44"/>
      <c r="G4369" s="44"/>
      <c r="H4369" s="44"/>
      <c r="I4369" s="10">
        <f>ROUNDDOWN(H4384,0)</f>
        <v>538620</v>
      </c>
      <c r="J4369" s="15" t="s">
        <v>595</v>
      </c>
      <c r="K4369" s="39"/>
    </row>
    <row r="4370" spans="3:11" ht="27.6" x14ac:dyDescent="0.3">
      <c r="C4370" s="11" t="s">
        <v>9</v>
      </c>
      <c r="D4370" s="11" t="s">
        <v>10</v>
      </c>
      <c r="E4370" s="11" t="s">
        <v>11</v>
      </c>
      <c r="F4370" s="11" t="s">
        <v>12</v>
      </c>
      <c r="G4370" s="11" t="s">
        <v>13</v>
      </c>
      <c r="H4370" s="11" t="s">
        <v>14</v>
      </c>
    </row>
    <row r="4371" spans="3:11" x14ac:dyDescent="0.25">
      <c r="C4371" s="12" t="s">
        <v>15</v>
      </c>
      <c r="D4371" s="13" t="s">
        <v>16</v>
      </c>
      <c r="E4371" s="14"/>
      <c r="F4371" s="14"/>
      <c r="G4371" s="14"/>
      <c r="H4371" s="14"/>
    </row>
    <row r="4372" spans="3:11" x14ac:dyDescent="0.3">
      <c r="C4372" s="16">
        <v>1</v>
      </c>
      <c r="D4372" s="13" t="s">
        <v>18</v>
      </c>
      <c r="E4372" s="17" t="s">
        <v>19</v>
      </c>
      <c r="F4372" s="18">
        <v>0.11899999999999999</v>
      </c>
      <c r="G4372" s="19">
        <f>VLOOKUP(D4372,upahbahan,3,FALSE)</f>
        <v>100000</v>
      </c>
      <c r="H4372" s="19">
        <f t="shared" ref="H4372:H4375" si="471">F4372*G4372</f>
        <v>11900</v>
      </c>
    </row>
    <row r="4373" spans="3:11" x14ac:dyDescent="0.3">
      <c r="C4373" s="16">
        <v>2</v>
      </c>
      <c r="D4373" s="13" t="s">
        <v>214</v>
      </c>
      <c r="E4373" s="17" t="s">
        <v>19</v>
      </c>
      <c r="F4373" s="18">
        <v>0.19900000000000001</v>
      </c>
      <c r="G4373" s="19">
        <f>VLOOKUP(D4373,upahbahan,3,FALSE)</f>
        <v>145000</v>
      </c>
      <c r="H4373" s="19">
        <f t="shared" si="471"/>
        <v>28855</v>
      </c>
    </row>
    <row r="4374" spans="3:11" x14ac:dyDescent="0.3">
      <c r="C4374" s="16">
        <v>3</v>
      </c>
      <c r="D4374" s="13" t="s">
        <v>22</v>
      </c>
      <c r="E4374" s="17" t="s">
        <v>19</v>
      </c>
      <c r="F4374" s="18">
        <v>0.02</v>
      </c>
      <c r="G4374" s="19">
        <f>VLOOKUP(D4374,upahbahan,3,FALSE)</f>
        <v>175000</v>
      </c>
      <c r="H4374" s="19">
        <f t="shared" si="471"/>
        <v>3500</v>
      </c>
    </row>
    <row r="4375" spans="3:11" x14ac:dyDescent="0.3">
      <c r="C4375" s="16">
        <v>4</v>
      </c>
      <c r="D4375" s="13" t="s">
        <v>23</v>
      </c>
      <c r="E4375" s="17" t="s">
        <v>19</v>
      </c>
      <c r="F4375" s="18">
        <v>7.0000000000000001E-3</v>
      </c>
      <c r="G4375" s="19">
        <f>VLOOKUP(D4375,upahbahan,3,FALSE)</f>
        <v>200000</v>
      </c>
      <c r="H4375" s="19">
        <f t="shared" si="471"/>
        <v>1400</v>
      </c>
    </row>
    <row r="4376" spans="3:11" x14ac:dyDescent="0.3">
      <c r="C4376" s="21" t="s">
        <v>24</v>
      </c>
      <c r="D4376" s="22"/>
      <c r="E4376" s="22"/>
      <c r="F4376" s="54"/>
      <c r="G4376" s="24"/>
      <c r="H4376" s="19">
        <f>SUM(H4372:H4375)</f>
        <v>45655</v>
      </c>
      <c r="I4376" s="25"/>
    </row>
    <row r="4377" spans="3:11" x14ac:dyDescent="0.25">
      <c r="C4377" s="12" t="s">
        <v>25</v>
      </c>
      <c r="D4377" s="13" t="s">
        <v>26</v>
      </c>
      <c r="E4377" s="14"/>
      <c r="F4377" s="55"/>
      <c r="G4377" s="14"/>
      <c r="H4377" s="14"/>
    </row>
    <row r="4378" spans="3:11" ht="55.2" x14ac:dyDescent="0.3">
      <c r="C4378" s="63" t="s">
        <v>202</v>
      </c>
      <c r="D4378" s="13" t="s">
        <v>837</v>
      </c>
      <c r="E4378" s="27" t="s">
        <v>617</v>
      </c>
      <c r="F4378" s="59">
        <v>1.2</v>
      </c>
      <c r="G4378" s="19">
        <f>VLOOKUP(D4378,upahbahan,3,FALSE)</f>
        <v>370000</v>
      </c>
      <c r="H4378" s="19">
        <f t="shared" ref="H4378" si="472">F4378*G4378</f>
        <v>444000</v>
      </c>
    </row>
    <row r="4379" spans="3:11" x14ac:dyDescent="0.3">
      <c r="C4379" s="21" t="s">
        <v>29</v>
      </c>
      <c r="D4379" s="22"/>
      <c r="E4379" s="22"/>
      <c r="F4379" s="22"/>
      <c r="G4379" s="28"/>
      <c r="H4379" s="19">
        <f>SUM(H4378:H4378)</f>
        <v>444000</v>
      </c>
    </row>
    <row r="4380" spans="3:11" x14ac:dyDescent="0.25">
      <c r="C4380" s="12" t="s">
        <v>30</v>
      </c>
      <c r="D4380" s="13" t="s">
        <v>31</v>
      </c>
      <c r="E4380" s="14"/>
      <c r="F4380" s="14"/>
      <c r="G4380" s="14"/>
      <c r="H4380" s="14"/>
    </row>
    <row r="4381" spans="3:11" x14ac:dyDescent="0.3">
      <c r="C4381" s="21" t="s">
        <v>32</v>
      </c>
      <c r="D4381" s="22"/>
      <c r="E4381" s="22"/>
      <c r="F4381" s="22"/>
      <c r="G4381" s="28"/>
      <c r="H4381" s="29">
        <v>0</v>
      </c>
    </row>
    <row r="4382" spans="3:11" x14ac:dyDescent="0.3">
      <c r="C4382" s="30" t="s">
        <v>33</v>
      </c>
      <c r="D4382" s="31" t="s">
        <v>34</v>
      </c>
      <c r="E4382" s="32"/>
      <c r="F4382" s="32"/>
      <c r="G4382" s="33"/>
      <c r="H4382" s="46">
        <f>H4381+H4379+H4376</f>
        <v>489655</v>
      </c>
      <c r="I4382" s="47"/>
    </row>
    <row r="4383" spans="3:11" x14ac:dyDescent="0.3">
      <c r="C4383" s="30" t="s">
        <v>35</v>
      </c>
      <c r="D4383" s="31" t="s">
        <v>36</v>
      </c>
      <c r="E4383" s="32"/>
      <c r="F4383" s="33"/>
      <c r="G4383" s="34">
        <f>$M$9</f>
        <v>0.1</v>
      </c>
      <c r="H4383" s="19">
        <f>H4382*G4383</f>
        <v>48965.5</v>
      </c>
      <c r="I4383" s="47"/>
    </row>
    <row r="4384" spans="3:11" x14ac:dyDescent="0.3">
      <c r="C4384" s="30" t="s">
        <v>37</v>
      </c>
      <c r="D4384" s="31" t="s">
        <v>38</v>
      </c>
      <c r="E4384" s="32"/>
      <c r="F4384" s="32"/>
      <c r="G4384" s="33"/>
      <c r="H4384" s="48">
        <f>SUM(H4382:H4383)</f>
        <v>538620.5</v>
      </c>
      <c r="I4384" s="47"/>
    </row>
    <row r="4385" spans="3:11" x14ac:dyDescent="0.3">
      <c r="C4385" s="50"/>
      <c r="D4385" s="51"/>
      <c r="E4385" s="51"/>
      <c r="F4385" s="51"/>
      <c r="G4385" s="51"/>
      <c r="H4385" s="52"/>
    </row>
    <row r="4386" spans="3:11" x14ac:dyDescent="0.3">
      <c r="C4386" s="40" t="s">
        <v>838</v>
      </c>
      <c r="D4386" s="68" t="s">
        <v>839</v>
      </c>
      <c r="E4386" s="44"/>
      <c r="F4386" s="44"/>
      <c r="G4386" s="44"/>
      <c r="H4386" s="44"/>
      <c r="I4386" s="10">
        <f>ROUNDDOWN(H4401,0)</f>
        <v>551820</v>
      </c>
      <c r="J4386" s="15" t="s">
        <v>595</v>
      </c>
      <c r="K4386" s="39"/>
    </row>
    <row r="4387" spans="3:11" ht="27.6" x14ac:dyDescent="0.3">
      <c r="C4387" s="11" t="s">
        <v>9</v>
      </c>
      <c r="D4387" s="11" t="s">
        <v>10</v>
      </c>
      <c r="E4387" s="11" t="s">
        <v>11</v>
      </c>
      <c r="F4387" s="11" t="s">
        <v>12</v>
      </c>
      <c r="G4387" s="11" t="s">
        <v>13</v>
      </c>
      <c r="H4387" s="11" t="s">
        <v>14</v>
      </c>
    </row>
    <row r="4388" spans="3:11" x14ac:dyDescent="0.25">
      <c r="C4388" s="12" t="s">
        <v>15</v>
      </c>
      <c r="D4388" s="13" t="s">
        <v>16</v>
      </c>
      <c r="E4388" s="14"/>
      <c r="F4388" s="14"/>
      <c r="G4388" s="14"/>
      <c r="H4388" s="14"/>
    </row>
    <row r="4389" spans="3:11" x14ac:dyDescent="0.3">
      <c r="C4389" s="16">
        <v>1</v>
      </c>
      <c r="D4389" s="13" t="s">
        <v>18</v>
      </c>
      <c r="E4389" s="17" t="s">
        <v>19</v>
      </c>
      <c r="F4389" s="18">
        <v>0.11899999999999999</v>
      </c>
      <c r="G4389" s="19">
        <f>VLOOKUP(D4389,upahbahan,3,FALSE)</f>
        <v>100000</v>
      </c>
      <c r="H4389" s="19">
        <f t="shared" ref="H4389:H4392" si="473">F4389*G4389</f>
        <v>11900</v>
      </c>
    </row>
    <row r="4390" spans="3:11" x14ac:dyDescent="0.3">
      <c r="C4390" s="16">
        <v>2</v>
      </c>
      <c r="D4390" s="13" t="s">
        <v>214</v>
      </c>
      <c r="E4390" s="17" t="s">
        <v>19</v>
      </c>
      <c r="F4390" s="18">
        <v>0.19900000000000001</v>
      </c>
      <c r="G4390" s="19">
        <f>VLOOKUP(D4390,upahbahan,3,FALSE)</f>
        <v>145000</v>
      </c>
      <c r="H4390" s="19">
        <f t="shared" si="473"/>
        <v>28855</v>
      </c>
    </row>
    <row r="4391" spans="3:11" x14ac:dyDescent="0.3">
      <c r="C4391" s="16">
        <v>3</v>
      </c>
      <c r="D4391" s="13" t="s">
        <v>22</v>
      </c>
      <c r="E4391" s="17" t="s">
        <v>19</v>
      </c>
      <c r="F4391" s="18">
        <v>0.02</v>
      </c>
      <c r="G4391" s="19">
        <f>VLOOKUP(D4391,upahbahan,3,FALSE)</f>
        <v>175000</v>
      </c>
      <c r="H4391" s="19">
        <f t="shared" si="473"/>
        <v>3500</v>
      </c>
    </row>
    <row r="4392" spans="3:11" x14ac:dyDescent="0.3">
      <c r="C4392" s="16">
        <v>4</v>
      </c>
      <c r="D4392" s="13" t="s">
        <v>23</v>
      </c>
      <c r="E4392" s="17" t="s">
        <v>19</v>
      </c>
      <c r="F4392" s="18">
        <v>7.0000000000000001E-3</v>
      </c>
      <c r="G4392" s="19">
        <f>VLOOKUP(D4392,upahbahan,3,FALSE)</f>
        <v>200000</v>
      </c>
      <c r="H4392" s="19">
        <f t="shared" si="473"/>
        <v>1400</v>
      </c>
    </row>
    <row r="4393" spans="3:11" x14ac:dyDescent="0.3">
      <c r="C4393" s="21" t="s">
        <v>24</v>
      </c>
      <c r="D4393" s="22"/>
      <c r="E4393" s="22"/>
      <c r="F4393" s="54"/>
      <c r="G4393" s="24"/>
      <c r="H4393" s="19">
        <f>SUM(H4389:H4392)</f>
        <v>45655</v>
      </c>
      <c r="I4393" s="25"/>
    </row>
    <row r="4394" spans="3:11" x14ac:dyDescent="0.25">
      <c r="C4394" s="12" t="s">
        <v>25</v>
      </c>
      <c r="D4394" s="13" t="s">
        <v>26</v>
      </c>
      <c r="E4394" s="14"/>
      <c r="F4394" s="55"/>
      <c r="G4394" s="14"/>
      <c r="H4394" s="14"/>
    </row>
    <row r="4395" spans="3:11" ht="41.4" x14ac:dyDescent="0.3">
      <c r="C4395" s="63" t="s">
        <v>202</v>
      </c>
      <c r="D4395" s="13" t="s">
        <v>840</v>
      </c>
      <c r="E4395" s="27" t="s">
        <v>617</v>
      </c>
      <c r="F4395" s="59">
        <v>1.2</v>
      </c>
      <c r="G4395" s="19">
        <f>VLOOKUP(D4395,upahbahan,3,FALSE)</f>
        <v>380000</v>
      </c>
      <c r="H4395" s="19">
        <f t="shared" ref="H4395" si="474">F4395*G4395</f>
        <v>456000</v>
      </c>
    </row>
    <row r="4396" spans="3:11" x14ac:dyDescent="0.3">
      <c r="C4396" s="21" t="s">
        <v>29</v>
      </c>
      <c r="D4396" s="22"/>
      <c r="E4396" s="22"/>
      <c r="F4396" s="22"/>
      <c r="G4396" s="28"/>
      <c r="H4396" s="19">
        <f>SUM(H4395:H4395)</f>
        <v>456000</v>
      </c>
    </row>
    <row r="4397" spans="3:11" x14ac:dyDescent="0.25">
      <c r="C4397" s="12" t="s">
        <v>30</v>
      </c>
      <c r="D4397" s="13" t="s">
        <v>31</v>
      </c>
      <c r="E4397" s="14"/>
      <c r="F4397" s="14"/>
      <c r="G4397" s="14"/>
      <c r="H4397" s="14"/>
    </row>
    <row r="4398" spans="3:11" x14ac:dyDescent="0.3">
      <c r="C4398" s="21" t="s">
        <v>32</v>
      </c>
      <c r="D4398" s="22"/>
      <c r="E4398" s="22"/>
      <c r="F4398" s="22"/>
      <c r="G4398" s="28"/>
      <c r="H4398" s="29">
        <v>0</v>
      </c>
    </row>
    <row r="4399" spans="3:11" x14ac:dyDescent="0.3">
      <c r="C4399" s="30" t="s">
        <v>33</v>
      </c>
      <c r="D4399" s="31" t="s">
        <v>34</v>
      </c>
      <c r="E4399" s="32"/>
      <c r="F4399" s="32"/>
      <c r="G4399" s="33"/>
      <c r="H4399" s="46">
        <f>H4398+H4396+H4393</f>
        <v>501655</v>
      </c>
      <c r="I4399" s="47"/>
    </row>
    <row r="4400" spans="3:11" x14ac:dyDescent="0.3">
      <c r="C4400" s="30" t="s">
        <v>35</v>
      </c>
      <c r="D4400" s="31" t="s">
        <v>36</v>
      </c>
      <c r="E4400" s="32"/>
      <c r="F4400" s="33"/>
      <c r="G4400" s="34">
        <f>$M$9</f>
        <v>0.1</v>
      </c>
      <c r="H4400" s="19">
        <f>H4399*G4400</f>
        <v>50165.5</v>
      </c>
      <c r="I4400" s="47"/>
    </row>
    <row r="4401" spans="3:11" x14ac:dyDescent="0.3">
      <c r="C4401" s="30" t="s">
        <v>37</v>
      </c>
      <c r="D4401" s="31" t="s">
        <v>38</v>
      </c>
      <c r="E4401" s="32"/>
      <c r="F4401" s="32"/>
      <c r="G4401" s="33"/>
      <c r="H4401" s="48">
        <f>SUM(H4399:H4400)</f>
        <v>551820.5</v>
      </c>
      <c r="I4401" s="47"/>
    </row>
    <row r="4402" spans="3:11" x14ac:dyDescent="0.3">
      <c r="C4402" s="50"/>
      <c r="D4402" s="51"/>
      <c r="E4402" s="51"/>
      <c r="F4402" s="51"/>
      <c r="G4402" s="51"/>
      <c r="H4402" s="52"/>
    </row>
    <row r="4403" spans="3:11" x14ac:dyDescent="0.3">
      <c r="C4403" s="50"/>
      <c r="D4403" s="51"/>
      <c r="E4403" s="51"/>
      <c r="F4403" s="51"/>
      <c r="G4403" s="51"/>
      <c r="H4403" s="52"/>
    </row>
    <row r="4404" spans="3:11" x14ac:dyDescent="0.3">
      <c r="C4404" s="2" t="s">
        <v>841</v>
      </c>
      <c r="D4404" s="2" t="s">
        <v>842</v>
      </c>
    </row>
    <row r="4405" spans="3:11" x14ac:dyDescent="0.3">
      <c r="C4405" s="40" t="s">
        <v>843</v>
      </c>
      <c r="D4405" s="68" t="s">
        <v>844</v>
      </c>
      <c r="E4405" s="44"/>
      <c r="F4405" s="44"/>
      <c r="G4405" s="44"/>
      <c r="H4405" s="44"/>
      <c r="I4405" s="10">
        <f>ROUNDDOWN(H4420,0)</f>
        <v>4987933</v>
      </c>
      <c r="J4405" s="15"/>
      <c r="K4405" s="39"/>
    </row>
    <row r="4406" spans="3:11" ht="27.6" x14ac:dyDescent="0.3">
      <c r="C4406" s="11" t="s">
        <v>9</v>
      </c>
      <c r="D4406" s="11" t="s">
        <v>10</v>
      </c>
      <c r="E4406" s="11" t="s">
        <v>11</v>
      </c>
      <c r="F4406" s="11" t="s">
        <v>12</v>
      </c>
      <c r="G4406" s="11" t="s">
        <v>13</v>
      </c>
      <c r="H4406" s="11" t="s">
        <v>14</v>
      </c>
    </row>
    <row r="4407" spans="3:11" x14ac:dyDescent="0.25">
      <c r="C4407" s="12" t="s">
        <v>15</v>
      </c>
      <c r="D4407" s="13" t="s">
        <v>16</v>
      </c>
      <c r="E4407" s="14"/>
      <c r="F4407" s="14"/>
      <c r="G4407" s="14"/>
      <c r="H4407" s="14"/>
    </row>
    <row r="4408" spans="3:11" x14ac:dyDescent="0.3">
      <c r="C4408" s="16">
        <v>1</v>
      </c>
      <c r="D4408" s="13" t="s">
        <v>18</v>
      </c>
      <c r="E4408" s="17" t="s">
        <v>19</v>
      </c>
      <c r="F4408" s="18">
        <v>3.75</v>
      </c>
      <c r="G4408" s="19">
        <f>VLOOKUP(D4408,upahbahan,3,FALSE)</f>
        <v>100000</v>
      </c>
      <c r="H4408" s="19">
        <f t="shared" ref="H4408:H4411" si="475">F4408*G4408</f>
        <v>375000</v>
      </c>
    </row>
    <row r="4409" spans="3:11" x14ac:dyDescent="0.3">
      <c r="C4409" s="16">
        <v>2</v>
      </c>
      <c r="D4409" s="13" t="s">
        <v>214</v>
      </c>
      <c r="E4409" s="17" t="s">
        <v>19</v>
      </c>
      <c r="F4409" s="18">
        <v>6.2629999999999999</v>
      </c>
      <c r="G4409" s="19">
        <f>VLOOKUP(D4409,upahbahan,3,FALSE)</f>
        <v>145000</v>
      </c>
      <c r="H4409" s="19">
        <f t="shared" si="475"/>
        <v>908135</v>
      </c>
    </row>
    <row r="4410" spans="3:11" x14ac:dyDescent="0.3">
      <c r="C4410" s="16">
        <v>3</v>
      </c>
      <c r="D4410" s="13" t="s">
        <v>22</v>
      </c>
      <c r="E4410" s="17" t="s">
        <v>19</v>
      </c>
      <c r="F4410" s="18">
        <v>0.626</v>
      </c>
      <c r="G4410" s="19">
        <f>VLOOKUP(D4410,upahbahan,3,FALSE)</f>
        <v>175000</v>
      </c>
      <c r="H4410" s="19">
        <f t="shared" si="475"/>
        <v>109550</v>
      </c>
    </row>
    <row r="4411" spans="3:11" x14ac:dyDescent="0.3">
      <c r="C4411" s="16">
        <v>4</v>
      </c>
      <c r="D4411" s="13" t="s">
        <v>23</v>
      </c>
      <c r="E4411" s="17" t="s">
        <v>19</v>
      </c>
      <c r="F4411" s="18">
        <v>0.20899999999999999</v>
      </c>
      <c r="G4411" s="19">
        <f>VLOOKUP(D4411,upahbahan,3,FALSE)</f>
        <v>200000</v>
      </c>
      <c r="H4411" s="19">
        <f t="shared" si="475"/>
        <v>41800</v>
      </c>
    </row>
    <row r="4412" spans="3:11" x14ac:dyDescent="0.3">
      <c r="C4412" s="21" t="s">
        <v>24</v>
      </c>
      <c r="D4412" s="22"/>
      <c r="E4412" s="22"/>
      <c r="F4412" s="54"/>
      <c r="G4412" s="24"/>
      <c r="H4412" s="19">
        <f>SUM(H4408:H4411)</f>
        <v>1434485</v>
      </c>
      <c r="I4412" s="25"/>
    </row>
    <row r="4413" spans="3:11" x14ac:dyDescent="0.25">
      <c r="C4413" s="12" t="s">
        <v>25</v>
      </c>
      <c r="D4413" s="13" t="s">
        <v>26</v>
      </c>
      <c r="E4413" s="14"/>
      <c r="F4413" s="55"/>
      <c r="G4413" s="14"/>
      <c r="H4413" s="14"/>
    </row>
    <row r="4414" spans="3:11" s="91" customFormat="1" x14ac:dyDescent="0.3">
      <c r="C4414" s="85" t="s">
        <v>202</v>
      </c>
      <c r="D4414" s="86" t="s">
        <v>845</v>
      </c>
      <c r="E4414" s="87" t="s">
        <v>846</v>
      </c>
      <c r="F4414" s="88">
        <v>1</v>
      </c>
      <c r="G4414" s="89">
        <f>VLOOKUP(D4414,upahbahan,3,FALSE)</f>
        <v>3100000</v>
      </c>
      <c r="H4414" s="89">
        <f t="shared" ref="H4414" si="476">F4414*G4414</f>
        <v>3100000</v>
      </c>
      <c r="I4414" s="90"/>
      <c r="J4414" s="4"/>
      <c r="K4414" s="4"/>
    </row>
    <row r="4415" spans="3:11" x14ac:dyDescent="0.3">
      <c r="C4415" s="21" t="s">
        <v>29</v>
      </c>
      <c r="D4415" s="22"/>
      <c r="E4415" s="22"/>
      <c r="F4415" s="22"/>
      <c r="G4415" s="28"/>
      <c r="H4415" s="19">
        <f>SUM(H4414:H4414)</f>
        <v>3100000</v>
      </c>
    </row>
    <row r="4416" spans="3:11" x14ac:dyDescent="0.25">
      <c r="C4416" s="12" t="s">
        <v>30</v>
      </c>
      <c r="D4416" s="13" t="s">
        <v>31</v>
      </c>
      <c r="E4416" s="14"/>
      <c r="F4416" s="14"/>
      <c r="G4416" s="14"/>
      <c r="H4416" s="14"/>
    </row>
    <row r="4417" spans="3:11" x14ac:dyDescent="0.3">
      <c r="C4417" s="21" t="s">
        <v>32</v>
      </c>
      <c r="D4417" s="22"/>
      <c r="E4417" s="22"/>
      <c r="F4417" s="22"/>
      <c r="G4417" s="28"/>
      <c r="H4417" s="29">
        <v>0</v>
      </c>
    </row>
    <row r="4418" spans="3:11" x14ac:dyDescent="0.3">
      <c r="C4418" s="30" t="s">
        <v>33</v>
      </c>
      <c r="D4418" s="31" t="s">
        <v>34</v>
      </c>
      <c r="E4418" s="32"/>
      <c r="F4418" s="32"/>
      <c r="G4418" s="33"/>
      <c r="H4418" s="46">
        <f>H4417+H4415+H4412</f>
        <v>4534485</v>
      </c>
      <c r="I4418" s="47"/>
    </row>
    <row r="4419" spans="3:11" x14ac:dyDescent="0.3">
      <c r="C4419" s="30" t="s">
        <v>35</v>
      </c>
      <c r="D4419" s="31" t="s">
        <v>36</v>
      </c>
      <c r="E4419" s="32"/>
      <c r="F4419" s="33"/>
      <c r="G4419" s="34">
        <f>$M$9</f>
        <v>0.1</v>
      </c>
      <c r="H4419" s="19">
        <f>H4418*G4419</f>
        <v>453448.5</v>
      </c>
      <c r="I4419" s="47"/>
    </row>
    <row r="4420" spans="3:11" x14ac:dyDescent="0.3">
      <c r="C4420" s="30" t="s">
        <v>37</v>
      </c>
      <c r="D4420" s="31" t="s">
        <v>38</v>
      </c>
      <c r="E4420" s="32"/>
      <c r="F4420" s="32"/>
      <c r="G4420" s="33"/>
      <c r="H4420" s="48">
        <f>SUM(H4418:H4419)</f>
        <v>4987933.5</v>
      </c>
      <c r="I4420" s="47"/>
    </row>
    <row r="4422" spans="3:11" x14ac:dyDescent="0.3">
      <c r="C4422" s="40" t="s">
        <v>847</v>
      </c>
      <c r="D4422" s="68" t="s">
        <v>848</v>
      </c>
      <c r="E4422" s="44"/>
      <c r="F4422" s="44"/>
      <c r="G4422" s="44"/>
      <c r="H4422" s="44"/>
      <c r="I4422" s="10">
        <f>ROUNDDOWN(H4437,0)</f>
        <v>3052709</v>
      </c>
      <c r="J4422" s="15"/>
      <c r="K4422" s="39"/>
    </row>
    <row r="4423" spans="3:11" ht="27.6" x14ac:dyDescent="0.3">
      <c r="C4423" s="11" t="s">
        <v>9</v>
      </c>
      <c r="D4423" s="11" t="s">
        <v>10</v>
      </c>
      <c r="E4423" s="11" t="s">
        <v>11</v>
      </c>
      <c r="F4423" s="11" t="s">
        <v>12</v>
      </c>
      <c r="G4423" s="11" t="s">
        <v>13</v>
      </c>
      <c r="H4423" s="11" t="s">
        <v>14</v>
      </c>
    </row>
    <row r="4424" spans="3:11" x14ac:dyDescent="0.25">
      <c r="C4424" s="12" t="s">
        <v>15</v>
      </c>
      <c r="D4424" s="13" t="s">
        <v>16</v>
      </c>
      <c r="E4424" s="14"/>
      <c r="F4424" s="14"/>
      <c r="G4424" s="14"/>
      <c r="H4424" s="14"/>
    </row>
    <row r="4425" spans="3:11" x14ac:dyDescent="0.3">
      <c r="C4425" s="16">
        <v>1</v>
      </c>
      <c r="D4425" s="13" t="s">
        <v>18</v>
      </c>
      <c r="E4425" s="17" t="s">
        <v>19</v>
      </c>
      <c r="F4425" s="18">
        <v>3.3330000000000002</v>
      </c>
      <c r="G4425" s="19">
        <f>VLOOKUP(D4425,upahbahan,3,FALSE)</f>
        <v>100000</v>
      </c>
      <c r="H4425" s="19">
        <f t="shared" ref="H4425:H4428" si="477">F4425*G4425</f>
        <v>333300</v>
      </c>
    </row>
    <row r="4426" spans="3:11" x14ac:dyDescent="0.3">
      <c r="C4426" s="16">
        <v>2</v>
      </c>
      <c r="D4426" s="13" t="s">
        <v>214</v>
      </c>
      <c r="E4426" s="17" t="s">
        <v>19</v>
      </c>
      <c r="F4426" s="18">
        <v>5.5670000000000002</v>
      </c>
      <c r="G4426" s="19">
        <f>VLOOKUP(D4426,upahbahan,3,FALSE)</f>
        <v>145000</v>
      </c>
      <c r="H4426" s="19">
        <f t="shared" si="477"/>
        <v>807215</v>
      </c>
    </row>
    <row r="4427" spans="3:11" x14ac:dyDescent="0.3">
      <c r="C4427" s="16">
        <v>3</v>
      </c>
      <c r="D4427" s="13" t="s">
        <v>22</v>
      </c>
      <c r="E4427" s="17" t="s">
        <v>19</v>
      </c>
      <c r="F4427" s="18">
        <v>0.55700000000000005</v>
      </c>
      <c r="G4427" s="19">
        <f>VLOOKUP(D4427,upahbahan,3,FALSE)</f>
        <v>175000</v>
      </c>
      <c r="H4427" s="19">
        <f t="shared" si="477"/>
        <v>97475.000000000015</v>
      </c>
    </row>
    <row r="4428" spans="3:11" x14ac:dyDescent="0.3">
      <c r="C4428" s="16">
        <v>4</v>
      </c>
      <c r="D4428" s="13" t="s">
        <v>23</v>
      </c>
      <c r="E4428" s="17" t="s">
        <v>19</v>
      </c>
      <c r="F4428" s="18">
        <v>0.186</v>
      </c>
      <c r="G4428" s="19">
        <f>VLOOKUP(D4428,upahbahan,3,FALSE)</f>
        <v>200000</v>
      </c>
      <c r="H4428" s="19">
        <f t="shared" si="477"/>
        <v>37200</v>
      </c>
    </row>
    <row r="4429" spans="3:11" x14ac:dyDescent="0.3">
      <c r="C4429" s="21" t="s">
        <v>24</v>
      </c>
      <c r="D4429" s="22"/>
      <c r="E4429" s="22"/>
      <c r="F4429" s="54"/>
      <c r="G4429" s="24"/>
      <c r="H4429" s="19">
        <f>SUM(H4425:H4428)</f>
        <v>1275190</v>
      </c>
      <c r="I4429" s="25"/>
    </row>
    <row r="4430" spans="3:11" x14ac:dyDescent="0.25">
      <c r="C4430" s="12" t="s">
        <v>25</v>
      </c>
      <c r="D4430" s="13" t="s">
        <v>26</v>
      </c>
      <c r="E4430" s="14"/>
      <c r="F4430" s="55"/>
      <c r="G4430" s="14"/>
      <c r="H4430" s="14"/>
    </row>
    <row r="4431" spans="3:11" s="91" customFormat="1" x14ac:dyDescent="0.3">
      <c r="C4431" s="85" t="s">
        <v>202</v>
      </c>
      <c r="D4431" s="86" t="s">
        <v>849</v>
      </c>
      <c r="E4431" s="87" t="s">
        <v>846</v>
      </c>
      <c r="F4431" s="88">
        <v>1</v>
      </c>
      <c r="G4431" s="89">
        <f>VLOOKUP(D4431,upahbahan,3,FALSE)</f>
        <v>1500000</v>
      </c>
      <c r="H4431" s="89">
        <f t="shared" ref="H4431" si="478">F4431*G4431</f>
        <v>1500000</v>
      </c>
      <c r="I4431" s="90"/>
      <c r="J4431" s="4"/>
      <c r="K4431" s="4"/>
    </row>
    <row r="4432" spans="3:11" x14ac:dyDescent="0.3">
      <c r="C4432" s="21" t="s">
        <v>29</v>
      </c>
      <c r="D4432" s="22"/>
      <c r="E4432" s="22"/>
      <c r="F4432" s="22"/>
      <c r="G4432" s="28"/>
      <c r="H4432" s="19">
        <f>SUM(H4431:H4431)</f>
        <v>1500000</v>
      </c>
    </row>
    <row r="4433" spans="3:11" x14ac:dyDescent="0.25">
      <c r="C4433" s="12" t="s">
        <v>30</v>
      </c>
      <c r="D4433" s="13" t="s">
        <v>31</v>
      </c>
      <c r="E4433" s="14"/>
      <c r="F4433" s="14"/>
      <c r="G4433" s="14"/>
      <c r="H4433" s="14"/>
    </row>
    <row r="4434" spans="3:11" x14ac:dyDescent="0.3">
      <c r="C4434" s="21" t="s">
        <v>32</v>
      </c>
      <c r="D4434" s="22"/>
      <c r="E4434" s="22"/>
      <c r="F4434" s="22"/>
      <c r="G4434" s="28"/>
      <c r="H4434" s="29">
        <v>0</v>
      </c>
    </row>
    <row r="4435" spans="3:11" x14ac:dyDescent="0.3">
      <c r="C4435" s="30" t="s">
        <v>33</v>
      </c>
      <c r="D4435" s="31" t="s">
        <v>34</v>
      </c>
      <c r="E4435" s="32"/>
      <c r="F4435" s="32"/>
      <c r="G4435" s="33"/>
      <c r="H4435" s="46">
        <f>H4434+H4432+H4429</f>
        <v>2775190</v>
      </c>
      <c r="I4435" s="47"/>
    </row>
    <row r="4436" spans="3:11" x14ac:dyDescent="0.3">
      <c r="C4436" s="30" t="s">
        <v>35</v>
      </c>
      <c r="D4436" s="31" t="s">
        <v>36</v>
      </c>
      <c r="E4436" s="32"/>
      <c r="F4436" s="33"/>
      <c r="G4436" s="34">
        <f>$M$9</f>
        <v>0.1</v>
      </c>
      <c r="H4436" s="19">
        <f>H4435*G4436</f>
        <v>277519</v>
      </c>
      <c r="I4436" s="47"/>
    </row>
    <row r="4437" spans="3:11" x14ac:dyDescent="0.3">
      <c r="C4437" s="30" t="s">
        <v>37</v>
      </c>
      <c r="D4437" s="31" t="s">
        <v>38</v>
      </c>
      <c r="E4437" s="32"/>
      <c r="F4437" s="32"/>
      <c r="G4437" s="33"/>
      <c r="H4437" s="48">
        <f>SUM(H4435:H4436)</f>
        <v>3052709</v>
      </c>
      <c r="I4437" s="47"/>
    </row>
    <row r="4439" spans="3:11" x14ac:dyDescent="0.3">
      <c r="C4439" s="40" t="s">
        <v>850</v>
      </c>
      <c r="D4439" s="68" t="s">
        <v>851</v>
      </c>
      <c r="E4439" s="44"/>
      <c r="F4439" s="44"/>
      <c r="G4439" s="44"/>
      <c r="H4439" s="44"/>
      <c r="I4439" s="10">
        <f>ROUNDDOWN(H4454,0)</f>
        <v>5511044</v>
      </c>
      <c r="J4439" s="15"/>
      <c r="K4439" s="39"/>
    </row>
    <row r="4440" spans="3:11" ht="27.6" x14ac:dyDescent="0.3">
      <c r="C4440" s="11" t="s">
        <v>9</v>
      </c>
      <c r="D4440" s="11" t="s">
        <v>10</v>
      </c>
      <c r="E4440" s="11" t="s">
        <v>11</v>
      </c>
      <c r="F4440" s="11" t="s">
        <v>12</v>
      </c>
      <c r="G4440" s="11" t="s">
        <v>13</v>
      </c>
      <c r="H4440" s="11" t="s">
        <v>14</v>
      </c>
    </row>
    <row r="4441" spans="3:11" x14ac:dyDescent="0.25">
      <c r="C4441" s="12" t="s">
        <v>15</v>
      </c>
      <c r="D4441" s="13" t="s">
        <v>16</v>
      </c>
      <c r="E4441" s="14"/>
      <c r="F4441" s="14"/>
      <c r="G4441" s="14"/>
      <c r="H4441" s="14"/>
    </row>
    <row r="4442" spans="3:11" x14ac:dyDescent="0.3">
      <c r="C4442" s="16">
        <v>1</v>
      </c>
      <c r="D4442" s="13" t="s">
        <v>18</v>
      </c>
      <c r="E4442" s="17" t="s">
        <v>19</v>
      </c>
      <c r="F4442" s="18">
        <v>1.333</v>
      </c>
      <c r="G4442" s="19">
        <f>VLOOKUP(D4442,upahbahan,3,FALSE)</f>
        <v>100000</v>
      </c>
      <c r="H4442" s="19">
        <f t="shared" ref="H4442:H4445" si="479">F4442*G4442</f>
        <v>133300</v>
      </c>
    </row>
    <row r="4443" spans="3:11" x14ac:dyDescent="0.3">
      <c r="C4443" s="16">
        <v>2</v>
      </c>
      <c r="D4443" s="13" t="s">
        <v>214</v>
      </c>
      <c r="E4443" s="17" t="s">
        <v>19</v>
      </c>
      <c r="F4443" s="18">
        <v>2.2269999999999999</v>
      </c>
      <c r="G4443" s="19">
        <f>VLOOKUP(D4443,upahbahan,3,FALSE)</f>
        <v>145000</v>
      </c>
      <c r="H4443" s="19">
        <f t="shared" si="479"/>
        <v>322915</v>
      </c>
    </row>
    <row r="4444" spans="3:11" x14ac:dyDescent="0.3">
      <c r="C4444" s="16">
        <v>3</v>
      </c>
      <c r="D4444" s="13" t="s">
        <v>22</v>
      </c>
      <c r="E4444" s="17" t="s">
        <v>19</v>
      </c>
      <c r="F4444" s="18">
        <v>0.223</v>
      </c>
      <c r="G4444" s="19">
        <f>VLOOKUP(D4444,upahbahan,3,FALSE)</f>
        <v>175000</v>
      </c>
      <c r="H4444" s="19">
        <f t="shared" si="479"/>
        <v>39025</v>
      </c>
    </row>
    <row r="4445" spans="3:11" x14ac:dyDescent="0.3">
      <c r="C4445" s="16">
        <v>4</v>
      </c>
      <c r="D4445" s="13" t="s">
        <v>23</v>
      </c>
      <c r="E4445" s="17" t="s">
        <v>19</v>
      </c>
      <c r="F4445" s="18">
        <v>7.3999999999999996E-2</v>
      </c>
      <c r="G4445" s="19">
        <f>VLOOKUP(D4445,upahbahan,3,FALSE)</f>
        <v>200000</v>
      </c>
      <c r="H4445" s="19">
        <f t="shared" si="479"/>
        <v>14800</v>
      </c>
    </row>
    <row r="4446" spans="3:11" x14ac:dyDescent="0.3">
      <c r="C4446" s="21" t="s">
        <v>24</v>
      </c>
      <c r="D4446" s="22"/>
      <c r="E4446" s="22"/>
      <c r="F4446" s="54"/>
      <c r="G4446" s="24"/>
      <c r="H4446" s="19">
        <f>SUM(H4442:H4445)</f>
        <v>510040</v>
      </c>
      <c r="I4446" s="25"/>
    </row>
    <row r="4447" spans="3:11" x14ac:dyDescent="0.25">
      <c r="C4447" s="12" t="s">
        <v>25</v>
      </c>
      <c r="D4447" s="13" t="s">
        <v>26</v>
      </c>
      <c r="E4447" s="14"/>
      <c r="F4447" s="55"/>
      <c r="G4447" s="14"/>
      <c r="H4447" s="14"/>
    </row>
    <row r="4448" spans="3:11" s="91" customFormat="1" x14ac:dyDescent="0.3">
      <c r="C4448" s="85" t="s">
        <v>202</v>
      </c>
      <c r="D4448" s="86" t="s">
        <v>852</v>
      </c>
      <c r="E4448" s="87" t="s">
        <v>846</v>
      </c>
      <c r="F4448" s="88">
        <v>1</v>
      </c>
      <c r="G4448" s="89">
        <f>VLOOKUP(D4448,upahbahan,3,FALSE)</f>
        <v>4500000</v>
      </c>
      <c r="H4448" s="89">
        <f t="shared" ref="H4448" si="480">F4448*G4448</f>
        <v>4500000</v>
      </c>
      <c r="I4448" s="90"/>
      <c r="J4448" s="4"/>
      <c r="K4448" s="4"/>
    </row>
    <row r="4449" spans="3:11" x14ac:dyDescent="0.3">
      <c r="C4449" s="21" t="s">
        <v>29</v>
      </c>
      <c r="D4449" s="22"/>
      <c r="E4449" s="22"/>
      <c r="F4449" s="22"/>
      <c r="G4449" s="28"/>
      <c r="H4449" s="19">
        <f>SUM(H4448:H4448)</f>
        <v>4500000</v>
      </c>
    </row>
    <row r="4450" spans="3:11" x14ac:dyDescent="0.25">
      <c r="C4450" s="12" t="s">
        <v>30</v>
      </c>
      <c r="D4450" s="13" t="s">
        <v>31</v>
      </c>
      <c r="E4450" s="14"/>
      <c r="F4450" s="14"/>
      <c r="G4450" s="14"/>
      <c r="H4450" s="14"/>
    </row>
    <row r="4451" spans="3:11" x14ac:dyDescent="0.3">
      <c r="C4451" s="21" t="s">
        <v>32</v>
      </c>
      <c r="D4451" s="22"/>
      <c r="E4451" s="22"/>
      <c r="F4451" s="22"/>
      <c r="G4451" s="28"/>
      <c r="H4451" s="29">
        <v>0</v>
      </c>
    </row>
    <row r="4452" spans="3:11" x14ac:dyDescent="0.3">
      <c r="C4452" s="30" t="s">
        <v>33</v>
      </c>
      <c r="D4452" s="31" t="s">
        <v>34</v>
      </c>
      <c r="E4452" s="32"/>
      <c r="F4452" s="32"/>
      <c r="G4452" s="33"/>
      <c r="H4452" s="46">
        <f>H4451+H4449+H4446</f>
        <v>5010040</v>
      </c>
      <c r="I4452" s="47"/>
    </row>
    <row r="4453" spans="3:11" x14ac:dyDescent="0.3">
      <c r="C4453" s="30" t="s">
        <v>35</v>
      </c>
      <c r="D4453" s="31" t="s">
        <v>36</v>
      </c>
      <c r="E4453" s="32"/>
      <c r="F4453" s="33"/>
      <c r="G4453" s="34">
        <f>$M$9</f>
        <v>0.1</v>
      </c>
      <c r="H4453" s="19">
        <f>H4452*G4453</f>
        <v>501004</v>
      </c>
      <c r="I4453" s="47"/>
    </row>
    <row r="4454" spans="3:11" x14ac:dyDescent="0.3">
      <c r="C4454" s="30" t="s">
        <v>37</v>
      </c>
      <c r="D4454" s="31" t="s">
        <v>38</v>
      </c>
      <c r="E4454" s="32"/>
      <c r="F4454" s="32"/>
      <c r="G4454" s="33"/>
      <c r="H4454" s="48">
        <f>SUM(H4452:H4453)</f>
        <v>5511044</v>
      </c>
      <c r="I4454" s="47"/>
    </row>
    <row r="4456" spans="3:11" x14ac:dyDescent="0.3">
      <c r="C4456" s="40" t="s">
        <v>853</v>
      </c>
      <c r="D4456" s="68" t="s">
        <v>854</v>
      </c>
      <c r="E4456" s="44"/>
      <c r="F4456" s="44"/>
      <c r="G4456" s="44"/>
      <c r="H4456" s="44"/>
      <c r="I4456" s="10">
        <f>ROUNDDOWN(H4471,0)</f>
        <v>5880913</v>
      </c>
      <c r="J4456" s="15"/>
      <c r="K4456" s="39"/>
    </row>
    <row r="4457" spans="3:11" ht="27.6" x14ac:dyDescent="0.3">
      <c r="C4457" s="11" t="s">
        <v>9</v>
      </c>
      <c r="D4457" s="11" t="s">
        <v>10</v>
      </c>
      <c r="E4457" s="11" t="s">
        <v>11</v>
      </c>
      <c r="F4457" s="11" t="s">
        <v>12</v>
      </c>
      <c r="G4457" s="11" t="s">
        <v>13</v>
      </c>
      <c r="H4457" s="11" t="s">
        <v>14</v>
      </c>
    </row>
    <row r="4458" spans="3:11" x14ac:dyDescent="0.25">
      <c r="C4458" s="12" t="s">
        <v>15</v>
      </c>
      <c r="D4458" s="13" t="s">
        <v>16</v>
      </c>
      <c r="E4458" s="14"/>
      <c r="F4458" s="14"/>
      <c r="G4458" s="14"/>
      <c r="H4458" s="14"/>
    </row>
    <row r="4459" spans="3:11" x14ac:dyDescent="0.3">
      <c r="C4459" s="16">
        <v>1</v>
      </c>
      <c r="D4459" s="13" t="s">
        <v>18</v>
      </c>
      <c r="E4459" s="17" t="s">
        <v>19</v>
      </c>
      <c r="F4459" s="18">
        <v>1.167</v>
      </c>
      <c r="G4459" s="19">
        <f>VLOOKUP(D4459,upahbahan,3,FALSE)</f>
        <v>100000</v>
      </c>
      <c r="H4459" s="19">
        <f t="shared" ref="H4459:H4462" si="481">F4459*G4459</f>
        <v>116700</v>
      </c>
    </row>
    <row r="4460" spans="3:11" x14ac:dyDescent="0.3">
      <c r="C4460" s="16">
        <v>2</v>
      </c>
      <c r="D4460" s="13" t="s">
        <v>214</v>
      </c>
      <c r="E4460" s="17" t="s">
        <v>19</v>
      </c>
      <c r="F4460" s="18">
        <v>1.948</v>
      </c>
      <c r="G4460" s="19">
        <f>VLOOKUP(D4460,upahbahan,3,FALSE)</f>
        <v>145000</v>
      </c>
      <c r="H4460" s="19">
        <f t="shared" si="481"/>
        <v>282460</v>
      </c>
    </row>
    <row r="4461" spans="3:11" x14ac:dyDescent="0.3">
      <c r="C4461" s="16">
        <v>3</v>
      </c>
      <c r="D4461" s="13" t="s">
        <v>22</v>
      </c>
      <c r="E4461" s="17" t="s">
        <v>19</v>
      </c>
      <c r="F4461" s="18">
        <v>0.19500000000000001</v>
      </c>
      <c r="G4461" s="19">
        <f>VLOOKUP(D4461,upahbahan,3,FALSE)</f>
        <v>175000</v>
      </c>
      <c r="H4461" s="19">
        <f t="shared" si="481"/>
        <v>34125</v>
      </c>
    </row>
    <row r="4462" spans="3:11" x14ac:dyDescent="0.3">
      <c r="C4462" s="16">
        <v>4</v>
      </c>
      <c r="D4462" s="13" t="s">
        <v>23</v>
      </c>
      <c r="E4462" s="17" t="s">
        <v>19</v>
      </c>
      <c r="F4462" s="18">
        <v>6.5000000000000002E-2</v>
      </c>
      <c r="G4462" s="19">
        <f>VLOOKUP(D4462,upahbahan,3,FALSE)</f>
        <v>200000</v>
      </c>
      <c r="H4462" s="19">
        <f t="shared" si="481"/>
        <v>13000</v>
      </c>
    </row>
    <row r="4463" spans="3:11" x14ac:dyDescent="0.3">
      <c r="C4463" s="21" t="s">
        <v>24</v>
      </c>
      <c r="D4463" s="22"/>
      <c r="E4463" s="22"/>
      <c r="F4463" s="54"/>
      <c r="G4463" s="24"/>
      <c r="H4463" s="19">
        <f>SUM(H4459:H4462)</f>
        <v>446285</v>
      </c>
      <c r="I4463" s="25"/>
    </row>
    <row r="4464" spans="3:11" x14ac:dyDescent="0.25">
      <c r="C4464" s="12" t="s">
        <v>25</v>
      </c>
      <c r="D4464" s="13" t="s">
        <v>26</v>
      </c>
      <c r="E4464" s="14"/>
      <c r="F4464" s="55"/>
      <c r="G4464" s="14"/>
      <c r="H4464" s="14"/>
    </row>
    <row r="4465" spans="3:11" s="91" customFormat="1" x14ac:dyDescent="0.3">
      <c r="C4465" s="85" t="s">
        <v>202</v>
      </c>
      <c r="D4465" s="86" t="s">
        <v>855</v>
      </c>
      <c r="E4465" s="87" t="s">
        <v>846</v>
      </c>
      <c r="F4465" s="88">
        <v>1</v>
      </c>
      <c r="G4465" s="89">
        <f>VLOOKUP(D4465,upahbahan,3,FALSE)</f>
        <v>4900000</v>
      </c>
      <c r="H4465" s="89">
        <f t="shared" ref="H4465" si="482">F4465*G4465</f>
        <v>4900000</v>
      </c>
      <c r="I4465" s="90"/>
      <c r="J4465" s="4"/>
      <c r="K4465" s="4"/>
    </row>
    <row r="4466" spans="3:11" x14ac:dyDescent="0.3">
      <c r="C4466" s="21" t="s">
        <v>29</v>
      </c>
      <c r="D4466" s="22"/>
      <c r="E4466" s="22"/>
      <c r="F4466" s="22"/>
      <c r="G4466" s="28"/>
      <c r="H4466" s="19">
        <f>SUM(H4465:H4465)</f>
        <v>4900000</v>
      </c>
    </row>
    <row r="4467" spans="3:11" x14ac:dyDescent="0.25">
      <c r="C4467" s="12" t="s">
        <v>30</v>
      </c>
      <c r="D4467" s="13" t="s">
        <v>31</v>
      </c>
      <c r="E4467" s="14"/>
      <c r="F4467" s="14"/>
      <c r="G4467" s="14"/>
      <c r="H4467" s="14"/>
    </row>
    <row r="4468" spans="3:11" x14ac:dyDescent="0.3">
      <c r="C4468" s="21" t="s">
        <v>32</v>
      </c>
      <c r="D4468" s="22"/>
      <c r="E4468" s="22"/>
      <c r="F4468" s="22"/>
      <c r="G4468" s="28"/>
      <c r="H4468" s="29">
        <v>0</v>
      </c>
    </row>
    <row r="4469" spans="3:11" x14ac:dyDescent="0.3">
      <c r="C4469" s="30" t="s">
        <v>33</v>
      </c>
      <c r="D4469" s="31" t="s">
        <v>34</v>
      </c>
      <c r="E4469" s="32"/>
      <c r="F4469" s="32"/>
      <c r="G4469" s="33"/>
      <c r="H4469" s="46">
        <f>H4468+H4466+H4463</f>
        <v>5346285</v>
      </c>
      <c r="I4469" s="47"/>
    </row>
    <row r="4470" spans="3:11" x14ac:dyDescent="0.3">
      <c r="C4470" s="30" t="s">
        <v>35</v>
      </c>
      <c r="D4470" s="31" t="s">
        <v>36</v>
      </c>
      <c r="E4470" s="32"/>
      <c r="F4470" s="33"/>
      <c r="G4470" s="34">
        <f>$M$9</f>
        <v>0.1</v>
      </c>
      <c r="H4470" s="19">
        <f>H4469*G4470</f>
        <v>534628.5</v>
      </c>
      <c r="I4470" s="47"/>
    </row>
    <row r="4471" spans="3:11" x14ac:dyDescent="0.3">
      <c r="C4471" s="30" t="s">
        <v>37</v>
      </c>
      <c r="D4471" s="31" t="s">
        <v>38</v>
      </c>
      <c r="E4471" s="32"/>
      <c r="F4471" s="32"/>
      <c r="G4471" s="33"/>
      <c r="H4471" s="48">
        <f>SUM(H4469:H4470)</f>
        <v>5880913.5</v>
      </c>
      <c r="I4471" s="47"/>
    </row>
    <row r="4473" spans="3:11" x14ac:dyDescent="0.3">
      <c r="C4473" s="40" t="s">
        <v>856</v>
      </c>
      <c r="D4473" s="68" t="s">
        <v>857</v>
      </c>
      <c r="E4473" s="44"/>
      <c r="F4473" s="44"/>
      <c r="G4473" s="44"/>
      <c r="H4473" s="44"/>
      <c r="I4473" s="10">
        <f>ROUNDDOWN(H4488,0)</f>
        <v>4302831</v>
      </c>
      <c r="J4473" s="15"/>
      <c r="K4473" s="39"/>
    </row>
    <row r="4474" spans="3:11" ht="27.6" x14ac:dyDescent="0.3">
      <c r="C4474" s="11" t="s">
        <v>9</v>
      </c>
      <c r="D4474" s="11" t="s">
        <v>10</v>
      </c>
      <c r="E4474" s="11" t="s">
        <v>11</v>
      </c>
      <c r="F4474" s="11" t="s">
        <v>12</v>
      </c>
      <c r="G4474" s="11" t="s">
        <v>13</v>
      </c>
      <c r="H4474" s="11" t="s">
        <v>14</v>
      </c>
    </row>
    <row r="4475" spans="3:11" x14ac:dyDescent="0.25">
      <c r="C4475" s="12" t="s">
        <v>15</v>
      </c>
      <c r="D4475" s="13" t="s">
        <v>16</v>
      </c>
      <c r="E4475" s="14"/>
      <c r="F4475" s="14"/>
      <c r="G4475" s="14"/>
      <c r="H4475" s="14"/>
    </row>
    <row r="4476" spans="3:11" x14ac:dyDescent="0.3">
      <c r="C4476" s="16">
        <v>1</v>
      </c>
      <c r="D4476" s="13" t="s">
        <v>18</v>
      </c>
      <c r="E4476" s="17" t="s">
        <v>19</v>
      </c>
      <c r="F4476" s="18">
        <v>1.0760000000000001</v>
      </c>
      <c r="G4476" s="19">
        <f>VLOOKUP(D4476,upahbahan,3,FALSE)</f>
        <v>100000</v>
      </c>
      <c r="H4476" s="19">
        <f t="shared" ref="H4476:H4479" si="483">F4476*G4476</f>
        <v>107600</v>
      </c>
    </row>
    <row r="4477" spans="3:11" x14ac:dyDescent="0.3">
      <c r="C4477" s="16">
        <v>2</v>
      </c>
      <c r="D4477" s="13" t="s">
        <v>214</v>
      </c>
      <c r="E4477" s="17" t="s">
        <v>19</v>
      </c>
      <c r="F4477" s="18">
        <v>1.7969999999999999</v>
      </c>
      <c r="G4477" s="19">
        <f>VLOOKUP(D4477,upahbahan,3,FALSE)</f>
        <v>145000</v>
      </c>
      <c r="H4477" s="19">
        <f t="shared" si="483"/>
        <v>260565</v>
      </c>
    </row>
    <row r="4478" spans="3:11" x14ac:dyDescent="0.3">
      <c r="C4478" s="16">
        <v>3</v>
      </c>
      <c r="D4478" s="13" t="s">
        <v>22</v>
      </c>
      <c r="E4478" s="17" t="s">
        <v>19</v>
      </c>
      <c r="F4478" s="18">
        <v>0.18</v>
      </c>
      <c r="G4478" s="19">
        <f>VLOOKUP(D4478,upahbahan,3,FALSE)</f>
        <v>175000</v>
      </c>
      <c r="H4478" s="19">
        <f t="shared" si="483"/>
        <v>31500</v>
      </c>
    </row>
    <row r="4479" spans="3:11" x14ac:dyDescent="0.3">
      <c r="C4479" s="16">
        <v>4</v>
      </c>
      <c r="D4479" s="13" t="s">
        <v>23</v>
      </c>
      <c r="E4479" s="17" t="s">
        <v>19</v>
      </c>
      <c r="F4479" s="18">
        <v>0.06</v>
      </c>
      <c r="G4479" s="19">
        <f>VLOOKUP(D4479,upahbahan,3,FALSE)</f>
        <v>200000</v>
      </c>
      <c r="H4479" s="19">
        <f t="shared" si="483"/>
        <v>12000</v>
      </c>
    </row>
    <row r="4480" spans="3:11" x14ac:dyDescent="0.3">
      <c r="C4480" s="21" t="s">
        <v>24</v>
      </c>
      <c r="D4480" s="22"/>
      <c r="E4480" s="22"/>
      <c r="F4480" s="54"/>
      <c r="G4480" s="24"/>
      <c r="H4480" s="19">
        <f>SUM(H4476:H4479)</f>
        <v>411665</v>
      </c>
      <c r="I4480" s="25"/>
    </row>
    <row r="4481" spans="3:11" x14ac:dyDescent="0.25">
      <c r="C4481" s="12" t="s">
        <v>25</v>
      </c>
      <c r="D4481" s="13" t="s">
        <v>26</v>
      </c>
      <c r="E4481" s="14"/>
      <c r="F4481" s="55"/>
      <c r="G4481" s="14"/>
      <c r="H4481" s="14"/>
    </row>
    <row r="4482" spans="3:11" s="91" customFormat="1" x14ac:dyDescent="0.3">
      <c r="C4482" s="85" t="s">
        <v>202</v>
      </c>
      <c r="D4482" s="86" t="s">
        <v>858</v>
      </c>
      <c r="E4482" s="87" t="s">
        <v>846</v>
      </c>
      <c r="F4482" s="88">
        <v>1</v>
      </c>
      <c r="G4482" s="89">
        <f>VLOOKUP(D4482,upahbahan,3,FALSE)</f>
        <v>3500000</v>
      </c>
      <c r="H4482" s="89">
        <f t="shared" ref="H4482" si="484">F4482*G4482</f>
        <v>3500000</v>
      </c>
      <c r="I4482" s="90"/>
      <c r="J4482" s="4"/>
      <c r="K4482" s="4"/>
    </row>
    <row r="4483" spans="3:11" x14ac:dyDescent="0.3">
      <c r="C4483" s="21" t="s">
        <v>29</v>
      </c>
      <c r="D4483" s="22"/>
      <c r="E4483" s="22"/>
      <c r="F4483" s="22"/>
      <c r="G4483" s="28"/>
      <c r="H4483" s="19">
        <f>SUM(H4482:H4482)</f>
        <v>3500000</v>
      </c>
    </row>
    <row r="4484" spans="3:11" x14ac:dyDescent="0.25">
      <c r="C4484" s="12" t="s">
        <v>30</v>
      </c>
      <c r="D4484" s="13" t="s">
        <v>31</v>
      </c>
      <c r="E4484" s="14"/>
      <c r="F4484" s="14"/>
      <c r="G4484" s="14"/>
      <c r="H4484" s="14"/>
    </row>
    <row r="4485" spans="3:11" x14ac:dyDescent="0.3">
      <c r="C4485" s="21" t="s">
        <v>32</v>
      </c>
      <c r="D4485" s="22"/>
      <c r="E4485" s="22"/>
      <c r="F4485" s="22"/>
      <c r="G4485" s="28"/>
      <c r="H4485" s="29">
        <v>0</v>
      </c>
    </row>
    <row r="4486" spans="3:11" x14ac:dyDescent="0.3">
      <c r="C4486" s="30" t="s">
        <v>33</v>
      </c>
      <c r="D4486" s="31" t="s">
        <v>34</v>
      </c>
      <c r="E4486" s="32"/>
      <c r="F4486" s="32"/>
      <c r="G4486" s="33"/>
      <c r="H4486" s="46">
        <f>H4485+H4483+H4480</f>
        <v>3911665</v>
      </c>
      <c r="I4486" s="47"/>
    </row>
    <row r="4487" spans="3:11" x14ac:dyDescent="0.3">
      <c r="C4487" s="30" t="s">
        <v>35</v>
      </c>
      <c r="D4487" s="31" t="s">
        <v>36</v>
      </c>
      <c r="E4487" s="32"/>
      <c r="F4487" s="33"/>
      <c r="G4487" s="34">
        <f>$M$9</f>
        <v>0.1</v>
      </c>
      <c r="H4487" s="19">
        <f>H4486*G4487</f>
        <v>391166.5</v>
      </c>
      <c r="I4487" s="47"/>
    </row>
    <row r="4488" spans="3:11" x14ac:dyDescent="0.3">
      <c r="C4488" s="30" t="s">
        <v>37</v>
      </c>
      <c r="D4488" s="31" t="s">
        <v>38</v>
      </c>
      <c r="E4488" s="32"/>
      <c r="F4488" s="32"/>
      <c r="G4488" s="33"/>
      <c r="H4488" s="48">
        <f>SUM(H4486:H4487)</f>
        <v>4302831.5</v>
      </c>
      <c r="I4488" s="47"/>
    </row>
    <row r="4490" spans="3:11" x14ac:dyDescent="0.3">
      <c r="C4490" s="40" t="s">
        <v>859</v>
      </c>
      <c r="D4490" s="68" t="s">
        <v>860</v>
      </c>
      <c r="E4490" s="44"/>
      <c r="F4490" s="44"/>
      <c r="G4490" s="44"/>
      <c r="H4490" s="44"/>
      <c r="I4490" s="10">
        <f>ROUNDDOWN(H4505,0)</f>
        <v>4006777</v>
      </c>
      <c r="J4490" s="15"/>
      <c r="K4490" s="39"/>
    </row>
    <row r="4491" spans="3:11" ht="27.6" x14ac:dyDescent="0.3">
      <c r="C4491" s="11" t="s">
        <v>9</v>
      </c>
      <c r="D4491" s="11" t="s">
        <v>10</v>
      </c>
      <c r="E4491" s="11" t="s">
        <v>11</v>
      </c>
      <c r="F4491" s="11" t="s">
        <v>12</v>
      </c>
      <c r="G4491" s="11" t="s">
        <v>13</v>
      </c>
      <c r="H4491" s="11" t="s">
        <v>14</v>
      </c>
    </row>
    <row r="4492" spans="3:11" x14ac:dyDescent="0.25">
      <c r="C4492" s="12" t="s">
        <v>15</v>
      </c>
      <c r="D4492" s="13" t="s">
        <v>16</v>
      </c>
      <c r="E4492" s="14"/>
      <c r="F4492" s="14"/>
      <c r="G4492" s="14"/>
      <c r="H4492" s="14"/>
    </row>
    <row r="4493" spans="3:11" x14ac:dyDescent="0.3">
      <c r="C4493" s="16">
        <v>1</v>
      </c>
      <c r="D4493" s="13" t="s">
        <v>18</v>
      </c>
      <c r="E4493" s="17" t="s">
        <v>19</v>
      </c>
      <c r="F4493" s="18">
        <v>0.89500000000000002</v>
      </c>
      <c r="G4493" s="19">
        <f>VLOOKUP(D4493,upahbahan,3,FALSE)</f>
        <v>100000</v>
      </c>
      <c r="H4493" s="19">
        <f t="shared" ref="H4493:H4496" si="485">F4493*G4493</f>
        <v>89500</v>
      </c>
    </row>
    <row r="4494" spans="3:11" x14ac:dyDescent="0.3">
      <c r="C4494" s="16">
        <v>2</v>
      </c>
      <c r="D4494" s="13" t="s">
        <v>214</v>
      </c>
      <c r="E4494" s="17" t="s">
        <v>19</v>
      </c>
      <c r="F4494" s="18">
        <v>1.4950000000000001</v>
      </c>
      <c r="G4494" s="19">
        <f>VLOOKUP(D4494,upahbahan,3,FALSE)</f>
        <v>145000</v>
      </c>
      <c r="H4494" s="19">
        <f t="shared" si="485"/>
        <v>216775.00000000003</v>
      </c>
    </row>
    <row r="4495" spans="3:11" x14ac:dyDescent="0.3">
      <c r="C4495" s="16">
        <v>3</v>
      </c>
      <c r="D4495" s="13" t="s">
        <v>22</v>
      </c>
      <c r="E4495" s="17" t="s">
        <v>19</v>
      </c>
      <c r="F4495" s="18">
        <v>0.15</v>
      </c>
      <c r="G4495" s="19">
        <f>VLOOKUP(D4495,upahbahan,3,FALSE)</f>
        <v>175000</v>
      </c>
      <c r="H4495" s="19">
        <f t="shared" si="485"/>
        <v>26250</v>
      </c>
    </row>
    <row r="4496" spans="3:11" x14ac:dyDescent="0.3">
      <c r="C4496" s="16">
        <v>4</v>
      </c>
      <c r="D4496" s="13" t="s">
        <v>23</v>
      </c>
      <c r="E4496" s="17" t="s">
        <v>19</v>
      </c>
      <c r="F4496" s="18">
        <v>0.05</v>
      </c>
      <c r="G4496" s="19">
        <f>VLOOKUP(D4496,upahbahan,3,FALSE)</f>
        <v>200000</v>
      </c>
      <c r="H4496" s="19">
        <f t="shared" si="485"/>
        <v>10000</v>
      </c>
    </row>
    <row r="4497" spans="3:11" x14ac:dyDescent="0.3">
      <c r="C4497" s="21" t="s">
        <v>24</v>
      </c>
      <c r="D4497" s="22"/>
      <c r="E4497" s="22"/>
      <c r="F4497" s="54"/>
      <c r="G4497" s="24"/>
      <c r="H4497" s="19">
        <f>SUM(H4493:H4496)</f>
        <v>342525</v>
      </c>
      <c r="I4497" s="25"/>
    </row>
    <row r="4498" spans="3:11" x14ac:dyDescent="0.25">
      <c r="C4498" s="12" t="s">
        <v>25</v>
      </c>
      <c r="D4498" s="13" t="s">
        <v>26</v>
      </c>
      <c r="E4498" s="14"/>
      <c r="F4498" s="55"/>
      <c r="G4498" s="14"/>
      <c r="H4498" s="14"/>
    </row>
    <row r="4499" spans="3:11" s="91" customFormat="1" x14ac:dyDescent="0.3">
      <c r="C4499" s="85" t="s">
        <v>202</v>
      </c>
      <c r="D4499" s="86" t="s">
        <v>861</v>
      </c>
      <c r="E4499" s="87" t="s">
        <v>846</v>
      </c>
      <c r="F4499" s="88">
        <v>1</v>
      </c>
      <c r="G4499" s="89">
        <f>VLOOKUP(D4499,upahbahan,3,FALSE)</f>
        <v>3300000</v>
      </c>
      <c r="H4499" s="89">
        <f t="shared" ref="H4499" si="486">F4499*G4499</f>
        <v>3300000</v>
      </c>
      <c r="I4499" s="90"/>
      <c r="J4499" s="4"/>
      <c r="K4499" s="4"/>
    </row>
    <row r="4500" spans="3:11" x14ac:dyDescent="0.3">
      <c r="C4500" s="21" t="s">
        <v>29</v>
      </c>
      <c r="D4500" s="22"/>
      <c r="E4500" s="22"/>
      <c r="F4500" s="22"/>
      <c r="G4500" s="28"/>
      <c r="H4500" s="19">
        <f>SUM(H4499:H4499)</f>
        <v>3300000</v>
      </c>
    </row>
    <row r="4501" spans="3:11" x14ac:dyDescent="0.25">
      <c r="C4501" s="12" t="s">
        <v>30</v>
      </c>
      <c r="D4501" s="13" t="s">
        <v>31</v>
      </c>
      <c r="E4501" s="14"/>
      <c r="F4501" s="14"/>
      <c r="G4501" s="14"/>
      <c r="H4501" s="14"/>
    </row>
    <row r="4502" spans="3:11" x14ac:dyDescent="0.3">
      <c r="C4502" s="21" t="s">
        <v>32</v>
      </c>
      <c r="D4502" s="22"/>
      <c r="E4502" s="22"/>
      <c r="F4502" s="22"/>
      <c r="G4502" s="28"/>
      <c r="H4502" s="29">
        <v>0</v>
      </c>
    </row>
    <row r="4503" spans="3:11" x14ac:dyDescent="0.3">
      <c r="C4503" s="30" t="s">
        <v>33</v>
      </c>
      <c r="D4503" s="31" t="s">
        <v>34</v>
      </c>
      <c r="E4503" s="32"/>
      <c r="F4503" s="32"/>
      <c r="G4503" s="33"/>
      <c r="H4503" s="46">
        <f>H4502+H4500+H4497</f>
        <v>3642525</v>
      </c>
      <c r="I4503" s="47"/>
    </row>
    <row r="4504" spans="3:11" x14ac:dyDescent="0.3">
      <c r="C4504" s="30" t="s">
        <v>35</v>
      </c>
      <c r="D4504" s="31" t="s">
        <v>36</v>
      </c>
      <c r="E4504" s="32"/>
      <c r="F4504" s="33"/>
      <c r="G4504" s="34">
        <f>$M$9</f>
        <v>0.1</v>
      </c>
      <c r="H4504" s="19">
        <f>H4503*G4504</f>
        <v>364252.5</v>
      </c>
      <c r="I4504" s="47"/>
    </row>
    <row r="4505" spans="3:11" x14ac:dyDescent="0.3">
      <c r="C4505" s="30" t="s">
        <v>37</v>
      </c>
      <c r="D4505" s="31" t="s">
        <v>38</v>
      </c>
      <c r="E4505" s="32"/>
      <c r="F4505" s="32"/>
      <c r="G4505" s="33"/>
      <c r="H4505" s="48">
        <f>SUM(H4503:H4504)</f>
        <v>4006777.5</v>
      </c>
      <c r="I4505" s="47"/>
    </row>
    <row r="4507" spans="3:11" x14ac:dyDescent="0.3">
      <c r="C4507" s="40" t="s">
        <v>862</v>
      </c>
      <c r="D4507" s="68" t="s">
        <v>863</v>
      </c>
      <c r="E4507" s="44"/>
      <c r="F4507" s="44"/>
      <c r="G4507" s="44"/>
      <c r="H4507" s="44"/>
      <c r="I4507" s="10">
        <f>ROUNDDOWN(H4522,0)</f>
        <v>3783609</v>
      </c>
      <c r="J4507" s="15"/>
      <c r="K4507" s="39"/>
    </row>
    <row r="4508" spans="3:11" ht="27.6" x14ac:dyDescent="0.3">
      <c r="C4508" s="11" t="s">
        <v>9</v>
      </c>
      <c r="D4508" s="11" t="s">
        <v>10</v>
      </c>
      <c r="E4508" s="11" t="s">
        <v>11</v>
      </c>
      <c r="F4508" s="11" t="s">
        <v>12</v>
      </c>
      <c r="G4508" s="11" t="s">
        <v>13</v>
      </c>
      <c r="H4508" s="11" t="s">
        <v>14</v>
      </c>
    </row>
    <row r="4509" spans="3:11" x14ac:dyDescent="0.25">
      <c r="C4509" s="12" t="s">
        <v>15</v>
      </c>
      <c r="D4509" s="13" t="s">
        <v>16</v>
      </c>
      <c r="E4509" s="14"/>
      <c r="F4509" s="14"/>
      <c r="G4509" s="14"/>
      <c r="H4509" s="14"/>
    </row>
    <row r="4510" spans="3:11" x14ac:dyDescent="0.3">
      <c r="C4510" s="16">
        <v>1</v>
      </c>
      <c r="D4510" s="13" t="s">
        <v>18</v>
      </c>
      <c r="E4510" s="17" t="s">
        <v>19</v>
      </c>
      <c r="F4510" s="18">
        <v>0.626</v>
      </c>
      <c r="G4510" s="19">
        <f>VLOOKUP(D4510,upahbahan,3,FALSE)</f>
        <v>100000</v>
      </c>
      <c r="H4510" s="19">
        <f t="shared" ref="H4510:H4513" si="487">F4510*G4510</f>
        <v>62600</v>
      </c>
    </row>
    <row r="4511" spans="3:11" x14ac:dyDescent="0.3">
      <c r="C4511" s="16">
        <v>2</v>
      </c>
      <c r="D4511" s="13" t="s">
        <v>214</v>
      </c>
      <c r="E4511" s="17" t="s">
        <v>19</v>
      </c>
      <c r="F4511" s="18">
        <v>1.046</v>
      </c>
      <c r="G4511" s="19">
        <f>VLOOKUP(D4511,upahbahan,3,FALSE)</f>
        <v>145000</v>
      </c>
      <c r="H4511" s="19">
        <f t="shared" si="487"/>
        <v>151670</v>
      </c>
    </row>
    <row r="4512" spans="3:11" x14ac:dyDescent="0.3">
      <c r="C4512" s="16">
        <v>3</v>
      </c>
      <c r="D4512" s="13" t="s">
        <v>22</v>
      </c>
      <c r="E4512" s="17" t="s">
        <v>19</v>
      </c>
      <c r="F4512" s="18">
        <v>0.105</v>
      </c>
      <c r="G4512" s="19">
        <f>VLOOKUP(D4512,upahbahan,3,FALSE)</f>
        <v>175000</v>
      </c>
      <c r="H4512" s="19">
        <f t="shared" si="487"/>
        <v>18375</v>
      </c>
    </row>
    <row r="4513" spans="3:11" x14ac:dyDescent="0.3">
      <c r="C4513" s="16">
        <v>4</v>
      </c>
      <c r="D4513" s="13" t="s">
        <v>23</v>
      </c>
      <c r="E4513" s="17" t="s">
        <v>19</v>
      </c>
      <c r="F4513" s="18">
        <v>3.5000000000000003E-2</v>
      </c>
      <c r="G4513" s="19">
        <f>VLOOKUP(D4513,upahbahan,3,FALSE)</f>
        <v>200000</v>
      </c>
      <c r="H4513" s="19">
        <f t="shared" si="487"/>
        <v>7000.0000000000009</v>
      </c>
    </row>
    <row r="4514" spans="3:11" x14ac:dyDescent="0.3">
      <c r="C4514" s="21" t="s">
        <v>24</v>
      </c>
      <c r="D4514" s="22"/>
      <c r="E4514" s="22"/>
      <c r="F4514" s="54"/>
      <c r="G4514" s="24"/>
      <c r="H4514" s="19">
        <f>SUM(H4510:H4513)</f>
        <v>239645</v>
      </c>
      <c r="I4514" s="25"/>
    </row>
    <row r="4515" spans="3:11" x14ac:dyDescent="0.25">
      <c r="C4515" s="12" t="s">
        <v>25</v>
      </c>
      <c r="D4515" s="13" t="s">
        <v>26</v>
      </c>
      <c r="E4515" s="14"/>
      <c r="F4515" s="55"/>
      <c r="G4515" s="14"/>
      <c r="H4515" s="14"/>
    </row>
    <row r="4516" spans="3:11" s="91" customFormat="1" x14ac:dyDescent="0.3">
      <c r="C4516" s="85" t="s">
        <v>202</v>
      </c>
      <c r="D4516" s="86" t="s">
        <v>864</v>
      </c>
      <c r="E4516" s="87" t="s">
        <v>846</v>
      </c>
      <c r="F4516" s="88">
        <v>1</v>
      </c>
      <c r="G4516" s="89">
        <f>VLOOKUP(D4516,upahbahan,3,FALSE)</f>
        <v>3200000</v>
      </c>
      <c r="H4516" s="89">
        <f t="shared" ref="H4516" si="488">F4516*G4516</f>
        <v>3200000</v>
      </c>
      <c r="I4516" s="90"/>
      <c r="J4516" s="4"/>
      <c r="K4516" s="4"/>
    </row>
    <row r="4517" spans="3:11" x14ac:dyDescent="0.3">
      <c r="C4517" s="21" t="s">
        <v>29</v>
      </c>
      <c r="D4517" s="22"/>
      <c r="E4517" s="22"/>
      <c r="F4517" s="22"/>
      <c r="G4517" s="28"/>
      <c r="H4517" s="19">
        <f>SUM(H4516:H4516)</f>
        <v>3200000</v>
      </c>
    </row>
    <row r="4518" spans="3:11" x14ac:dyDescent="0.25">
      <c r="C4518" s="12" t="s">
        <v>30</v>
      </c>
      <c r="D4518" s="13" t="s">
        <v>31</v>
      </c>
      <c r="E4518" s="14"/>
      <c r="F4518" s="14"/>
      <c r="G4518" s="14"/>
      <c r="H4518" s="14"/>
    </row>
    <row r="4519" spans="3:11" x14ac:dyDescent="0.3">
      <c r="C4519" s="21" t="s">
        <v>32</v>
      </c>
      <c r="D4519" s="22"/>
      <c r="E4519" s="22"/>
      <c r="F4519" s="22"/>
      <c r="G4519" s="28"/>
      <c r="H4519" s="29">
        <v>0</v>
      </c>
    </row>
    <row r="4520" spans="3:11" x14ac:dyDescent="0.3">
      <c r="C4520" s="30" t="s">
        <v>33</v>
      </c>
      <c r="D4520" s="31" t="s">
        <v>34</v>
      </c>
      <c r="E4520" s="32"/>
      <c r="F4520" s="32"/>
      <c r="G4520" s="33"/>
      <c r="H4520" s="46">
        <f>H4519+H4517+H4514</f>
        <v>3439645</v>
      </c>
      <c r="I4520" s="47"/>
    </row>
    <row r="4521" spans="3:11" x14ac:dyDescent="0.3">
      <c r="C4521" s="30" t="s">
        <v>35</v>
      </c>
      <c r="D4521" s="31" t="s">
        <v>36</v>
      </c>
      <c r="E4521" s="32"/>
      <c r="F4521" s="33"/>
      <c r="G4521" s="34">
        <f>$M$9</f>
        <v>0.1</v>
      </c>
      <c r="H4521" s="19">
        <f>H4520*G4521</f>
        <v>343964.5</v>
      </c>
      <c r="I4521" s="47"/>
    </row>
    <row r="4522" spans="3:11" x14ac:dyDescent="0.3">
      <c r="C4522" s="30" t="s">
        <v>37</v>
      </c>
      <c r="D4522" s="31" t="s">
        <v>38</v>
      </c>
      <c r="E4522" s="32"/>
      <c r="F4522" s="32"/>
      <c r="G4522" s="33"/>
      <c r="H4522" s="48">
        <f>SUM(H4520:H4521)</f>
        <v>3783609.5</v>
      </c>
      <c r="I4522" s="47"/>
    </row>
    <row r="4524" spans="3:11" x14ac:dyDescent="0.3">
      <c r="C4524" s="40" t="s">
        <v>865</v>
      </c>
      <c r="D4524" s="68" t="s">
        <v>866</v>
      </c>
      <c r="E4524" s="44"/>
      <c r="F4524" s="44"/>
      <c r="G4524" s="44"/>
      <c r="H4524" s="44"/>
      <c r="I4524" s="10">
        <f>ROUNDDOWN(H4539,0)</f>
        <v>3536346</v>
      </c>
      <c r="J4524" s="15"/>
      <c r="K4524" s="39"/>
    </row>
    <row r="4525" spans="3:11" ht="27.6" x14ac:dyDescent="0.3">
      <c r="C4525" s="11" t="s">
        <v>9</v>
      </c>
      <c r="D4525" s="11" t="s">
        <v>10</v>
      </c>
      <c r="E4525" s="11" t="s">
        <v>11</v>
      </c>
      <c r="F4525" s="11" t="s">
        <v>12</v>
      </c>
      <c r="G4525" s="11" t="s">
        <v>13</v>
      </c>
      <c r="H4525" s="11" t="s">
        <v>14</v>
      </c>
    </row>
    <row r="4526" spans="3:11" x14ac:dyDescent="0.25">
      <c r="C4526" s="12" t="s">
        <v>15</v>
      </c>
      <c r="D4526" s="13" t="s">
        <v>16</v>
      </c>
      <c r="E4526" s="14"/>
      <c r="F4526" s="14"/>
      <c r="G4526" s="14"/>
      <c r="H4526" s="14"/>
    </row>
    <row r="4527" spans="3:11" x14ac:dyDescent="0.3">
      <c r="C4527" s="16">
        <v>1</v>
      </c>
      <c r="D4527" s="13" t="s">
        <v>18</v>
      </c>
      <c r="E4527" s="17" t="s">
        <v>19</v>
      </c>
      <c r="F4527" s="18">
        <v>0.56200000000000006</v>
      </c>
      <c r="G4527" s="19">
        <f>VLOOKUP(D4527,upahbahan,3,FALSE)</f>
        <v>100000</v>
      </c>
      <c r="H4527" s="19">
        <f t="shared" ref="H4527:H4530" si="489">F4527*G4527</f>
        <v>56200.000000000007</v>
      </c>
    </row>
    <row r="4528" spans="3:11" x14ac:dyDescent="0.3">
      <c r="C4528" s="16">
        <v>2</v>
      </c>
      <c r="D4528" s="13" t="s">
        <v>214</v>
      </c>
      <c r="E4528" s="17" t="s">
        <v>19</v>
      </c>
      <c r="F4528" s="18">
        <v>0.93799999999999994</v>
      </c>
      <c r="G4528" s="19">
        <f>VLOOKUP(D4528,upahbahan,3,FALSE)</f>
        <v>145000</v>
      </c>
      <c r="H4528" s="19">
        <f t="shared" si="489"/>
        <v>136010</v>
      </c>
    </row>
    <row r="4529" spans="3:11" x14ac:dyDescent="0.3">
      <c r="C4529" s="16">
        <v>3</v>
      </c>
      <c r="D4529" s="13" t="s">
        <v>22</v>
      </c>
      <c r="E4529" s="17" t="s">
        <v>19</v>
      </c>
      <c r="F4529" s="18">
        <v>9.4E-2</v>
      </c>
      <c r="G4529" s="19">
        <f>VLOOKUP(D4529,upahbahan,3,FALSE)</f>
        <v>175000</v>
      </c>
      <c r="H4529" s="19">
        <f t="shared" si="489"/>
        <v>16450</v>
      </c>
    </row>
    <row r="4530" spans="3:11" x14ac:dyDescent="0.3">
      <c r="C4530" s="16">
        <v>4</v>
      </c>
      <c r="D4530" s="13" t="s">
        <v>23</v>
      </c>
      <c r="E4530" s="17" t="s">
        <v>19</v>
      </c>
      <c r="F4530" s="18">
        <v>3.1E-2</v>
      </c>
      <c r="G4530" s="19">
        <f>VLOOKUP(D4530,upahbahan,3,FALSE)</f>
        <v>200000</v>
      </c>
      <c r="H4530" s="19">
        <f t="shared" si="489"/>
        <v>6200</v>
      </c>
    </row>
    <row r="4531" spans="3:11" x14ac:dyDescent="0.3">
      <c r="C4531" s="21" t="s">
        <v>24</v>
      </c>
      <c r="D4531" s="22"/>
      <c r="E4531" s="22"/>
      <c r="F4531" s="54"/>
      <c r="G4531" s="24"/>
      <c r="H4531" s="19">
        <f>SUM(H4527:H4530)</f>
        <v>214860</v>
      </c>
      <c r="I4531" s="25"/>
    </row>
    <row r="4532" spans="3:11" x14ac:dyDescent="0.25">
      <c r="C4532" s="12" t="s">
        <v>25</v>
      </c>
      <c r="D4532" s="13" t="s">
        <v>26</v>
      </c>
      <c r="E4532" s="14"/>
      <c r="F4532" s="55"/>
      <c r="G4532" s="14"/>
      <c r="H4532" s="14"/>
    </row>
    <row r="4533" spans="3:11" s="91" customFormat="1" x14ac:dyDescent="0.3">
      <c r="C4533" s="85" t="s">
        <v>202</v>
      </c>
      <c r="D4533" s="86" t="s">
        <v>867</v>
      </c>
      <c r="E4533" s="87" t="s">
        <v>846</v>
      </c>
      <c r="F4533" s="88">
        <v>1</v>
      </c>
      <c r="G4533" s="89">
        <f>VLOOKUP(D4533,upahbahan,3,FALSE)</f>
        <v>3000000</v>
      </c>
      <c r="H4533" s="89">
        <f t="shared" ref="H4533" si="490">F4533*G4533</f>
        <v>3000000</v>
      </c>
      <c r="I4533" s="90"/>
      <c r="J4533" s="4"/>
      <c r="K4533" s="4"/>
    </row>
    <row r="4534" spans="3:11" x14ac:dyDescent="0.3">
      <c r="C4534" s="21" t="s">
        <v>29</v>
      </c>
      <c r="D4534" s="22"/>
      <c r="E4534" s="22"/>
      <c r="F4534" s="22"/>
      <c r="G4534" s="28"/>
      <c r="H4534" s="19">
        <f>SUM(H4533:H4533)</f>
        <v>3000000</v>
      </c>
    </row>
    <row r="4535" spans="3:11" x14ac:dyDescent="0.25">
      <c r="C4535" s="12" t="s">
        <v>30</v>
      </c>
      <c r="D4535" s="13" t="s">
        <v>31</v>
      </c>
      <c r="E4535" s="14"/>
      <c r="F4535" s="14"/>
      <c r="G4535" s="14"/>
      <c r="H4535" s="14"/>
    </row>
    <row r="4536" spans="3:11" x14ac:dyDescent="0.3">
      <c r="C4536" s="21" t="s">
        <v>32</v>
      </c>
      <c r="D4536" s="22"/>
      <c r="E4536" s="22"/>
      <c r="F4536" s="22"/>
      <c r="G4536" s="28"/>
      <c r="H4536" s="29">
        <v>0</v>
      </c>
    </row>
    <row r="4537" spans="3:11" x14ac:dyDescent="0.3">
      <c r="C4537" s="30" t="s">
        <v>33</v>
      </c>
      <c r="D4537" s="31" t="s">
        <v>34</v>
      </c>
      <c r="E4537" s="32"/>
      <c r="F4537" s="32"/>
      <c r="G4537" s="33"/>
      <c r="H4537" s="46">
        <f>H4536+H4534+H4531</f>
        <v>3214860</v>
      </c>
      <c r="I4537" s="47"/>
    </row>
    <row r="4538" spans="3:11" x14ac:dyDescent="0.3">
      <c r="C4538" s="30" t="s">
        <v>35</v>
      </c>
      <c r="D4538" s="31" t="s">
        <v>36</v>
      </c>
      <c r="E4538" s="32"/>
      <c r="F4538" s="33"/>
      <c r="G4538" s="34">
        <f>$M$9</f>
        <v>0.1</v>
      </c>
      <c r="H4538" s="19">
        <f>H4537*G4538</f>
        <v>321486</v>
      </c>
      <c r="I4538" s="47"/>
    </row>
    <row r="4539" spans="3:11" x14ac:dyDescent="0.3">
      <c r="C4539" s="30" t="s">
        <v>37</v>
      </c>
      <c r="D4539" s="31" t="s">
        <v>38</v>
      </c>
      <c r="E4539" s="32"/>
      <c r="F4539" s="32"/>
      <c r="G4539" s="33"/>
      <c r="H4539" s="48">
        <f>SUM(H4537:H4538)</f>
        <v>3536346</v>
      </c>
      <c r="I4539" s="47"/>
    </row>
    <row r="4541" spans="3:11" x14ac:dyDescent="0.3">
      <c r="C4541" s="40" t="s">
        <v>868</v>
      </c>
      <c r="D4541" s="68" t="s">
        <v>869</v>
      </c>
      <c r="E4541" s="44"/>
      <c r="F4541" s="44"/>
      <c r="G4541" s="44"/>
      <c r="H4541" s="44"/>
      <c r="I4541" s="10">
        <f>ROUNDDOWN(H4556,0)</f>
        <v>3202831</v>
      </c>
      <c r="J4541" s="15"/>
      <c r="K4541" s="39"/>
    </row>
    <row r="4542" spans="3:11" ht="27.6" x14ac:dyDescent="0.3">
      <c r="C4542" s="11" t="s">
        <v>9</v>
      </c>
      <c r="D4542" s="11" t="s">
        <v>10</v>
      </c>
      <c r="E4542" s="11" t="s">
        <v>11</v>
      </c>
      <c r="F4542" s="11" t="s">
        <v>12</v>
      </c>
      <c r="G4542" s="11" t="s">
        <v>13</v>
      </c>
      <c r="H4542" s="11" t="s">
        <v>14</v>
      </c>
    </row>
    <row r="4543" spans="3:11" x14ac:dyDescent="0.25">
      <c r="C4543" s="12" t="s">
        <v>15</v>
      </c>
      <c r="D4543" s="13" t="s">
        <v>16</v>
      </c>
      <c r="E4543" s="14"/>
      <c r="F4543" s="14"/>
      <c r="G4543" s="14"/>
      <c r="H4543" s="14"/>
    </row>
    <row r="4544" spans="3:11" x14ac:dyDescent="0.3">
      <c r="C4544" s="16">
        <v>1</v>
      </c>
      <c r="D4544" s="13" t="s">
        <v>18</v>
      </c>
      <c r="E4544" s="17" t="s">
        <v>19</v>
      </c>
      <c r="F4544" s="18">
        <v>1.0760000000000001</v>
      </c>
      <c r="G4544" s="19">
        <f>VLOOKUP(D4544,upahbahan,3,FALSE)</f>
        <v>100000</v>
      </c>
      <c r="H4544" s="19">
        <f t="shared" ref="H4544:H4547" si="491">F4544*G4544</f>
        <v>107600</v>
      </c>
    </row>
    <row r="4545" spans="3:11" x14ac:dyDescent="0.3">
      <c r="C4545" s="16">
        <v>2</v>
      </c>
      <c r="D4545" s="13" t="s">
        <v>214</v>
      </c>
      <c r="E4545" s="17" t="s">
        <v>19</v>
      </c>
      <c r="F4545" s="18">
        <v>1.7969999999999999</v>
      </c>
      <c r="G4545" s="19">
        <f>VLOOKUP(D4545,upahbahan,3,FALSE)</f>
        <v>145000</v>
      </c>
      <c r="H4545" s="19">
        <f t="shared" si="491"/>
        <v>260565</v>
      </c>
    </row>
    <row r="4546" spans="3:11" x14ac:dyDescent="0.3">
      <c r="C4546" s="16">
        <v>3</v>
      </c>
      <c r="D4546" s="13" t="s">
        <v>22</v>
      </c>
      <c r="E4546" s="17" t="s">
        <v>19</v>
      </c>
      <c r="F4546" s="18">
        <v>0.18</v>
      </c>
      <c r="G4546" s="19">
        <f>VLOOKUP(D4546,upahbahan,3,FALSE)</f>
        <v>175000</v>
      </c>
      <c r="H4546" s="19">
        <f t="shared" si="491"/>
        <v>31500</v>
      </c>
    </row>
    <row r="4547" spans="3:11" x14ac:dyDescent="0.3">
      <c r="C4547" s="16">
        <v>4</v>
      </c>
      <c r="D4547" s="13" t="s">
        <v>23</v>
      </c>
      <c r="E4547" s="17" t="s">
        <v>19</v>
      </c>
      <c r="F4547" s="18">
        <v>0.06</v>
      </c>
      <c r="G4547" s="19">
        <f>VLOOKUP(D4547,upahbahan,3,FALSE)</f>
        <v>200000</v>
      </c>
      <c r="H4547" s="19">
        <f t="shared" si="491"/>
        <v>12000</v>
      </c>
    </row>
    <row r="4548" spans="3:11" x14ac:dyDescent="0.3">
      <c r="C4548" s="21" t="s">
        <v>24</v>
      </c>
      <c r="D4548" s="22"/>
      <c r="E4548" s="22"/>
      <c r="F4548" s="54"/>
      <c r="G4548" s="24"/>
      <c r="H4548" s="19">
        <f>SUM(H4544:H4547)</f>
        <v>411665</v>
      </c>
      <c r="I4548" s="25"/>
    </row>
    <row r="4549" spans="3:11" x14ac:dyDescent="0.25">
      <c r="C4549" s="12" t="s">
        <v>25</v>
      </c>
      <c r="D4549" s="13" t="s">
        <v>26</v>
      </c>
      <c r="E4549" s="14"/>
      <c r="F4549" s="55"/>
      <c r="G4549" s="14"/>
      <c r="H4549" s="14"/>
    </row>
    <row r="4550" spans="3:11" s="91" customFormat="1" x14ac:dyDescent="0.3">
      <c r="C4550" s="85" t="s">
        <v>202</v>
      </c>
      <c r="D4550" s="86" t="s">
        <v>870</v>
      </c>
      <c r="E4550" s="87" t="s">
        <v>846</v>
      </c>
      <c r="F4550" s="88">
        <v>1</v>
      </c>
      <c r="G4550" s="89">
        <f>VLOOKUP(D4550,upahbahan,3,FALSE)</f>
        <v>2500000</v>
      </c>
      <c r="H4550" s="89">
        <f t="shared" ref="H4550" si="492">F4550*G4550</f>
        <v>2500000</v>
      </c>
      <c r="I4550" s="90"/>
      <c r="J4550" s="4"/>
      <c r="K4550" s="4"/>
    </row>
    <row r="4551" spans="3:11" x14ac:dyDescent="0.3">
      <c r="C4551" s="21" t="s">
        <v>29</v>
      </c>
      <c r="D4551" s="22"/>
      <c r="E4551" s="22"/>
      <c r="F4551" s="22"/>
      <c r="G4551" s="28"/>
      <c r="H4551" s="19">
        <f>SUM(H4550:H4550)</f>
        <v>2500000</v>
      </c>
    </row>
    <row r="4552" spans="3:11" x14ac:dyDescent="0.25">
      <c r="C4552" s="12" t="s">
        <v>30</v>
      </c>
      <c r="D4552" s="13" t="s">
        <v>31</v>
      </c>
      <c r="E4552" s="14"/>
      <c r="F4552" s="14"/>
      <c r="G4552" s="14"/>
      <c r="H4552" s="14"/>
    </row>
    <row r="4553" spans="3:11" x14ac:dyDescent="0.3">
      <c r="C4553" s="21" t="s">
        <v>32</v>
      </c>
      <c r="D4553" s="22"/>
      <c r="E4553" s="22"/>
      <c r="F4553" s="22"/>
      <c r="G4553" s="28"/>
      <c r="H4553" s="29">
        <v>0</v>
      </c>
    </row>
    <row r="4554" spans="3:11" x14ac:dyDescent="0.3">
      <c r="C4554" s="30" t="s">
        <v>33</v>
      </c>
      <c r="D4554" s="31" t="s">
        <v>34</v>
      </c>
      <c r="E4554" s="32"/>
      <c r="F4554" s="32"/>
      <c r="G4554" s="33"/>
      <c r="H4554" s="46">
        <f>H4553+H4551+H4548</f>
        <v>2911665</v>
      </c>
      <c r="I4554" s="47"/>
    </row>
    <row r="4555" spans="3:11" x14ac:dyDescent="0.3">
      <c r="C4555" s="30" t="s">
        <v>35</v>
      </c>
      <c r="D4555" s="31" t="s">
        <v>36</v>
      </c>
      <c r="E4555" s="32"/>
      <c r="F4555" s="33"/>
      <c r="G4555" s="34">
        <f>$M$9</f>
        <v>0.1</v>
      </c>
      <c r="H4555" s="19">
        <f>H4554*G4555</f>
        <v>291166.5</v>
      </c>
      <c r="I4555" s="47"/>
    </row>
    <row r="4556" spans="3:11" x14ac:dyDescent="0.3">
      <c r="C4556" s="30" t="s">
        <v>37</v>
      </c>
      <c r="D4556" s="31" t="s">
        <v>38</v>
      </c>
      <c r="E4556" s="32"/>
      <c r="F4556" s="32"/>
      <c r="G4556" s="33"/>
      <c r="H4556" s="48">
        <f>SUM(H4554:H4555)</f>
        <v>3202831.5</v>
      </c>
      <c r="I4556" s="47"/>
    </row>
    <row r="4558" spans="3:11" x14ac:dyDescent="0.3">
      <c r="C4558" s="40" t="s">
        <v>871</v>
      </c>
      <c r="D4558" s="68" t="s">
        <v>872</v>
      </c>
      <c r="E4558" s="44"/>
      <c r="F4558" s="44"/>
      <c r="G4558" s="44"/>
      <c r="H4558" s="44"/>
      <c r="I4558" s="10">
        <f>ROUNDDOWN(H4573,0)</f>
        <v>4043479</v>
      </c>
      <c r="J4558" s="15"/>
      <c r="K4558" s="39"/>
    </row>
    <row r="4559" spans="3:11" ht="27.6" x14ac:dyDescent="0.3">
      <c r="C4559" s="11" t="s">
        <v>9</v>
      </c>
      <c r="D4559" s="11" t="s">
        <v>10</v>
      </c>
      <c r="E4559" s="11" t="s">
        <v>11</v>
      </c>
      <c r="F4559" s="11" t="s">
        <v>12</v>
      </c>
      <c r="G4559" s="11" t="s">
        <v>13</v>
      </c>
      <c r="H4559" s="11" t="s">
        <v>14</v>
      </c>
    </row>
    <row r="4560" spans="3:11" x14ac:dyDescent="0.25">
      <c r="C4560" s="12" t="s">
        <v>15</v>
      </c>
      <c r="D4560" s="13" t="s">
        <v>16</v>
      </c>
      <c r="E4560" s="14"/>
      <c r="F4560" s="14"/>
      <c r="G4560" s="14"/>
      <c r="H4560" s="14"/>
    </row>
    <row r="4561" spans="3:11" x14ac:dyDescent="0.3">
      <c r="C4561" s="16">
        <v>1</v>
      </c>
      <c r="D4561" s="13" t="s">
        <v>18</v>
      </c>
      <c r="E4561" s="17" t="s">
        <v>19</v>
      </c>
      <c r="F4561" s="18">
        <v>0.46</v>
      </c>
      <c r="G4561" s="19">
        <f>VLOOKUP(D4561,upahbahan,3,FALSE)</f>
        <v>100000</v>
      </c>
      <c r="H4561" s="19">
        <f t="shared" ref="H4561:H4564" si="493">F4561*G4561</f>
        <v>46000</v>
      </c>
    </row>
    <row r="4562" spans="3:11" x14ac:dyDescent="0.3">
      <c r="C4562" s="16">
        <v>2</v>
      </c>
      <c r="D4562" s="13" t="s">
        <v>214</v>
      </c>
      <c r="E4562" s="17" t="s">
        <v>19</v>
      </c>
      <c r="F4562" s="18">
        <v>0.76700000000000002</v>
      </c>
      <c r="G4562" s="19">
        <f>VLOOKUP(D4562,upahbahan,3,FALSE)</f>
        <v>145000</v>
      </c>
      <c r="H4562" s="19">
        <f t="shared" si="493"/>
        <v>111215</v>
      </c>
    </row>
    <row r="4563" spans="3:11" x14ac:dyDescent="0.3">
      <c r="C4563" s="16">
        <v>3</v>
      </c>
      <c r="D4563" s="13" t="s">
        <v>22</v>
      </c>
      <c r="E4563" s="17" t="s">
        <v>19</v>
      </c>
      <c r="F4563" s="18">
        <v>7.6999999999999999E-2</v>
      </c>
      <c r="G4563" s="19">
        <f>VLOOKUP(D4563,upahbahan,3,FALSE)</f>
        <v>175000</v>
      </c>
      <c r="H4563" s="19">
        <f t="shared" si="493"/>
        <v>13475</v>
      </c>
    </row>
    <row r="4564" spans="3:11" x14ac:dyDescent="0.3">
      <c r="C4564" s="16">
        <v>4</v>
      </c>
      <c r="D4564" s="13" t="s">
        <v>23</v>
      </c>
      <c r="E4564" s="17" t="s">
        <v>19</v>
      </c>
      <c r="F4564" s="18">
        <v>2.5999999999999999E-2</v>
      </c>
      <c r="G4564" s="19">
        <f>VLOOKUP(D4564,upahbahan,3,FALSE)</f>
        <v>200000</v>
      </c>
      <c r="H4564" s="19">
        <f t="shared" si="493"/>
        <v>5200</v>
      </c>
    </row>
    <row r="4565" spans="3:11" x14ac:dyDescent="0.3">
      <c r="C4565" s="21" t="s">
        <v>24</v>
      </c>
      <c r="D4565" s="22"/>
      <c r="E4565" s="22"/>
      <c r="F4565" s="54"/>
      <c r="G4565" s="24"/>
      <c r="H4565" s="19">
        <f>SUM(H4561:H4564)</f>
        <v>175890</v>
      </c>
      <c r="I4565" s="25"/>
    </row>
    <row r="4566" spans="3:11" x14ac:dyDescent="0.25">
      <c r="C4566" s="12" t="s">
        <v>25</v>
      </c>
      <c r="D4566" s="13" t="s">
        <v>26</v>
      </c>
      <c r="E4566" s="14"/>
      <c r="F4566" s="55"/>
      <c r="G4566" s="14"/>
      <c r="H4566" s="14"/>
    </row>
    <row r="4567" spans="3:11" s="91" customFormat="1" x14ac:dyDescent="0.3">
      <c r="C4567" s="85" t="s">
        <v>202</v>
      </c>
      <c r="D4567" s="86" t="s">
        <v>873</v>
      </c>
      <c r="E4567" s="87" t="s">
        <v>846</v>
      </c>
      <c r="F4567" s="88">
        <v>1</v>
      </c>
      <c r="G4567" s="89">
        <f>VLOOKUP(D4567,upahbahan,3,FALSE)</f>
        <v>3500000</v>
      </c>
      <c r="H4567" s="89">
        <f t="shared" ref="H4567" si="494">F4567*G4567</f>
        <v>3500000</v>
      </c>
      <c r="I4567" s="90"/>
      <c r="J4567" s="4"/>
      <c r="K4567" s="4"/>
    </row>
    <row r="4568" spans="3:11" x14ac:dyDescent="0.3">
      <c r="C4568" s="21" t="s">
        <v>29</v>
      </c>
      <c r="D4568" s="22"/>
      <c r="E4568" s="22"/>
      <c r="F4568" s="22"/>
      <c r="G4568" s="28"/>
      <c r="H4568" s="19">
        <f>SUM(H4567:H4567)</f>
        <v>3500000</v>
      </c>
    </row>
    <row r="4569" spans="3:11" x14ac:dyDescent="0.25">
      <c r="C4569" s="12" t="s">
        <v>30</v>
      </c>
      <c r="D4569" s="13" t="s">
        <v>31</v>
      </c>
      <c r="E4569" s="14"/>
      <c r="F4569" s="14"/>
      <c r="G4569" s="14"/>
      <c r="H4569" s="14"/>
    </row>
    <row r="4570" spans="3:11" x14ac:dyDescent="0.3">
      <c r="C4570" s="21" t="s">
        <v>32</v>
      </c>
      <c r="D4570" s="22"/>
      <c r="E4570" s="22"/>
      <c r="F4570" s="22"/>
      <c r="G4570" s="28"/>
      <c r="H4570" s="29">
        <v>0</v>
      </c>
    </row>
    <row r="4571" spans="3:11" x14ac:dyDescent="0.3">
      <c r="C4571" s="30" t="s">
        <v>33</v>
      </c>
      <c r="D4571" s="31" t="s">
        <v>34</v>
      </c>
      <c r="E4571" s="32"/>
      <c r="F4571" s="32"/>
      <c r="G4571" s="33"/>
      <c r="H4571" s="46">
        <f>H4570+H4568+H4565</f>
        <v>3675890</v>
      </c>
      <c r="I4571" s="47"/>
    </row>
    <row r="4572" spans="3:11" x14ac:dyDescent="0.3">
      <c r="C4572" s="30" t="s">
        <v>35</v>
      </c>
      <c r="D4572" s="31" t="s">
        <v>36</v>
      </c>
      <c r="E4572" s="32"/>
      <c r="F4572" s="33"/>
      <c r="G4572" s="34">
        <f>$M$9</f>
        <v>0.1</v>
      </c>
      <c r="H4572" s="19">
        <f>H4571*G4572</f>
        <v>367589</v>
      </c>
      <c r="I4572" s="47"/>
    </row>
    <row r="4573" spans="3:11" x14ac:dyDescent="0.3">
      <c r="C4573" s="30" t="s">
        <v>37</v>
      </c>
      <c r="D4573" s="31" t="s">
        <v>38</v>
      </c>
      <c r="E4573" s="32"/>
      <c r="F4573" s="32"/>
      <c r="G4573" s="33"/>
      <c r="H4573" s="48">
        <f>SUM(H4571:H4572)</f>
        <v>4043479</v>
      </c>
      <c r="I4573" s="47"/>
    </row>
    <row r="4574" spans="3:11" x14ac:dyDescent="0.3">
      <c r="C4574" s="92" t="s">
        <v>874</v>
      </c>
      <c r="D4574" s="3" t="s">
        <v>875</v>
      </c>
    </row>
    <row r="4576" spans="3:11" x14ac:dyDescent="0.3">
      <c r="C4576" s="40" t="s">
        <v>876</v>
      </c>
      <c r="D4576" s="68" t="s">
        <v>877</v>
      </c>
      <c r="E4576" s="44"/>
      <c r="F4576" s="44"/>
      <c r="G4576" s="44"/>
      <c r="H4576" s="44"/>
      <c r="I4576" s="10">
        <f>ROUNDDOWN(H4591,0)</f>
        <v>6286346</v>
      </c>
      <c r="J4576" s="15"/>
      <c r="K4576" s="39"/>
    </row>
    <row r="4577" spans="3:11" ht="27.6" x14ac:dyDescent="0.3">
      <c r="C4577" s="11" t="s">
        <v>9</v>
      </c>
      <c r="D4577" s="11" t="s">
        <v>10</v>
      </c>
      <c r="E4577" s="11" t="s">
        <v>11</v>
      </c>
      <c r="F4577" s="11" t="s">
        <v>12</v>
      </c>
      <c r="G4577" s="11" t="s">
        <v>13</v>
      </c>
      <c r="H4577" s="11" t="s">
        <v>14</v>
      </c>
    </row>
    <row r="4578" spans="3:11" x14ac:dyDescent="0.25">
      <c r="C4578" s="12" t="s">
        <v>15</v>
      </c>
      <c r="D4578" s="13" t="s">
        <v>16</v>
      </c>
      <c r="E4578" s="14"/>
      <c r="F4578" s="14"/>
      <c r="G4578" s="14"/>
      <c r="H4578" s="14"/>
    </row>
    <row r="4579" spans="3:11" x14ac:dyDescent="0.3">
      <c r="C4579" s="16">
        <v>1</v>
      </c>
      <c r="D4579" s="13" t="s">
        <v>18</v>
      </c>
      <c r="E4579" s="17" t="s">
        <v>19</v>
      </c>
      <c r="F4579" s="18">
        <v>0.56200000000000006</v>
      </c>
      <c r="G4579" s="19">
        <f>VLOOKUP(D4579,upahbahan,3,FALSE)</f>
        <v>100000</v>
      </c>
      <c r="H4579" s="19">
        <f t="shared" ref="H4579:H4582" si="495">F4579*G4579</f>
        <v>56200.000000000007</v>
      </c>
    </row>
    <row r="4580" spans="3:11" x14ac:dyDescent="0.3">
      <c r="C4580" s="16">
        <v>2</v>
      </c>
      <c r="D4580" s="13" t="s">
        <v>214</v>
      </c>
      <c r="E4580" s="17" t="s">
        <v>19</v>
      </c>
      <c r="F4580" s="18">
        <v>0.93799999999999994</v>
      </c>
      <c r="G4580" s="19">
        <f>VLOOKUP(D4580,upahbahan,3,FALSE)</f>
        <v>145000</v>
      </c>
      <c r="H4580" s="19">
        <f t="shared" si="495"/>
        <v>136010</v>
      </c>
    </row>
    <row r="4581" spans="3:11" x14ac:dyDescent="0.3">
      <c r="C4581" s="16">
        <v>3</v>
      </c>
      <c r="D4581" s="13" t="s">
        <v>22</v>
      </c>
      <c r="E4581" s="17" t="s">
        <v>19</v>
      </c>
      <c r="F4581" s="18">
        <v>9.4E-2</v>
      </c>
      <c r="G4581" s="19">
        <f>VLOOKUP(D4581,upahbahan,3,FALSE)</f>
        <v>175000</v>
      </c>
      <c r="H4581" s="19">
        <f t="shared" si="495"/>
        <v>16450</v>
      </c>
    </row>
    <row r="4582" spans="3:11" x14ac:dyDescent="0.3">
      <c r="C4582" s="16">
        <v>4</v>
      </c>
      <c r="D4582" s="13" t="s">
        <v>23</v>
      </c>
      <c r="E4582" s="17" t="s">
        <v>19</v>
      </c>
      <c r="F4582" s="18">
        <v>3.1E-2</v>
      </c>
      <c r="G4582" s="19">
        <f>VLOOKUP(D4582,upahbahan,3,FALSE)</f>
        <v>200000</v>
      </c>
      <c r="H4582" s="19">
        <f t="shared" si="495"/>
        <v>6200</v>
      </c>
    </row>
    <row r="4583" spans="3:11" x14ac:dyDescent="0.3">
      <c r="C4583" s="21" t="s">
        <v>24</v>
      </c>
      <c r="D4583" s="22"/>
      <c r="E4583" s="22"/>
      <c r="F4583" s="54"/>
      <c r="G4583" s="24"/>
      <c r="H4583" s="19">
        <f>SUM(H4579:H4582)</f>
        <v>214860</v>
      </c>
      <c r="I4583" s="25"/>
    </row>
    <row r="4584" spans="3:11" x14ac:dyDescent="0.25">
      <c r="C4584" s="12" t="s">
        <v>25</v>
      </c>
      <c r="D4584" s="13" t="s">
        <v>26</v>
      </c>
      <c r="E4584" s="14"/>
      <c r="F4584" s="55"/>
      <c r="G4584" s="14"/>
      <c r="H4584" s="14"/>
    </row>
    <row r="4585" spans="3:11" s="91" customFormat="1" x14ac:dyDescent="0.3">
      <c r="C4585" s="85" t="s">
        <v>202</v>
      </c>
      <c r="D4585" s="86" t="s">
        <v>878</v>
      </c>
      <c r="E4585" s="87" t="s">
        <v>846</v>
      </c>
      <c r="F4585" s="88">
        <v>1</v>
      </c>
      <c r="G4585" s="89">
        <f>VLOOKUP(D4585,upahbahan,3,FALSE)</f>
        <v>5500000</v>
      </c>
      <c r="H4585" s="89">
        <f t="shared" ref="H4585" si="496">F4585*G4585</f>
        <v>5500000</v>
      </c>
      <c r="I4585" s="90"/>
      <c r="J4585" s="4"/>
      <c r="K4585" s="4"/>
    </row>
    <row r="4586" spans="3:11" x14ac:dyDescent="0.3">
      <c r="C4586" s="21" t="s">
        <v>29</v>
      </c>
      <c r="D4586" s="22"/>
      <c r="E4586" s="22"/>
      <c r="F4586" s="22"/>
      <c r="G4586" s="28"/>
      <c r="H4586" s="19">
        <f>SUM(H4585:H4585)</f>
        <v>5500000</v>
      </c>
    </row>
    <row r="4587" spans="3:11" x14ac:dyDescent="0.25">
      <c r="C4587" s="12" t="s">
        <v>30</v>
      </c>
      <c r="D4587" s="13" t="s">
        <v>31</v>
      </c>
      <c r="E4587" s="14"/>
      <c r="F4587" s="14"/>
      <c r="G4587" s="14"/>
      <c r="H4587" s="14"/>
    </row>
    <row r="4588" spans="3:11" x14ac:dyDescent="0.3">
      <c r="C4588" s="21" t="s">
        <v>32</v>
      </c>
      <c r="D4588" s="22"/>
      <c r="E4588" s="22"/>
      <c r="F4588" s="22"/>
      <c r="G4588" s="28"/>
      <c r="H4588" s="29">
        <v>0</v>
      </c>
    </row>
    <row r="4589" spans="3:11" x14ac:dyDescent="0.3">
      <c r="C4589" s="30" t="s">
        <v>33</v>
      </c>
      <c r="D4589" s="31" t="s">
        <v>34</v>
      </c>
      <c r="E4589" s="32"/>
      <c r="F4589" s="32"/>
      <c r="G4589" s="33"/>
      <c r="H4589" s="46">
        <f>H4588+H4586+H4583</f>
        <v>5714860</v>
      </c>
      <c r="I4589" s="47"/>
    </row>
    <row r="4590" spans="3:11" x14ac:dyDescent="0.3">
      <c r="C4590" s="30" t="s">
        <v>35</v>
      </c>
      <c r="D4590" s="31" t="s">
        <v>36</v>
      </c>
      <c r="E4590" s="32"/>
      <c r="F4590" s="33"/>
      <c r="G4590" s="34">
        <f>$M$9</f>
        <v>0.1</v>
      </c>
      <c r="H4590" s="19">
        <f>H4589*G4590</f>
        <v>571486</v>
      </c>
      <c r="I4590" s="47"/>
    </row>
    <row r="4591" spans="3:11" x14ac:dyDescent="0.3">
      <c r="C4591" s="30" t="s">
        <v>37</v>
      </c>
      <c r="D4591" s="31" t="s">
        <v>38</v>
      </c>
      <c r="E4591" s="32"/>
      <c r="F4591" s="32"/>
      <c r="G4591" s="33"/>
      <c r="H4591" s="48">
        <f>SUM(H4589:H4590)</f>
        <v>6286346</v>
      </c>
      <c r="I4591" s="47"/>
    </row>
    <row r="4592" spans="3:11" x14ac:dyDescent="0.3">
      <c r="C4592" s="92" t="s">
        <v>874</v>
      </c>
      <c r="D4592" s="3" t="s">
        <v>875</v>
      </c>
    </row>
    <row r="4594" spans="3:11" x14ac:dyDescent="0.3">
      <c r="C4594" s="40" t="s">
        <v>879</v>
      </c>
      <c r="D4594" s="68" t="s">
        <v>880</v>
      </c>
      <c r="E4594" s="44"/>
      <c r="F4594" s="44"/>
      <c r="G4594" s="44"/>
      <c r="H4594" s="44"/>
      <c r="I4594" s="10">
        <f>ROUNDDOWN(H4609,0)</f>
        <v>6463479</v>
      </c>
      <c r="J4594" s="15"/>
      <c r="K4594" s="39"/>
    </row>
    <row r="4595" spans="3:11" ht="27.6" x14ac:dyDescent="0.3">
      <c r="C4595" s="11" t="s">
        <v>9</v>
      </c>
      <c r="D4595" s="11" t="s">
        <v>10</v>
      </c>
      <c r="E4595" s="11" t="s">
        <v>11</v>
      </c>
      <c r="F4595" s="11" t="s">
        <v>12</v>
      </c>
      <c r="G4595" s="11" t="s">
        <v>13</v>
      </c>
      <c r="H4595" s="11" t="s">
        <v>14</v>
      </c>
    </row>
    <row r="4596" spans="3:11" x14ac:dyDescent="0.25">
      <c r="C4596" s="12" t="s">
        <v>15</v>
      </c>
      <c r="D4596" s="13" t="s">
        <v>16</v>
      </c>
      <c r="E4596" s="14"/>
      <c r="F4596" s="14"/>
      <c r="G4596" s="14"/>
      <c r="H4596" s="14"/>
    </row>
    <row r="4597" spans="3:11" x14ac:dyDescent="0.3">
      <c r="C4597" s="16">
        <v>1</v>
      </c>
      <c r="D4597" s="13" t="s">
        <v>18</v>
      </c>
      <c r="E4597" s="17" t="s">
        <v>19</v>
      </c>
      <c r="F4597" s="18">
        <v>0.46</v>
      </c>
      <c r="G4597" s="19">
        <f>VLOOKUP(D4597,upahbahan,3,FALSE)</f>
        <v>100000</v>
      </c>
      <c r="H4597" s="19">
        <f t="shared" ref="H4597:H4600" si="497">F4597*G4597</f>
        <v>46000</v>
      </c>
    </row>
    <row r="4598" spans="3:11" x14ac:dyDescent="0.3">
      <c r="C4598" s="16">
        <v>2</v>
      </c>
      <c r="D4598" s="13" t="s">
        <v>214</v>
      </c>
      <c r="E4598" s="17" t="s">
        <v>19</v>
      </c>
      <c r="F4598" s="18">
        <v>0.76700000000000002</v>
      </c>
      <c r="G4598" s="19">
        <f>VLOOKUP(D4598,upahbahan,3,FALSE)</f>
        <v>145000</v>
      </c>
      <c r="H4598" s="19">
        <f t="shared" si="497"/>
        <v>111215</v>
      </c>
    </row>
    <row r="4599" spans="3:11" x14ac:dyDescent="0.3">
      <c r="C4599" s="16">
        <v>3</v>
      </c>
      <c r="D4599" s="13" t="s">
        <v>22</v>
      </c>
      <c r="E4599" s="17" t="s">
        <v>19</v>
      </c>
      <c r="F4599" s="18">
        <v>7.6999999999999999E-2</v>
      </c>
      <c r="G4599" s="19">
        <f>VLOOKUP(D4599,upahbahan,3,FALSE)</f>
        <v>175000</v>
      </c>
      <c r="H4599" s="19">
        <f t="shared" si="497"/>
        <v>13475</v>
      </c>
    </row>
    <row r="4600" spans="3:11" x14ac:dyDescent="0.3">
      <c r="C4600" s="16">
        <v>4</v>
      </c>
      <c r="D4600" s="13" t="s">
        <v>23</v>
      </c>
      <c r="E4600" s="17" t="s">
        <v>19</v>
      </c>
      <c r="F4600" s="18">
        <v>2.5999999999999999E-2</v>
      </c>
      <c r="G4600" s="19">
        <f>VLOOKUP(D4600,upahbahan,3,FALSE)</f>
        <v>200000</v>
      </c>
      <c r="H4600" s="19">
        <f t="shared" si="497"/>
        <v>5200</v>
      </c>
    </row>
    <row r="4601" spans="3:11" x14ac:dyDescent="0.3">
      <c r="C4601" s="21" t="s">
        <v>24</v>
      </c>
      <c r="D4601" s="22"/>
      <c r="E4601" s="22"/>
      <c r="F4601" s="54"/>
      <c r="G4601" s="24"/>
      <c r="H4601" s="19">
        <f>SUM(H4597:H4600)</f>
        <v>175890</v>
      </c>
      <c r="I4601" s="25"/>
    </row>
    <row r="4602" spans="3:11" x14ac:dyDescent="0.25">
      <c r="C4602" s="12" t="s">
        <v>25</v>
      </c>
      <c r="D4602" s="13" t="s">
        <v>26</v>
      </c>
      <c r="E4602" s="14"/>
      <c r="F4602" s="55"/>
      <c r="G4602" s="14"/>
      <c r="H4602" s="14"/>
    </row>
    <row r="4603" spans="3:11" s="91" customFormat="1" x14ac:dyDescent="0.3">
      <c r="C4603" s="85" t="s">
        <v>202</v>
      </c>
      <c r="D4603" s="86" t="s">
        <v>881</v>
      </c>
      <c r="E4603" s="87" t="s">
        <v>846</v>
      </c>
      <c r="F4603" s="88">
        <v>1</v>
      </c>
      <c r="G4603" s="89">
        <f>VLOOKUP(D4603,upahbahan,3,FALSE)</f>
        <v>5700000</v>
      </c>
      <c r="H4603" s="89">
        <f t="shared" ref="H4603" si="498">F4603*G4603</f>
        <v>5700000</v>
      </c>
      <c r="I4603" s="90"/>
      <c r="J4603" s="4"/>
      <c r="K4603" s="4"/>
    </row>
    <row r="4604" spans="3:11" x14ac:dyDescent="0.3">
      <c r="C4604" s="21" t="s">
        <v>29</v>
      </c>
      <c r="D4604" s="22"/>
      <c r="E4604" s="22"/>
      <c r="F4604" s="22"/>
      <c r="G4604" s="28"/>
      <c r="H4604" s="19">
        <f>SUM(H4603:H4603)</f>
        <v>5700000</v>
      </c>
    </row>
    <row r="4605" spans="3:11" x14ac:dyDescent="0.25">
      <c r="C4605" s="12" t="s">
        <v>30</v>
      </c>
      <c r="D4605" s="13" t="s">
        <v>31</v>
      </c>
      <c r="E4605" s="14"/>
      <c r="F4605" s="14"/>
      <c r="G4605" s="14"/>
      <c r="H4605" s="14"/>
    </row>
    <row r="4606" spans="3:11" x14ac:dyDescent="0.3">
      <c r="C4606" s="21" t="s">
        <v>32</v>
      </c>
      <c r="D4606" s="22"/>
      <c r="E4606" s="22"/>
      <c r="F4606" s="22"/>
      <c r="G4606" s="28"/>
      <c r="H4606" s="29">
        <v>0</v>
      </c>
    </row>
    <row r="4607" spans="3:11" x14ac:dyDescent="0.3">
      <c r="C4607" s="30" t="s">
        <v>33</v>
      </c>
      <c r="D4607" s="31" t="s">
        <v>34</v>
      </c>
      <c r="E4607" s="32"/>
      <c r="F4607" s="32"/>
      <c r="G4607" s="33"/>
      <c r="H4607" s="46">
        <f>H4606+H4604+H4601</f>
        <v>5875890</v>
      </c>
      <c r="I4607" s="47"/>
    </row>
    <row r="4608" spans="3:11" x14ac:dyDescent="0.3">
      <c r="C4608" s="30" t="s">
        <v>35</v>
      </c>
      <c r="D4608" s="31" t="s">
        <v>36</v>
      </c>
      <c r="E4608" s="32"/>
      <c r="F4608" s="33"/>
      <c r="G4608" s="34">
        <f>$M$9</f>
        <v>0.1</v>
      </c>
      <c r="H4608" s="19">
        <f>H4607*G4608</f>
        <v>587589</v>
      </c>
      <c r="I4608" s="47"/>
    </row>
    <row r="4609" spans="3:11" x14ac:dyDescent="0.3">
      <c r="C4609" s="30" t="s">
        <v>37</v>
      </c>
      <c r="D4609" s="31" t="s">
        <v>38</v>
      </c>
      <c r="E4609" s="32"/>
      <c r="F4609" s="32"/>
      <c r="G4609" s="33"/>
      <c r="H4609" s="48">
        <f>SUM(H4607:H4608)</f>
        <v>6463479</v>
      </c>
      <c r="I4609" s="47"/>
    </row>
    <row r="4610" spans="3:11" x14ac:dyDescent="0.3">
      <c r="C4610" s="92" t="s">
        <v>874</v>
      </c>
      <c r="D4610" s="3" t="s">
        <v>875</v>
      </c>
    </row>
    <row r="4612" spans="3:11" x14ac:dyDescent="0.3">
      <c r="C4612" s="40" t="s">
        <v>882</v>
      </c>
      <c r="D4612" s="68" t="s">
        <v>883</v>
      </c>
      <c r="E4612" s="44"/>
      <c r="F4612" s="44"/>
      <c r="G4612" s="44"/>
      <c r="H4612" s="44"/>
      <c r="I4612" s="10">
        <f>ROUNDDOWN(H4627,0)</f>
        <v>4113609</v>
      </c>
      <c r="J4612" s="15"/>
      <c r="K4612" s="39"/>
    </row>
    <row r="4613" spans="3:11" ht="27.6" x14ac:dyDescent="0.3">
      <c r="C4613" s="11" t="s">
        <v>9</v>
      </c>
      <c r="D4613" s="11" t="s">
        <v>10</v>
      </c>
      <c r="E4613" s="11" t="s">
        <v>11</v>
      </c>
      <c r="F4613" s="11" t="s">
        <v>12</v>
      </c>
      <c r="G4613" s="11" t="s">
        <v>13</v>
      </c>
      <c r="H4613" s="11" t="s">
        <v>14</v>
      </c>
    </row>
    <row r="4614" spans="3:11" x14ac:dyDescent="0.25">
      <c r="C4614" s="12" t="s">
        <v>15</v>
      </c>
      <c r="D4614" s="13" t="s">
        <v>16</v>
      </c>
      <c r="E4614" s="14"/>
      <c r="F4614" s="14"/>
      <c r="G4614" s="14"/>
      <c r="H4614" s="14"/>
    </row>
    <row r="4615" spans="3:11" x14ac:dyDescent="0.3">
      <c r="C4615" s="16">
        <v>1</v>
      </c>
      <c r="D4615" s="13" t="s">
        <v>18</v>
      </c>
      <c r="E4615" s="17" t="s">
        <v>19</v>
      </c>
      <c r="F4615" s="18">
        <v>0.626</v>
      </c>
      <c r="G4615" s="19">
        <f>VLOOKUP(D4615,upahbahan,3,FALSE)</f>
        <v>100000</v>
      </c>
      <c r="H4615" s="19">
        <f t="shared" ref="H4615:H4618" si="499">F4615*G4615</f>
        <v>62600</v>
      </c>
    </row>
    <row r="4616" spans="3:11" x14ac:dyDescent="0.3">
      <c r="C4616" s="16">
        <v>2</v>
      </c>
      <c r="D4616" s="13" t="s">
        <v>214</v>
      </c>
      <c r="E4616" s="17" t="s">
        <v>19</v>
      </c>
      <c r="F4616" s="18">
        <v>1.046</v>
      </c>
      <c r="G4616" s="19">
        <f>VLOOKUP(D4616,upahbahan,3,FALSE)</f>
        <v>145000</v>
      </c>
      <c r="H4616" s="19">
        <f t="shared" si="499"/>
        <v>151670</v>
      </c>
    </row>
    <row r="4617" spans="3:11" x14ac:dyDescent="0.3">
      <c r="C4617" s="16">
        <v>3</v>
      </c>
      <c r="D4617" s="13" t="s">
        <v>22</v>
      </c>
      <c r="E4617" s="17" t="s">
        <v>19</v>
      </c>
      <c r="F4617" s="18">
        <v>0.105</v>
      </c>
      <c r="G4617" s="19">
        <f>VLOOKUP(D4617,upahbahan,3,FALSE)</f>
        <v>175000</v>
      </c>
      <c r="H4617" s="19">
        <f t="shared" si="499"/>
        <v>18375</v>
      </c>
    </row>
    <row r="4618" spans="3:11" x14ac:dyDescent="0.3">
      <c r="C4618" s="16">
        <v>4</v>
      </c>
      <c r="D4618" s="13" t="s">
        <v>23</v>
      </c>
      <c r="E4618" s="17" t="s">
        <v>19</v>
      </c>
      <c r="F4618" s="18">
        <v>3.5000000000000003E-2</v>
      </c>
      <c r="G4618" s="19">
        <f>VLOOKUP(D4618,upahbahan,3,FALSE)</f>
        <v>200000</v>
      </c>
      <c r="H4618" s="19">
        <f t="shared" si="499"/>
        <v>7000.0000000000009</v>
      </c>
    </row>
    <row r="4619" spans="3:11" x14ac:dyDescent="0.3">
      <c r="C4619" s="21" t="s">
        <v>24</v>
      </c>
      <c r="D4619" s="22"/>
      <c r="E4619" s="22"/>
      <c r="F4619" s="54"/>
      <c r="G4619" s="24"/>
      <c r="H4619" s="19">
        <f>SUM(H4615:H4618)</f>
        <v>239645</v>
      </c>
      <c r="I4619" s="25"/>
    </row>
    <row r="4620" spans="3:11" x14ac:dyDescent="0.25">
      <c r="C4620" s="12" t="s">
        <v>25</v>
      </c>
      <c r="D4620" s="13" t="s">
        <v>26</v>
      </c>
      <c r="E4620" s="14"/>
      <c r="F4620" s="55"/>
      <c r="G4620" s="14"/>
      <c r="H4620" s="14"/>
    </row>
    <row r="4621" spans="3:11" s="91" customFormat="1" x14ac:dyDescent="0.3">
      <c r="C4621" s="85" t="s">
        <v>202</v>
      </c>
      <c r="D4621" s="86" t="s">
        <v>884</v>
      </c>
      <c r="E4621" s="87" t="s">
        <v>846</v>
      </c>
      <c r="F4621" s="88">
        <v>1</v>
      </c>
      <c r="G4621" s="89">
        <f>VLOOKUP(D4621,upahbahan,3,FALSE)</f>
        <v>3500000</v>
      </c>
      <c r="H4621" s="89">
        <f t="shared" ref="H4621" si="500">F4621*G4621</f>
        <v>3500000</v>
      </c>
      <c r="I4621" s="90"/>
      <c r="J4621" s="4"/>
      <c r="K4621" s="4"/>
    </row>
    <row r="4622" spans="3:11" x14ac:dyDescent="0.3">
      <c r="C4622" s="21" t="s">
        <v>29</v>
      </c>
      <c r="D4622" s="22"/>
      <c r="E4622" s="22"/>
      <c r="F4622" s="22"/>
      <c r="G4622" s="28"/>
      <c r="H4622" s="19">
        <f>SUM(H4621:H4621)</f>
        <v>3500000</v>
      </c>
    </row>
    <row r="4623" spans="3:11" x14ac:dyDescent="0.25">
      <c r="C4623" s="12" t="s">
        <v>30</v>
      </c>
      <c r="D4623" s="13" t="s">
        <v>31</v>
      </c>
      <c r="E4623" s="14"/>
      <c r="F4623" s="14"/>
      <c r="G4623" s="14"/>
      <c r="H4623" s="14"/>
    </row>
    <row r="4624" spans="3:11" x14ac:dyDescent="0.3">
      <c r="C4624" s="21" t="s">
        <v>32</v>
      </c>
      <c r="D4624" s="22"/>
      <c r="E4624" s="22"/>
      <c r="F4624" s="22"/>
      <c r="G4624" s="28"/>
      <c r="H4624" s="29">
        <v>0</v>
      </c>
    </row>
    <row r="4625" spans="3:11" x14ac:dyDescent="0.3">
      <c r="C4625" s="30" t="s">
        <v>33</v>
      </c>
      <c r="D4625" s="31" t="s">
        <v>34</v>
      </c>
      <c r="E4625" s="32"/>
      <c r="F4625" s="32"/>
      <c r="G4625" s="33"/>
      <c r="H4625" s="46">
        <f>H4624+H4622+H4619</f>
        <v>3739645</v>
      </c>
      <c r="I4625" s="47"/>
    </row>
    <row r="4626" spans="3:11" x14ac:dyDescent="0.3">
      <c r="C4626" s="30" t="s">
        <v>35</v>
      </c>
      <c r="D4626" s="31" t="s">
        <v>36</v>
      </c>
      <c r="E4626" s="32"/>
      <c r="F4626" s="33"/>
      <c r="G4626" s="34">
        <f>$M$9</f>
        <v>0.1</v>
      </c>
      <c r="H4626" s="19">
        <f>H4625*G4626</f>
        <v>373964.5</v>
      </c>
      <c r="I4626" s="47"/>
    </row>
    <row r="4627" spans="3:11" x14ac:dyDescent="0.3">
      <c r="C4627" s="30" t="s">
        <v>37</v>
      </c>
      <c r="D4627" s="31" t="s">
        <v>38</v>
      </c>
      <c r="E4627" s="32"/>
      <c r="F4627" s="32"/>
      <c r="G4627" s="33"/>
      <c r="H4627" s="48">
        <f>SUM(H4625:H4626)</f>
        <v>4113609.5</v>
      </c>
      <c r="I4627" s="47"/>
    </row>
    <row r="4628" spans="3:11" x14ac:dyDescent="0.3">
      <c r="C4628" s="92" t="s">
        <v>874</v>
      </c>
      <c r="D4628" s="3" t="s">
        <v>875</v>
      </c>
    </row>
    <row r="4629" spans="3:11" x14ac:dyDescent="0.3">
      <c r="C4629" s="40" t="s">
        <v>885</v>
      </c>
      <c r="D4629" s="68" t="s">
        <v>886</v>
      </c>
      <c r="E4629" s="44"/>
      <c r="F4629" s="44"/>
      <c r="G4629" s="44"/>
      <c r="H4629" s="44"/>
      <c r="I4629" s="10">
        <f>ROUNDDOWN(H4644,0)</f>
        <v>5880913</v>
      </c>
      <c r="J4629" s="15"/>
      <c r="K4629" s="39"/>
    </row>
    <row r="4630" spans="3:11" ht="27.6" x14ac:dyDescent="0.3">
      <c r="C4630" s="11" t="s">
        <v>9</v>
      </c>
      <c r="D4630" s="11" t="s">
        <v>10</v>
      </c>
      <c r="E4630" s="11" t="s">
        <v>11</v>
      </c>
      <c r="F4630" s="11" t="s">
        <v>12</v>
      </c>
      <c r="G4630" s="11" t="s">
        <v>13</v>
      </c>
      <c r="H4630" s="11" t="s">
        <v>14</v>
      </c>
    </row>
    <row r="4631" spans="3:11" x14ac:dyDescent="0.25">
      <c r="C4631" s="12" t="s">
        <v>15</v>
      </c>
      <c r="D4631" s="13" t="s">
        <v>16</v>
      </c>
      <c r="E4631" s="14"/>
      <c r="F4631" s="14"/>
      <c r="G4631" s="14"/>
      <c r="H4631" s="14"/>
    </row>
    <row r="4632" spans="3:11" x14ac:dyDescent="0.3">
      <c r="C4632" s="16">
        <v>1</v>
      </c>
      <c r="D4632" s="13" t="s">
        <v>18</v>
      </c>
      <c r="E4632" s="17" t="s">
        <v>19</v>
      </c>
      <c r="F4632" s="18">
        <v>1.167</v>
      </c>
      <c r="G4632" s="19">
        <f>VLOOKUP(D4632,upahbahan,3,FALSE)</f>
        <v>100000</v>
      </c>
      <c r="H4632" s="19">
        <f t="shared" ref="H4632:H4635" si="501">F4632*G4632</f>
        <v>116700</v>
      </c>
    </row>
    <row r="4633" spans="3:11" x14ac:dyDescent="0.3">
      <c r="C4633" s="16">
        <v>2</v>
      </c>
      <c r="D4633" s="13" t="s">
        <v>214</v>
      </c>
      <c r="E4633" s="17" t="s">
        <v>19</v>
      </c>
      <c r="F4633" s="18">
        <v>1.948</v>
      </c>
      <c r="G4633" s="19">
        <f>VLOOKUP(D4633,upahbahan,3,FALSE)</f>
        <v>145000</v>
      </c>
      <c r="H4633" s="19">
        <f t="shared" si="501"/>
        <v>282460</v>
      </c>
    </row>
    <row r="4634" spans="3:11" x14ac:dyDescent="0.3">
      <c r="C4634" s="16">
        <v>3</v>
      </c>
      <c r="D4634" s="13" t="s">
        <v>22</v>
      </c>
      <c r="E4634" s="17" t="s">
        <v>19</v>
      </c>
      <c r="F4634" s="18">
        <v>0.19500000000000001</v>
      </c>
      <c r="G4634" s="19">
        <f>VLOOKUP(D4634,upahbahan,3,FALSE)</f>
        <v>175000</v>
      </c>
      <c r="H4634" s="19">
        <f t="shared" si="501"/>
        <v>34125</v>
      </c>
    </row>
    <row r="4635" spans="3:11" x14ac:dyDescent="0.3">
      <c r="C4635" s="16">
        <v>4</v>
      </c>
      <c r="D4635" s="13" t="s">
        <v>23</v>
      </c>
      <c r="E4635" s="17" t="s">
        <v>19</v>
      </c>
      <c r="F4635" s="18">
        <v>6.5000000000000002E-2</v>
      </c>
      <c r="G4635" s="19">
        <f>VLOOKUP(D4635,upahbahan,3,FALSE)</f>
        <v>200000</v>
      </c>
      <c r="H4635" s="19">
        <f t="shared" si="501"/>
        <v>13000</v>
      </c>
    </row>
    <row r="4636" spans="3:11" x14ac:dyDescent="0.3">
      <c r="C4636" s="21" t="s">
        <v>24</v>
      </c>
      <c r="D4636" s="22"/>
      <c r="E4636" s="22"/>
      <c r="F4636" s="54"/>
      <c r="G4636" s="24"/>
      <c r="H4636" s="19">
        <f>SUM(H4632:H4635)</f>
        <v>446285</v>
      </c>
      <c r="I4636" s="25"/>
    </row>
    <row r="4637" spans="3:11" x14ac:dyDescent="0.25">
      <c r="C4637" s="12" t="s">
        <v>25</v>
      </c>
      <c r="D4637" s="13" t="s">
        <v>26</v>
      </c>
      <c r="E4637" s="14"/>
      <c r="F4637" s="55"/>
      <c r="G4637" s="14"/>
      <c r="H4637" s="14"/>
    </row>
    <row r="4638" spans="3:11" s="91" customFormat="1" x14ac:dyDescent="0.3">
      <c r="C4638" s="85" t="s">
        <v>202</v>
      </c>
      <c r="D4638" s="86" t="s">
        <v>887</v>
      </c>
      <c r="E4638" s="87" t="s">
        <v>846</v>
      </c>
      <c r="F4638" s="88">
        <v>1</v>
      </c>
      <c r="G4638" s="89">
        <f>VLOOKUP(D4638,upahbahan,3,FALSE)</f>
        <v>4900000</v>
      </c>
      <c r="H4638" s="89">
        <f t="shared" ref="H4638" si="502">F4638*G4638</f>
        <v>4900000</v>
      </c>
      <c r="I4638" s="90"/>
      <c r="J4638" s="4"/>
      <c r="K4638" s="4"/>
    </row>
    <row r="4639" spans="3:11" x14ac:dyDescent="0.3">
      <c r="C4639" s="21" t="s">
        <v>29</v>
      </c>
      <c r="D4639" s="22"/>
      <c r="E4639" s="22"/>
      <c r="F4639" s="22"/>
      <c r="G4639" s="28"/>
      <c r="H4639" s="19">
        <f>SUM(H4638:H4638)</f>
        <v>4900000</v>
      </c>
    </row>
    <row r="4640" spans="3:11" x14ac:dyDescent="0.25">
      <c r="C4640" s="12" t="s">
        <v>30</v>
      </c>
      <c r="D4640" s="13" t="s">
        <v>31</v>
      </c>
      <c r="E4640" s="14"/>
      <c r="F4640" s="14"/>
      <c r="G4640" s="14"/>
      <c r="H4640" s="14"/>
    </row>
    <row r="4641" spans="3:11" x14ac:dyDescent="0.3">
      <c r="C4641" s="21" t="s">
        <v>32</v>
      </c>
      <c r="D4641" s="22"/>
      <c r="E4641" s="22"/>
      <c r="F4641" s="22"/>
      <c r="G4641" s="28"/>
      <c r="H4641" s="29">
        <v>0</v>
      </c>
    </row>
    <row r="4642" spans="3:11" x14ac:dyDescent="0.3">
      <c r="C4642" s="30" t="s">
        <v>33</v>
      </c>
      <c r="D4642" s="31" t="s">
        <v>34</v>
      </c>
      <c r="E4642" s="32"/>
      <c r="F4642" s="32"/>
      <c r="G4642" s="33"/>
      <c r="H4642" s="46">
        <f>H4641+H4639+H4636</f>
        <v>5346285</v>
      </c>
      <c r="I4642" s="47"/>
    </row>
    <row r="4643" spans="3:11" x14ac:dyDescent="0.3">
      <c r="C4643" s="30" t="s">
        <v>35</v>
      </c>
      <c r="D4643" s="31" t="s">
        <v>36</v>
      </c>
      <c r="E4643" s="32"/>
      <c r="F4643" s="33"/>
      <c r="G4643" s="34">
        <f>$M$9</f>
        <v>0.1</v>
      </c>
      <c r="H4643" s="19">
        <f>H4642*G4643</f>
        <v>534628.5</v>
      </c>
      <c r="I4643" s="47"/>
    </row>
    <row r="4644" spans="3:11" x14ac:dyDescent="0.3">
      <c r="C4644" s="30" t="s">
        <v>37</v>
      </c>
      <c r="D4644" s="31" t="s">
        <v>38</v>
      </c>
      <c r="E4644" s="32"/>
      <c r="F4644" s="32"/>
      <c r="G4644" s="33"/>
      <c r="H4644" s="48">
        <f>SUM(H4642:H4643)</f>
        <v>5880913.5</v>
      </c>
      <c r="I4644" s="47"/>
    </row>
    <row r="4645" spans="3:11" x14ac:dyDescent="0.3">
      <c r="C4645" s="92" t="s">
        <v>874</v>
      </c>
      <c r="D4645" s="3" t="s">
        <v>888</v>
      </c>
    </row>
    <row r="4647" spans="3:11" x14ac:dyDescent="0.3">
      <c r="C4647" s="40" t="s">
        <v>889</v>
      </c>
      <c r="D4647" s="68" t="s">
        <v>890</v>
      </c>
      <c r="E4647" s="44"/>
      <c r="F4647" s="44"/>
      <c r="G4647" s="44"/>
      <c r="H4647" s="44"/>
      <c r="I4647" s="10">
        <f>ROUNDDOWN(H4662,0)</f>
        <v>2246777</v>
      </c>
      <c r="J4647" s="15"/>
      <c r="K4647" s="39"/>
    </row>
    <row r="4648" spans="3:11" ht="27.6" x14ac:dyDescent="0.3">
      <c r="C4648" s="11" t="s">
        <v>9</v>
      </c>
      <c r="D4648" s="11" t="s">
        <v>10</v>
      </c>
      <c r="E4648" s="11" t="s">
        <v>11</v>
      </c>
      <c r="F4648" s="11" t="s">
        <v>12</v>
      </c>
      <c r="G4648" s="11" t="s">
        <v>13</v>
      </c>
      <c r="H4648" s="11" t="s">
        <v>14</v>
      </c>
    </row>
    <row r="4649" spans="3:11" x14ac:dyDescent="0.25">
      <c r="C4649" s="12" t="s">
        <v>15</v>
      </c>
      <c r="D4649" s="13" t="s">
        <v>16</v>
      </c>
      <c r="E4649" s="14"/>
      <c r="F4649" s="14"/>
      <c r="G4649" s="14"/>
      <c r="H4649" s="14"/>
    </row>
    <row r="4650" spans="3:11" x14ac:dyDescent="0.3">
      <c r="C4650" s="16">
        <v>1</v>
      </c>
      <c r="D4650" s="13" t="s">
        <v>18</v>
      </c>
      <c r="E4650" s="17" t="s">
        <v>19</v>
      </c>
      <c r="F4650" s="18">
        <v>0.89500000000000002</v>
      </c>
      <c r="G4650" s="19">
        <f>VLOOKUP(D4650,upahbahan,3,FALSE)</f>
        <v>100000</v>
      </c>
      <c r="H4650" s="19">
        <f t="shared" ref="H4650:H4653" si="503">F4650*G4650</f>
        <v>89500</v>
      </c>
    </row>
    <row r="4651" spans="3:11" x14ac:dyDescent="0.3">
      <c r="C4651" s="16">
        <v>2</v>
      </c>
      <c r="D4651" s="13" t="s">
        <v>214</v>
      </c>
      <c r="E4651" s="17" t="s">
        <v>19</v>
      </c>
      <c r="F4651" s="18">
        <v>1.4950000000000001</v>
      </c>
      <c r="G4651" s="19">
        <f>VLOOKUP(D4651,upahbahan,3,FALSE)</f>
        <v>145000</v>
      </c>
      <c r="H4651" s="19">
        <f t="shared" si="503"/>
        <v>216775.00000000003</v>
      </c>
    </row>
    <row r="4652" spans="3:11" x14ac:dyDescent="0.3">
      <c r="C4652" s="16">
        <v>3</v>
      </c>
      <c r="D4652" s="13" t="s">
        <v>22</v>
      </c>
      <c r="E4652" s="17" t="s">
        <v>19</v>
      </c>
      <c r="F4652" s="18">
        <v>0.15</v>
      </c>
      <c r="G4652" s="19">
        <f>VLOOKUP(D4652,upahbahan,3,FALSE)</f>
        <v>175000</v>
      </c>
      <c r="H4652" s="19">
        <f t="shared" si="503"/>
        <v>26250</v>
      </c>
    </row>
    <row r="4653" spans="3:11" x14ac:dyDescent="0.3">
      <c r="C4653" s="16">
        <v>4</v>
      </c>
      <c r="D4653" s="13" t="s">
        <v>23</v>
      </c>
      <c r="E4653" s="17" t="s">
        <v>19</v>
      </c>
      <c r="F4653" s="18">
        <v>0.05</v>
      </c>
      <c r="G4653" s="19">
        <f>VLOOKUP(D4653,upahbahan,3,FALSE)</f>
        <v>200000</v>
      </c>
      <c r="H4653" s="19">
        <f t="shared" si="503"/>
        <v>10000</v>
      </c>
    </row>
    <row r="4654" spans="3:11" x14ac:dyDescent="0.3">
      <c r="C4654" s="21" t="s">
        <v>24</v>
      </c>
      <c r="D4654" s="22"/>
      <c r="E4654" s="22"/>
      <c r="F4654" s="54"/>
      <c r="G4654" s="24"/>
      <c r="H4654" s="19">
        <f>SUM(H4650:H4653)</f>
        <v>342525</v>
      </c>
      <c r="I4654" s="25"/>
    </row>
    <row r="4655" spans="3:11" x14ac:dyDescent="0.25">
      <c r="C4655" s="12" t="s">
        <v>25</v>
      </c>
      <c r="D4655" s="13" t="s">
        <v>26</v>
      </c>
      <c r="E4655" s="14"/>
      <c r="F4655" s="55"/>
      <c r="G4655" s="14"/>
      <c r="H4655" s="14"/>
    </row>
    <row r="4656" spans="3:11" s="91" customFormat="1" x14ac:dyDescent="0.3">
      <c r="C4656" s="85" t="s">
        <v>202</v>
      </c>
      <c r="D4656" s="86" t="s">
        <v>891</v>
      </c>
      <c r="E4656" s="87" t="s">
        <v>846</v>
      </c>
      <c r="F4656" s="88">
        <v>1</v>
      </c>
      <c r="G4656" s="89">
        <f>VLOOKUP(D4656,upahbahan,3,FALSE)</f>
        <v>1700000</v>
      </c>
      <c r="H4656" s="89">
        <f t="shared" ref="H4656" si="504">F4656*G4656</f>
        <v>1700000</v>
      </c>
      <c r="I4656" s="90"/>
      <c r="J4656" s="4"/>
      <c r="K4656" s="4"/>
    </row>
    <row r="4657" spans="3:11" x14ac:dyDescent="0.3">
      <c r="C4657" s="21" t="s">
        <v>29</v>
      </c>
      <c r="D4657" s="22"/>
      <c r="E4657" s="22"/>
      <c r="F4657" s="22"/>
      <c r="G4657" s="28"/>
      <c r="H4657" s="19">
        <f>SUM(H4656:H4656)</f>
        <v>1700000</v>
      </c>
    </row>
    <row r="4658" spans="3:11" x14ac:dyDescent="0.25">
      <c r="C4658" s="12" t="s">
        <v>30</v>
      </c>
      <c r="D4658" s="13" t="s">
        <v>31</v>
      </c>
      <c r="E4658" s="14"/>
      <c r="F4658" s="14"/>
      <c r="G4658" s="14"/>
      <c r="H4658" s="14"/>
    </row>
    <row r="4659" spans="3:11" x14ac:dyDescent="0.3">
      <c r="C4659" s="21" t="s">
        <v>32</v>
      </c>
      <c r="D4659" s="22"/>
      <c r="E4659" s="22"/>
      <c r="F4659" s="22"/>
      <c r="G4659" s="28"/>
      <c r="H4659" s="29">
        <v>0</v>
      </c>
    </row>
    <row r="4660" spans="3:11" x14ac:dyDescent="0.3">
      <c r="C4660" s="30" t="s">
        <v>33</v>
      </c>
      <c r="D4660" s="31" t="s">
        <v>34</v>
      </c>
      <c r="E4660" s="32"/>
      <c r="F4660" s="32"/>
      <c r="G4660" s="33"/>
      <c r="H4660" s="46">
        <f>H4659+H4657+H4654</f>
        <v>2042525</v>
      </c>
      <c r="I4660" s="47"/>
    </row>
    <row r="4661" spans="3:11" x14ac:dyDescent="0.3">
      <c r="C4661" s="30" t="s">
        <v>35</v>
      </c>
      <c r="D4661" s="31" t="s">
        <v>36</v>
      </c>
      <c r="E4661" s="32"/>
      <c r="F4661" s="33"/>
      <c r="G4661" s="34">
        <f>$M$9</f>
        <v>0.1</v>
      </c>
      <c r="H4661" s="19">
        <f>H4660*G4661</f>
        <v>204252.5</v>
      </c>
      <c r="I4661" s="47"/>
    </row>
    <row r="4662" spans="3:11" x14ac:dyDescent="0.3">
      <c r="C4662" s="30" t="s">
        <v>37</v>
      </c>
      <c r="D4662" s="31" t="s">
        <v>38</v>
      </c>
      <c r="E4662" s="32"/>
      <c r="F4662" s="32"/>
      <c r="G4662" s="33"/>
      <c r="H4662" s="48">
        <f>SUM(H4660:H4661)</f>
        <v>2246777.5</v>
      </c>
      <c r="I4662" s="47"/>
    </row>
    <row r="4663" spans="3:11" x14ac:dyDescent="0.3">
      <c r="C4663" s="92" t="s">
        <v>874</v>
      </c>
      <c r="D4663" s="3" t="s">
        <v>892</v>
      </c>
    </row>
    <row r="4665" spans="3:11" x14ac:dyDescent="0.3">
      <c r="C4665" s="40" t="s">
        <v>893</v>
      </c>
      <c r="D4665" s="68" t="s">
        <v>894</v>
      </c>
      <c r="E4665" s="44"/>
      <c r="F4665" s="44"/>
      <c r="G4665" s="44"/>
      <c r="H4665" s="44"/>
      <c r="I4665" s="10">
        <f>ROUNDDOWN(H4680,0)</f>
        <v>3208276</v>
      </c>
      <c r="J4665" s="15"/>
      <c r="K4665" s="39"/>
    </row>
    <row r="4666" spans="3:11" ht="27.6" x14ac:dyDescent="0.3">
      <c r="C4666" s="11" t="s">
        <v>9</v>
      </c>
      <c r="D4666" s="11" t="s">
        <v>10</v>
      </c>
      <c r="E4666" s="11" t="s">
        <v>11</v>
      </c>
      <c r="F4666" s="11" t="s">
        <v>12</v>
      </c>
      <c r="G4666" s="11" t="s">
        <v>13</v>
      </c>
      <c r="H4666" s="11" t="s">
        <v>14</v>
      </c>
    </row>
    <row r="4667" spans="3:11" x14ac:dyDescent="0.25">
      <c r="C4667" s="12" t="s">
        <v>15</v>
      </c>
      <c r="D4667" s="13" t="s">
        <v>16</v>
      </c>
      <c r="E4667" s="14"/>
      <c r="F4667" s="14"/>
      <c r="G4667" s="14"/>
      <c r="H4667" s="14"/>
    </row>
    <row r="4668" spans="3:11" x14ac:dyDescent="0.3">
      <c r="C4668" s="16">
        <v>1</v>
      </c>
      <c r="D4668" s="13" t="s">
        <v>18</v>
      </c>
      <c r="E4668" s="17" t="s">
        <v>19</v>
      </c>
      <c r="F4668" s="18">
        <v>1.6120000000000001</v>
      </c>
      <c r="G4668" s="19">
        <f>VLOOKUP(D4668,upahbahan,3,FALSE)</f>
        <v>100000</v>
      </c>
      <c r="H4668" s="19">
        <f t="shared" ref="H4668:H4671" si="505">F4668*G4668</f>
        <v>161200</v>
      </c>
    </row>
    <row r="4669" spans="3:11" x14ac:dyDescent="0.3">
      <c r="C4669" s="16">
        <v>2</v>
      </c>
      <c r="D4669" s="13" t="s">
        <v>214</v>
      </c>
      <c r="E4669" s="17" t="s">
        <v>19</v>
      </c>
      <c r="F4669" s="18">
        <v>2.6920000000000002</v>
      </c>
      <c r="G4669" s="19">
        <f>VLOOKUP(D4669,upahbahan,3,FALSE)</f>
        <v>145000</v>
      </c>
      <c r="H4669" s="19">
        <f t="shared" si="505"/>
        <v>390340</v>
      </c>
    </row>
    <row r="4670" spans="3:11" x14ac:dyDescent="0.3">
      <c r="C4670" s="16">
        <v>3</v>
      </c>
      <c r="D4670" s="13" t="s">
        <v>22</v>
      </c>
      <c r="E4670" s="17" t="s">
        <v>19</v>
      </c>
      <c r="F4670" s="18">
        <v>0.26900000000000002</v>
      </c>
      <c r="G4670" s="19">
        <f>VLOOKUP(D4670,upahbahan,3,FALSE)</f>
        <v>175000</v>
      </c>
      <c r="H4670" s="19">
        <f t="shared" si="505"/>
        <v>47075</v>
      </c>
    </row>
    <row r="4671" spans="3:11" x14ac:dyDescent="0.3">
      <c r="C4671" s="16">
        <v>4</v>
      </c>
      <c r="D4671" s="13" t="s">
        <v>23</v>
      </c>
      <c r="E4671" s="17" t="s">
        <v>19</v>
      </c>
      <c r="F4671" s="18">
        <v>0.09</v>
      </c>
      <c r="G4671" s="19">
        <f>VLOOKUP(D4671,upahbahan,3,FALSE)</f>
        <v>200000</v>
      </c>
      <c r="H4671" s="19">
        <f t="shared" si="505"/>
        <v>18000</v>
      </c>
    </row>
    <row r="4672" spans="3:11" x14ac:dyDescent="0.3">
      <c r="C4672" s="21" t="s">
        <v>24</v>
      </c>
      <c r="D4672" s="22"/>
      <c r="E4672" s="22"/>
      <c r="F4672" s="54"/>
      <c r="G4672" s="24"/>
      <c r="H4672" s="19">
        <f>SUM(H4668:H4671)</f>
        <v>616615</v>
      </c>
      <c r="I4672" s="25"/>
    </row>
    <row r="4673" spans="3:11" x14ac:dyDescent="0.25">
      <c r="C4673" s="12" t="s">
        <v>25</v>
      </c>
      <c r="D4673" s="13" t="s">
        <v>26</v>
      </c>
      <c r="E4673" s="14"/>
      <c r="F4673" s="55"/>
      <c r="G4673" s="14"/>
      <c r="H4673" s="14"/>
    </row>
    <row r="4674" spans="3:11" s="91" customFormat="1" x14ac:dyDescent="0.3">
      <c r="C4674" s="85" t="s">
        <v>202</v>
      </c>
      <c r="D4674" s="86" t="s">
        <v>895</v>
      </c>
      <c r="E4674" s="87" t="s">
        <v>846</v>
      </c>
      <c r="F4674" s="88">
        <v>1</v>
      </c>
      <c r="G4674" s="89">
        <f>VLOOKUP(D4674,upahbahan,3,FALSE)</f>
        <v>2300000</v>
      </c>
      <c r="H4674" s="89">
        <f t="shared" ref="H4674" si="506">F4674*G4674</f>
        <v>2300000</v>
      </c>
      <c r="I4674" s="90"/>
      <c r="J4674" s="4"/>
      <c r="K4674" s="4"/>
    </row>
    <row r="4675" spans="3:11" x14ac:dyDescent="0.3">
      <c r="C4675" s="21" t="s">
        <v>29</v>
      </c>
      <c r="D4675" s="22"/>
      <c r="E4675" s="22"/>
      <c r="F4675" s="22"/>
      <c r="G4675" s="28"/>
      <c r="H4675" s="19">
        <f>SUM(H4674:H4674)</f>
        <v>2300000</v>
      </c>
    </row>
    <row r="4676" spans="3:11" x14ac:dyDescent="0.25">
      <c r="C4676" s="12" t="s">
        <v>30</v>
      </c>
      <c r="D4676" s="13" t="s">
        <v>31</v>
      </c>
      <c r="E4676" s="14"/>
      <c r="F4676" s="14"/>
      <c r="G4676" s="14"/>
      <c r="H4676" s="14"/>
    </row>
    <row r="4677" spans="3:11" x14ac:dyDescent="0.3">
      <c r="C4677" s="21" t="s">
        <v>32</v>
      </c>
      <c r="D4677" s="22"/>
      <c r="E4677" s="22"/>
      <c r="F4677" s="22"/>
      <c r="G4677" s="28"/>
      <c r="H4677" s="29">
        <v>0</v>
      </c>
    </row>
    <row r="4678" spans="3:11" x14ac:dyDescent="0.3">
      <c r="C4678" s="30" t="s">
        <v>33</v>
      </c>
      <c r="D4678" s="31" t="s">
        <v>34</v>
      </c>
      <c r="E4678" s="32"/>
      <c r="F4678" s="32"/>
      <c r="G4678" s="33"/>
      <c r="H4678" s="46">
        <f>H4677+H4675+H4672</f>
        <v>2916615</v>
      </c>
      <c r="I4678" s="47"/>
    </row>
    <row r="4679" spans="3:11" x14ac:dyDescent="0.3">
      <c r="C4679" s="30" t="s">
        <v>35</v>
      </c>
      <c r="D4679" s="31" t="s">
        <v>36</v>
      </c>
      <c r="E4679" s="32"/>
      <c r="F4679" s="33"/>
      <c r="G4679" s="34">
        <f>$M$9</f>
        <v>0.1</v>
      </c>
      <c r="H4679" s="19">
        <f>H4678*G4679</f>
        <v>291661.5</v>
      </c>
      <c r="I4679" s="47"/>
    </row>
    <row r="4680" spans="3:11" x14ac:dyDescent="0.3">
      <c r="C4680" s="30" t="s">
        <v>37</v>
      </c>
      <c r="D4680" s="31" t="s">
        <v>38</v>
      </c>
      <c r="E4680" s="32"/>
      <c r="F4680" s="32"/>
      <c r="G4680" s="33"/>
      <c r="H4680" s="48">
        <f>SUM(H4678:H4679)</f>
        <v>3208276.5</v>
      </c>
      <c r="I4680" s="47"/>
    </row>
    <row r="4681" spans="3:11" x14ac:dyDescent="0.3">
      <c r="C4681" s="92" t="s">
        <v>874</v>
      </c>
      <c r="D4681" s="3" t="s">
        <v>892</v>
      </c>
    </row>
    <row r="4683" spans="3:11" x14ac:dyDescent="0.3">
      <c r="C4683" s="40" t="s">
        <v>896</v>
      </c>
      <c r="D4683" s="68" t="s">
        <v>897</v>
      </c>
      <c r="E4683" s="44"/>
      <c r="F4683" s="44"/>
      <c r="G4683" s="44"/>
      <c r="H4683" s="44"/>
      <c r="I4683" s="10">
        <f>ROUNDDOWN(H4698,0)</f>
        <v>3163699</v>
      </c>
      <c r="J4683" s="15"/>
      <c r="K4683" s="39"/>
    </row>
    <row r="4684" spans="3:11" ht="27.6" x14ac:dyDescent="0.3">
      <c r="C4684" s="11" t="s">
        <v>9</v>
      </c>
      <c r="D4684" s="11" t="s">
        <v>10</v>
      </c>
      <c r="E4684" s="11" t="s">
        <v>11</v>
      </c>
      <c r="F4684" s="11" t="s">
        <v>12</v>
      </c>
      <c r="G4684" s="11" t="s">
        <v>13</v>
      </c>
      <c r="H4684" s="11" t="s">
        <v>14</v>
      </c>
    </row>
    <row r="4685" spans="3:11" x14ac:dyDescent="0.25">
      <c r="C4685" s="12" t="s">
        <v>15</v>
      </c>
      <c r="D4685" s="13" t="s">
        <v>16</v>
      </c>
      <c r="E4685" s="14"/>
      <c r="F4685" s="14"/>
      <c r="G4685" s="14"/>
      <c r="H4685" s="14"/>
    </row>
    <row r="4686" spans="3:11" x14ac:dyDescent="0.3">
      <c r="C4686" s="16">
        <v>1</v>
      </c>
      <c r="D4686" s="13" t="s">
        <v>18</v>
      </c>
      <c r="E4686" s="17" t="s">
        <v>19</v>
      </c>
      <c r="F4686" s="18">
        <v>0.98299999999999998</v>
      </c>
      <c r="G4686" s="19">
        <f>VLOOKUP(D4686,upahbahan,3,FALSE)</f>
        <v>100000</v>
      </c>
      <c r="H4686" s="19">
        <f t="shared" ref="H4686:H4689" si="507">F4686*G4686</f>
        <v>98300</v>
      </c>
    </row>
    <row r="4687" spans="3:11" x14ac:dyDescent="0.3">
      <c r="C4687" s="16">
        <v>2</v>
      </c>
      <c r="D4687" s="13" t="s">
        <v>214</v>
      </c>
      <c r="E4687" s="17" t="s">
        <v>19</v>
      </c>
      <c r="F4687" s="18">
        <v>1.6419999999999999</v>
      </c>
      <c r="G4687" s="19">
        <f>VLOOKUP(D4687,upahbahan,3,FALSE)</f>
        <v>145000</v>
      </c>
      <c r="H4687" s="19">
        <f t="shared" si="507"/>
        <v>238090</v>
      </c>
    </row>
    <row r="4688" spans="3:11" x14ac:dyDescent="0.3">
      <c r="C4688" s="16">
        <v>3</v>
      </c>
      <c r="D4688" s="13" t="s">
        <v>22</v>
      </c>
      <c r="E4688" s="17" t="s">
        <v>19</v>
      </c>
      <c r="F4688" s="18">
        <v>0.16400000000000001</v>
      </c>
      <c r="G4688" s="19">
        <f>VLOOKUP(D4688,upahbahan,3,FALSE)</f>
        <v>175000</v>
      </c>
      <c r="H4688" s="19">
        <f t="shared" si="507"/>
        <v>28700</v>
      </c>
    </row>
    <row r="4689" spans="3:11" x14ac:dyDescent="0.3">
      <c r="C4689" s="16">
        <v>4</v>
      </c>
      <c r="D4689" s="13" t="s">
        <v>23</v>
      </c>
      <c r="E4689" s="17" t="s">
        <v>19</v>
      </c>
      <c r="F4689" s="18">
        <v>5.5E-2</v>
      </c>
      <c r="G4689" s="19">
        <f>VLOOKUP(D4689,upahbahan,3,FALSE)</f>
        <v>200000</v>
      </c>
      <c r="H4689" s="19">
        <f t="shared" si="507"/>
        <v>11000</v>
      </c>
    </row>
    <row r="4690" spans="3:11" x14ac:dyDescent="0.3">
      <c r="C4690" s="21" t="s">
        <v>24</v>
      </c>
      <c r="D4690" s="22"/>
      <c r="E4690" s="22"/>
      <c r="F4690" s="54"/>
      <c r="G4690" s="24"/>
      <c r="H4690" s="19">
        <f>SUM(H4686:H4689)</f>
        <v>376090</v>
      </c>
      <c r="I4690" s="25"/>
    </row>
    <row r="4691" spans="3:11" x14ac:dyDescent="0.25">
      <c r="C4691" s="12" t="s">
        <v>25</v>
      </c>
      <c r="D4691" s="13" t="s">
        <v>26</v>
      </c>
      <c r="E4691" s="14"/>
      <c r="F4691" s="55"/>
      <c r="G4691" s="14"/>
      <c r="H4691" s="14"/>
    </row>
    <row r="4692" spans="3:11" s="91" customFormat="1" x14ac:dyDescent="0.3">
      <c r="C4692" s="85" t="s">
        <v>202</v>
      </c>
      <c r="D4692" s="86" t="s">
        <v>898</v>
      </c>
      <c r="E4692" s="87" t="s">
        <v>846</v>
      </c>
      <c r="F4692" s="88">
        <v>1</v>
      </c>
      <c r="G4692" s="89">
        <f>VLOOKUP(D4692,upahbahan,3,FALSE)</f>
        <v>2500000</v>
      </c>
      <c r="H4692" s="89">
        <f t="shared" ref="H4692" si="508">F4692*G4692</f>
        <v>2500000</v>
      </c>
      <c r="I4692" s="90"/>
      <c r="J4692" s="4"/>
      <c r="K4692" s="4"/>
    </row>
    <row r="4693" spans="3:11" x14ac:dyDescent="0.3">
      <c r="C4693" s="21" t="s">
        <v>29</v>
      </c>
      <c r="D4693" s="22"/>
      <c r="E4693" s="22"/>
      <c r="F4693" s="22"/>
      <c r="G4693" s="28"/>
      <c r="H4693" s="19">
        <f>SUM(H4692:H4692)</f>
        <v>2500000</v>
      </c>
    </row>
    <row r="4694" spans="3:11" x14ac:dyDescent="0.25">
      <c r="C4694" s="12" t="s">
        <v>30</v>
      </c>
      <c r="D4694" s="13" t="s">
        <v>31</v>
      </c>
      <c r="E4694" s="14"/>
      <c r="F4694" s="14"/>
      <c r="G4694" s="14"/>
      <c r="H4694" s="14"/>
    </row>
    <row r="4695" spans="3:11" x14ac:dyDescent="0.3">
      <c r="C4695" s="21" t="s">
        <v>32</v>
      </c>
      <c r="D4695" s="22"/>
      <c r="E4695" s="22"/>
      <c r="F4695" s="22"/>
      <c r="G4695" s="28"/>
      <c r="H4695" s="29">
        <v>0</v>
      </c>
    </row>
    <row r="4696" spans="3:11" x14ac:dyDescent="0.3">
      <c r="C4696" s="30" t="s">
        <v>33</v>
      </c>
      <c r="D4696" s="31" t="s">
        <v>34</v>
      </c>
      <c r="E4696" s="32"/>
      <c r="F4696" s="32"/>
      <c r="G4696" s="33"/>
      <c r="H4696" s="46">
        <f>H4695+H4693+H4690</f>
        <v>2876090</v>
      </c>
      <c r="I4696" s="47"/>
    </row>
    <row r="4697" spans="3:11" x14ac:dyDescent="0.3">
      <c r="C4697" s="30" t="s">
        <v>35</v>
      </c>
      <c r="D4697" s="31" t="s">
        <v>36</v>
      </c>
      <c r="E4697" s="32"/>
      <c r="F4697" s="33"/>
      <c r="G4697" s="34">
        <f>$M$9</f>
        <v>0.1</v>
      </c>
      <c r="H4697" s="19">
        <f>H4696*G4697</f>
        <v>287609</v>
      </c>
      <c r="I4697" s="47"/>
    </row>
    <row r="4698" spans="3:11" x14ac:dyDescent="0.3">
      <c r="C4698" s="30" t="s">
        <v>37</v>
      </c>
      <c r="D4698" s="31" t="s">
        <v>38</v>
      </c>
      <c r="E4698" s="32"/>
      <c r="F4698" s="32"/>
      <c r="G4698" s="33"/>
      <c r="H4698" s="48">
        <f>SUM(H4696:H4697)</f>
        <v>3163699</v>
      </c>
      <c r="I4698" s="47"/>
    </row>
    <row r="4699" spans="3:11" x14ac:dyDescent="0.3">
      <c r="C4699" s="92" t="s">
        <v>874</v>
      </c>
      <c r="D4699" s="3" t="s">
        <v>892</v>
      </c>
    </row>
    <row r="4701" spans="3:11" x14ac:dyDescent="0.3">
      <c r="C4701" s="40" t="s">
        <v>899</v>
      </c>
      <c r="D4701" s="68" t="s">
        <v>900</v>
      </c>
      <c r="E4701" s="44"/>
      <c r="F4701" s="44"/>
      <c r="G4701" s="44"/>
      <c r="H4701" s="44"/>
      <c r="I4701" s="10">
        <f>ROUNDDOWN(H4716,0)</f>
        <v>2608177</v>
      </c>
      <c r="J4701" s="15"/>
      <c r="K4701" s="39"/>
    </row>
    <row r="4702" spans="3:11" ht="27.6" x14ac:dyDescent="0.3">
      <c r="C4702" s="11" t="s">
        <v>9</v>
      </c>
      <c r="D4702" s="11" t="s">
        <v>10</v>
      </c>
      <c r="E4702" s="11" t="s">
        <v>11</v>
      </c>
      <c r="F4702" s="11" t="s">
        <v>12</v>
      </c>
      <c r="G4702" s="11" t="s">
        <v>13</v>
      </c>
      <c r="H4702" s="11" t="s">
        <v>14</v>
      </c>
    </row>
    <row r="4703" spans="3:11" x14ac:dyDescent="0.25">
      <c r="C4703" s="12" t="s">
        <v>15</v>
      </c>
      <c r="D4703" s="13" t="s">
        <v>16</v>
      </c>
      <c r="E4703" s="14"/>
      <c r="F4703" s="14"/>
      <c r="G4703" s="14"/>
      <c r="H4703" s="14"/>
    </row>
    <row r="4704" spans="3:11" x14ac:dyDescent="0.3">
      <c r="C4704" s="16">
        <v>1</v>
      </c>
      <c r="D4704" s="13" t="s">
        <v>18</v>
      </c>
      <c r="E4704" s="17" t="s">
        <v>19</v>
      </c>
      <c r="F4704" s="18">
        <v>1.2310000000000001</v>
      </c>
      <c r="G4704" s="19">
        <f>VLOOKUP(D4704,upahbahan,3,FALSE)</f>
        <v>100000</v>
      </c>
      <c r="H4704" s="19">
        <f t="shared" ref="H4704:H4707" si="509">F4704*G4704</f>
        <v>123100.00000000001</v>
      </c>
    </row>
    <row r="4705" spans="3:11" x14ac:dyDescent="0.3">
      <c r="C4705" s="16">
        <v>2</v>
      </c>
      <c r="D4705" s="13" t="s">
        <v>214</v>
      </c>
      <c r="E4705" s="17" t="s">
        <v>19</v>
      </c>
      <c r="F4705" s="18">
        <v>2.056</v>
      </c>
      <c r="G4705" s="19">
        <f>VLOOKUP(D4705,upahbahan,3,FALSE)</f>
        <v>145000</v>
      </c>
      <c r="H4705" s="19">
        <f t="shared" si="509"/>
        <v>298120</v>
      </c>
    </row>
    <row r="4706" spans="3:11" x14ac:dyDescent="0.3">
      <c r="C4706" s="16">
        <v>3</v>
      </c>
      <c r="D4706" s="13" t="s">
        <v>22</v>
      </c>
      <c r="E4706" s="17" t="s">
        <v>19</v>
      </c>
      <c r="F4706" s="18">
        <v>0.20599999999999999</v>
      </c>
      <c r="G4706" s="19">
        <f>VLOOKUP(D4706,upahbahan,3,FALSE)</f>
        <v>175000</v>
      </c>
      <c r="H4706" s="19">
        <f t="shared" si="509"/>
        <v>36050</v>
      </c>
    </row>
    <row r="4707" spans="3:11" x14ac:dyDescent="0.3">
      <c r="C4707" s="16">
        <v>4</v>
      </c>
      <c r="D4707" s="13" t="s">
        <v>23</v>
      </c>
      <c r="E4707" s="17" t="s">
        <v>19</v>
      </c>
      <c r="F4707" s="18">
        <v>6.9000000000000006E-2</v>
      </c>
      <c r="G4707" s="19">
        <f>VLOOKUP(D4707,upahbahan,3,FALSE)</f>
        <v>200000</v>
      </c>
      <c r="H4707" s="19">
        <f t="shared" si="509"/>
        <v>13800.000000000002</v>
      </c>
    </row>
    <row r="4708" spans="3:11" x14ac:dyDescent="0.3">
      <c r="C4708" s="21" t="s">
        <v>24</v>
      </c>
      <c r="D4708" s="22"/>
      <c r="E4708" s="22"/>
      <c r="F4708" s="54"/>
      <c r="G4708" s="24"/>
      <c r="H4708" s="19">
        <f>SUM(H4704:H4707)</f>
        <v>471070</v>
      </c>
      <c r="I4708" s="25"/>
    </row>
    <row r="4709" spans="3:11" x14ac:dyDescent="0.25">
      <c r="C4709" s="12" t="s">
        <v>25</v>
      </c>
      <c r="D4709" s="13" t="s">
        <v>26</v>
      </c>
      <c r="E4709" s="14"/>
      <c r="F4709" s="55"/>
      <c r="G4709" s="14"/>
      <c r="H4709" s="14"/>
    </row>
    <row r="4710" spans="3:11" s="91" customFormat="1" x14ac:dyDescent="0.3">
      <c r="C4710" s="85" t="s">
        <v>202</v>
      </c>
      <c r="D4710" s="86" t="s">
        <v>901</v>
      </c>
      <c r="E4710" s="87" t="s">
        <v>846</v>
      </c>
      <c r="F4710" s="88">
        <v>1</v>
      </c>
      <c r="G4710" s="89">
        <f>VLOOKUP(D4710,upahbahan,3,FALSE)</f>
        <v>1900000</v>
      </c>
      <c r="H4710" s="89">
        <f t="shared" ref="H4710" si="510">F4710*G4710</f>
        <v>1900000</v>
      </c>
      <c r="I4710" s="90"/>
      <c r="J4710" s="4"/>
      <c r="K4710" s="4"/>
    </row>
    <row r="4711" spans="3:11" x14ac:dyDescent="0.3">
      <c r="C4711" s="21" t="s">
        <v>29</v>
      </c>
      <c r="D4711" s="22"/>
      <c r="E4711" s="22"/>
      <c r="F4711" s="22"/>
      <c r="G4711" s="28"/>
      <c r="H4711" s="19">
        <f>SUM(H4710:H4710)</f>
        <v>1900000</v>
      </c>
    </row>
    <row r="4712" spans="3:11" x14ac:dyDescent="0.25">
      <c r="C4712" s="12" t="s">
        <v>30</v>
      </c>
      <c r="D4712" s="13" t="s">
        <v>31</v>
      </c>
      <c r="E4712" s="14"/>
      <c r="F4712" s="14"/>
      <c r="G4712" s="14"/>
      <c r="H4712" s="14"/>
    </row>
    <row r="4713" spans="3:11" x14ac:dyDescent="0.3">
      <c r="C4713" s="21" t="s">
        <v>32</v>
      </c>
      <c r="D4713" s="22"/>
      <c r="E4713" s="22"/>
      <c r="F4713" s="22"/>
      <c r="G4713" s="28"/>
      <c r="H4713" s="29">
        <v>0</v>
      </c>
    </row>
    <row r="4714" spans="3:11" x14ac:dyDescent="0.3">
      <c r="C4714" s="30" t="s">
        <v>33</v>
      </c>
      <c r="D4714" s="31" t="s">
        <v>34</v>
      </c>
      <c r="E4714" s="32"/>
      <c r="F4714" s="32"/>
      <c r="G4714" s="33"/>
      <c r="H4714" s="46">
        <f>H4713+H4711+H4708</f>
        <v>2371070</v>
      </c>
      <c r="I4714" s="47"/>
    </row>
    <row r="4715" spans="3:11" x14ac:dyDescent="0.3">
      <c r="C4715" s="30" t="s">
        <v>35</v>
      </c>
      <c r="D4715" s="31" t="s">
        <v>36</v>
      </c>
      <c r="E4715" s="32"/>
      <c r="F4715" s="33"/>
      <c r="G4715" s="34">
        <f>$M$9</f>
        <v>0.1</v>
      </c>
      <c r="H4715" s="19">
        <f>H4714*G4715</f>
        <v>237107</v>
      </c>
      <c r="I4715" s="47"/>
    </row>
    <row r="4716" spans="3:11" x14ac:dyDescent="0.3">
      <c r="C4716" s="30" t="s">
        <v>37</v>
      </c>
      <c r="D4716" s="31" t="s">
        <v>38</v>
      </c>
      <c r="E4716" s="32"/>
      <c r="F4716" s="32"/>
      <c r="G4716" s="33"/>
      <c r="H4716" s="48">
        <f>SUM(H4714:H4715)</f>
        <v>2608177</v>
      </c>
      <c r="I4716" s="47"/>
    </row>
    <row r="4717" spans="3:11" x14ac:dyDescent="0.3">
      <c r="C4717" s="92" t="s">
        <v>874</v>
      </c>
      <c r="D4717" s="3" t="s">
        <v>892</v>
      </c>
    </row>
    <row r="4719" spans="3:11" x14ac:dyDescent="0.3">
      <c r="C4719" s="40" t="s">
        <v>902</v>
      </c>
      <c r="D4719" s="68" t="s">
        <v>903</v>
      </c>
      <c r="E4719" s="44"/>
      <c r="F4719" s="44"/>
      <c r="G4719" s="44"/>
      <c r="H4719" s="44"/>
      <c r="I4719" s="10">
        <f>ROUNDDOWN(H4734,0)</f>
        <v>2641672</v>
      </c>
      <c r="J4719" s="15"/>
      <c r="K4719" s="39"/>
    </row>
    <row r="4720" spans="3:11" ht="27.6" x14ac:dyDescent="0.3">
      <c r="C4720" s="11" t="s">
        <v>9</v>
      </c>
      <c r="D4720" s="11" t="s">
        <v>10</v>
      </c>
      <c r="E4720" s="11" t="s">
        <v>11</v>
      </c>
      <c r="F4720" s="11" t="s">
        <v>12</v>
      </c>
      <c r="G4720" s="11" t="s">
        <v>13</v>
      </c>
      <c r="H4720" s="11" t="s">
        <v>14</v>
      </c>
    </row>
    <row r="4721" spans="3:11" x14ac:dyDescent="0.25">
      <c r="C4721" s="12" t="s">
        <v>15</v>
      </c>
      <c r="D4721" s="13" t="s">
        <v>16</v>
      </c>
      <c r="E4721" s="14"/>
      <c r="F4721" s="14"/>
      <c r="G4721" s="14"/>
      <c r="H4721" s="14"/>
    </row>
    <row r="4722" spans="3:11" x14ac:dyDescent="0.3">
      <c r="C4722" s="16">
        <v>1</v>
      </c>
      <c r="D4722" s="13" t="s">
        <v>18</v>
      </c>
      <c r="E4722" s="17" t="s">
        <v>19</v>
      </c>
      <c r="F4722" s="18">
        <v>0.78800000000000003</v>
      </c>
      <c r="G4722" s="19">
        <f>VLOOKUP(D4722,upahbahan,3,FALSE)</f>
        <v>100000</v>
      </c>
      <c r="H4722" s="19">
        <f t="shared" ref="H4722:H4725" si="511">F4722*G4722</f>
        <v>78800</v>
      </c>
    </row>
    <row r="4723" spans="3:11" x14ac:dyDescent="0.3">
      <c r="C4723" s="16">
        <v>2</v>
      </c>
      <c r="D4723" s="13" t="s">
        <v>214</v>
      </c>
      <c r="E4723" s="17" t="s">
        <v>19</v>
      </c>
      <c r="F4723" s="18">
        <v>1.3160000000000001</v>
      </c>
      <c r="G4723" s="19">
        <f>VLOOKUP(D4723,upahbahan,3,FALSE)</f>
        <v>145000</v>
      </c>
      <c r="H4723" s="19">
        <f t="shared" si="511"/>
        <v>190820</v>
      </c>
    </row>
    <row r="4724" spans="3:11" x14ac:dyDescent="0.3">
      <c r="C4724" s="16">
        <v>3</v>
      </c>
      <c r="D4724" s="13" t="s">
        <v>22</v>
      </c>
      <c r="E4724" s="17" t="s">
        <v>19</v>
      </c>
      <c r="F4724" s="18">
        <v>0.13200000000000001</v>
      </c>
      <c r="G4724" s="19">
        <f>VLOOKUP(D4724,upahbahan,3,FALSE)</f>
        <v>175000</v>
      </c>
      <c r="H4724" s="19">
        <f t="shared" si="511"/>
        <v>23100</v>
      </c>
    </row>
    <row r="4725" spans="3:11" x14ac:dyDescent="0.3">
      <c r="C4725" s="16">
        <v>4</v>
      </c>
      <c r="D4725" s="13" t="s">
        <v>23</v>
      </c>
      <c r="E4725" s="17" t="s">
        <v>19</v>
      </c>
      <c r="F4725" s="18">
        <v>4.3999999999999997E-2</v>
      </c>
      <c r="G4725" s="19">
        <f>VLOOKUP(D4725,upahbahan,3,FALSE)</f>
        <v>200000</v>
      </c>
      <c r="H4725" s="19">
        <f t="shared" si="511"/>
        <v>8800</v>
      </c>
    </row>
    <row r="4726" spans="3:11" x14ac:dyDescent="0.3">
      <c r="C4726" s="21" t="s">
        <v>24</v>
      </c>
      <c r="D4726" s="22"/>
      <c r="E4726" s="22"/>
      <c r="F4726" s="54"/>
      <c r="G4726" s="24"/>
      <c r="H4726" s="19">
        <f>SUM(H4722:H4725)</f>
        <v>301520</v>
      </c>
      <c r="I4726" s="25"/>
    </row>
    <row r="4727" spans="3:11" x14ac:dyDescent="0.25">
      <c r="C4727" s="12" t="s">
        <v>25</v>
      </c>
      <c r="D4727" s="13" t="s">
        <v>26</v>
      </c>
      <c r="E4727" s="14"/>
      <c r="F4727" s="55"/>
      <c r="G4727" s="14"/>
      <c r="H4727" s="14"/>
    </row>
    <row r="4728" spans="3:11" s="91" customFormat="1" x14ac:dyDescent="0.3">
      <c r="C4728" s="85" t="s">
        <v>202</v>
      </c>
      <c r="D4728" s="86" t="s">
        <v>904</v>
      </c>
      <c r="E4728" s="87" t="s">
        <v>846</v>
      </c>
      <c r="F4728" s="88">
        <v>1</v>
      </c>
      <c r="G4728" s="89">
        <f>VLOOKUP(D4728,upahbahan,3,FALSE)</f>
        <v>2100000</v>
      </c>
      <c r="H4728" s="89">
        <f t="shared" ref="H4728" si="512">F4728*G4728</f>
        <v>2100000</v>
      </c>
      <c r="I4728" s="90"/>
      <c r="J4728" s="4"/>
      <c r="K4728" s="4"/>
    </row>
    <row r="4729" spans="3:11" x14ac:dyDescent="0.3">
      <c r="C4729" s="21" t="s">
        <v>29</v>
      </c>
      <c r="D4729" s="22"/>
      <c r="E4729" s="22"/>
      <c r="F4729" s="22"/>
      <c r="G4729" s="28"/>
      <c r="H4729" s="19">
        <f>SUM(H4728:H4728)</f>
        <v>2100000</v>
      </c>
    </row>
    <row r="4730" spans="3:11" x14ac:dyDescent="0.25">
      <c r="C4730" s="12" t="s">
        <v>30</v>
      </c>
      <c r="D4730" s="13" t="s">
        <v>31</v>
      </c>
      <c r="E4730" s="14"/>
      <c r="F4730" s="14"/>
      <c r="G4730" s="14"/>
      <c r="H4730" s="14"/>
    </row>
    <row r="4731" spans="3:11" x14ac:dyDescent="0.3">
      <c r="C4731" s="21" t="s">
        <v>32</v>
      </c>
      <c r="D4731" s="22"/>
      <c r="E4731" s="22"/>
      <c r="F4731" s="22"/>
      <c r="G4731" s="28"/>
      <c r="H4731" s="29">
        <v>0</v>
      </c>
    </row>
    <row r="4732" spans="3:11" x14ac:dyDescent="0.3">
      <c r="C4732" s="30" t="s">
        <v>33</v>
      </c>
      <c r="D4732" s="31" t="s">
        <v>34</v>
      </c>
      <c r="E4732" s="32"/>
      <c r="F4732" s="32"/>
      <c r="G4732" s="33"/>
      <c r="H4732" s="46">
        <f>H4731+H4729+H4726</f>
        <v>2401520</v>
      </c>
      <c r="I4732" s="47"/>
    </row>
    <row r="4733" spans="3:11" x14ac:dyDescent="0.3">
      <c r="C4733" s="30" t="s">
        <v>35</v>
      </c>
      <c r="D4733" s="31" t="s">
        <v>36</v>
      </c>
      <c r="E4733" s="32"/>
      <c r="F4733" s="33"/>
      <c r="G4733" s="34">
        <f>$M$9</f>
        <v>0.1</v>
      </c>
      <c r="H4733" s="19">
        <f>H4732*G4733</f>
        <v>240152</v>
      </c>
      <c r="I4733" s="47"/>
    </row>
    <row r="4734" spans="3:11" x14ac:dyDescent="0.3">
      <c r="C4734" s="30" t="s">
        <v>37</v>
      </c>
      <c r="D4734" s="31" t="s">
        <v>38</v>
      </c>
      <c r="E4734" s="32"/>
      <c r="F4734" s="32"/>
      <c r="G4734" s="33"/>
      <c r="H4734" s="48">
        <f>SUM(H4732:H4733)</f>
        <v>2641672</v>
      </c>
      <c r="I4734" s="47"/>
    </row>
    <row r="4735" spans="3:11" x14ac:dyDescent="0.3">
      <c r="C4735" s="92" t="s">
        <v>874</v>
      </c>
      <c r="D4735" s="3" t="s">
        <v>905</v>
      </c>
    </row>
    <row r="4737" spans="3:11" x14ac:dyDescent="0.3">
      <c r="C4737" s="40" t="s">
        <v>906</v>
      </c>
      <c r="D4737" s="68" t="s">
        <v>907</v>
      </c>
      <c r="E4737" s="44"/>
      <c r="F4737" s="44"/>
      <c r="G4737" s="44"/>
      <c r="H4737" s="44"/>
      <c r="I4737" s="10">
        <f>ROUNDDOWN(H4752,0)</f>
        <v>553905</v>
      </c>
      <c r="J4737" s="15"/>
      <c r="K4737" s="39"/>
    </row>
    <row r="4738" spans="3:11" ht="27.6" x14ac:dyDescent="0.3">
      <c r="C4738" s="11" t="s">
        <v>9</v>
      </c>
      <c r="D4738" s="11" t="s">
        <v>10</v>
      </c>
      <c r="E4738" s="11" t="s">
        <v>11</v>
      </c>
      <c r="F4738" s="11" t="s">
        <v>12</v>
      </c>
      <c r="G4738" s="11" t="s">
        <v>13</v>
      </c>
      <c r="H4738" s="11" t="s">
        <v>14</v>
      </c>
    </row>
    <row r="4739" spans="3:11" x14ac:dyDescent="0.25">
      <c r="C4739" s="12" t="s">
        <v>15</v>
      </c>
      <c r="D4739" s="13" t="s">
        <v>16</v>
      </c>
      <c r="E4739" s="14"/>
      <c r="F4739" s="14"/>
      <c r="G4739" s="14"/>
      <c r="H4739" s="14"/>
    </row>
    <row r="4740" spans="3:11" x14ac:dyDescent="0.3">
      <c r="C4740" s="16">
        <v>1</v>
      </c>
      <c r="D4740" s="13" t="s">
        <v>18</v>
      </c>
      <c r="E4740" s="17" t="s">
        <v>19</v>
      </c>
      <c r="F4740" s="18">
        <v>0.105</v>
      </c>
      <c r="G4740" s="19">
        <f>VLOOKUP(D4740,upahbahan,3,FALSE)</f>
        <v>100000</v>
      </c>
      <c r="H4740" s="19">
        <f t="shared" ref="H4740:H4743" si="513">F4740*G4740</f>
        <v>10500</v>
      </c>
    </row>
    <row r="4741" spans="3:11" x14ac:dyDescent="0.3">
      <c r="C4741" s="16">
        <v>2</v>
      </c>
      <c r="D4741" s="13" t="s">
        <v>214</v>
      </c>
      <c r="E4741" s="17" t="s">
        <v>19</v>
      </c>
      <c r="F4741" s="18">
        <v>0.17499999999999999</v>
      </c>
      <c r="G4741" s="19">
        <f>VLOOKUP(D4741,upahbahan,3,FALSE)</f>
        <v>145000</v>
      </c>
      <c r="H4741" s="19">
        <f t="shared" si="513"/>
        <v>25375</v>
      </c>
    </row>
    <row r="4742" spans="3:11" x14ac:dyDescent="0.3">
      <c r="C4742" s="16">
        <v>3</v>
      </c>
      <c r="D4742" s="13" t="s">
        <v>22</v>
      </c>
      <c r="E4742" s="17" t="s">
        <v>19</v>
      </c>
      <c r="F4742" s="18">
        <v>1.7000000000000001E-2</v>
      </c>
      <c r="G4742" s="19">
        <f>VLOOKUP(D4742,upahbahan,3,FALSE)</f>
        <v>175000</v>
      </c>
      <c r="H4742" s="19">
        <f t="shared" si="513"/>
        <v>2975</v>
      </c>
    </row>
    <row r="4743" spans="3:11" x14ac:dyDescent="0.3">
      <c r="C4743" s="16">
        <v>4</v>
      </c>
      <c r="D4743" s="13" t="s">
        <v>23</v>
      </c>
      <c r="E4743" s="17" t="s">
        <v>19</v>
      </c>
      <c r="F4743" s="18">
        <v>6.0000000000000001E-3</v>
      </c>
      <c r="G4743" s="19">
        <f>VLOOKUP(D4743,upahbahan,3,FALSE)</f>
        <v>200000</v>
      </c>
      <c r="H4743" s="19">
        <f t="shared" si="513"/>
        <v>1200</v>
      </c>
    </row>
    <row r="4744" spans="3:11" x14ac:dyDescent="0.3">
      <c r="C4744" s="21" t="s">
        <v>24</v>
      </c>
      <c r="D4744" s="22"/>
      <c r="E4744" s="22"/>
      <c r="F4744" s="54"/>
      <c r="G4744" s="24"/>
      <c r="H4744" s="19">
        <f>SUM(H4740:H4743)</f>
        <v>40050</v>
      </c>
      <c r="I4744" s="25"/>
    </row>
    <row r="4745" spans="3:11" x14ac:dyDescent="0.25">
      <c r="C4745" s="12" t="s">
        <v>25</v>
      </c>
      <c r="D4745" s="13" t="s">
        <v>26</v>
      </c>
      <c r="E4745" s="14"/>
      <c r="F4745" s="55"/>
      <c r="G4745" s="14"/>
      <c r="H4745" s="14"/>
    </row>
    <row r="4746" spans="3:11" s="91" customFormat="1" x14ac:dyDescent="0.3">
      <c r="C4746" s="85" t="s">
        <v>202</v>
      </c>
      <c r="D4746" s="86" t="s">
        <v>908</v>
      </c>
      <c r="E4746" s="87" t="s">
        <v>846</v>
      </c>
      <c r="F4746" s="88">
        <v>1.03</v>
      </c>
      <c r="G4746" s="89">
        <f>VLOOKUP(D4746,upahbahan,3,FALSE)</f>
        <v>450000</v>
      </c>
      <c r="H4746" s="89">
        <f t="shared" ref="H4746" si="514">F4746*G4746</f>
        <v>463500</v>
      </c>
      <c r="I4746" s="90"/>
      <c r="J4746" s="4"/>
      <c r="K4746" s="4"/>
    </row>
    <row r="4747" spans="3:11" x14ac:dyDescent="0.3">
      <c r="C4747" s="21" t="s">
        <v>29</v>
      </c>
      <c r="D4747" s="22"/>
      <c r="E4747" s="22"/>
      <c r="F4747" s="22"/>
      <c r="G4747" s="28"/>
      <c r="H4747" s="19">
        <f>SUM(H4746:H4746)</f>
        <v>463500</v>
      </c>
    </row>
    <row r="4748" spans="3:11" x14ac:dyDescent="0.25">
      <c r="C4748" s="12" t="s">
        <v>30</v>
      </c>
      <c r="D4748" s="13" t="s">
        <v>31</v>
      </c>
      <c r="E4748" s="14"/>
      <c r="F4748" s="14"/>
      <c r="G4748" s="14"/>
      <c r="H4748" s="14"/>
    </row>
    <row r="4749" spans="3:11" x14ac:dyDescent="0.3">
      <c r="C4749" s="21" t="s">
        <v>32</v>
      </c>
      <c r="D4749" s="22"/>
      <c r="E4749" s="22"/>
      <c r="F4749" s="22"/>
      <c r="G4749" s="28"/>
      <c r="H4749" s="29">
        <v>0</v>
      </c>
    </row>
    <row r="4750" spans="3:11" x14ac:dyDescent="0.3">
      <c r="C4750" s="30" t="s">
        <v>33</v>
      </c>
      <c r="D4750" s="31" t="s">
        <v>34</v>
      </c>
      <c r="E4750" s="32"/>
      <c r="F4750" s="32"/>
      <c r="G4750" s="33"/>
      <c r="H4750" s="46">
        <f>H4749+H4747+H4744</f>
        <v>503550</v>
      </c>
      <c r="I4750" s="47"/>
    </row>
    <row r="4751" spans="3:11" x14ac:dyDescent="0.3">
      <c r="C4751" s="30" t="s">
        <v>35</v>
      </c>
      <c r="D4751" s="31" t="s">
        <v>36</v>
      </c>
      <c r="E4751" s="32"/>
      <c r="F4751" s="33"/>
      <c r="G4751" s="34">
        <f>$M$9</f>
        <v>0.1</v>
      </c>
      <c r="H4751" s="19">
        <f>H4750*G4751</f>
        <v>50355</v>
      </c>
      <c r="I4751" s="47"/>
    </row>
    <row r="4752" spans="3:11" x14ac:dyDescent="0.3">
      <c r="C4752" s="30" t="s">
        <v>37</v>
      </c>
      <c r="D4752" s="31" t="s">
        <v>38</v>
      </c>
      <c r="E4752" s="32"/>
      <c r="F4752" s="32"/>
      <c r="G4752" s="33"/>
      <c r="H4752" s="48">
        <f>SUM(H4750:H4751)</f>
        <v>553905</v>
      </c>
      <c r="I4752" s="47"/>
    </row>
    <row r="4753" spans="3:11" x14ac:dyDescent="0.3">
      <c r="C4753" s="92" t="s">
        <v>874</v>
      </c>
      <c r="D4753" s="3" t="s">
        <v>905</v>
      </c>
    </row>
    <row r="4755" spans="3:11" x14ac:dyDescent="0.3">
      <c r="C4755" s="2" t="s">
        <v>909</v>
      </c>
      <c r="D4755" s="2" t="s">
        <v>910</v>
      </c>
    </row>
    <row r="4756" spans="3:11" x14ac:dyDescent="0.3">
      <c r="C4756" s="40" t="s">
        <v>911</v>
      </c>
      <c r="D4756" s="68" t="s">
        <v>912</v>
      </c>
      <c r="E4756" s="44"/>
      <c r="F4756" s="44"/>
      <c r="G4756" s="44"/>
      <c r="H4756" s="44"/>
      <c r="I4756" s="10">
        <f>ROUNDDOWN(H4772,0)</f>
        <v>86115672</v>
      </c>
      <c r="J4756" s="15"/>
      <c r="K4756" s="39"/>
    </row>
    <row r="4757" spans="3:11" ht="27.6" x14ac:dyDescent="0.3">
      <c r="C4757" s="11" t="s">
        <v>9</v>
      </c>
      <c r="D4757" s="11" t="s">
        <v>10</v>
      </c>
      <c r="E4757" s="11" t="s">
        <v>11</v>
      </c>
      <c r="F4757" s="11" t="s">
        <v>12</v>
      </c>
      <c r="G4757" s="11" t="s">
        <v>13</v>
      </c>
      <c r="H4757" s="11" t="s">
        <v>14</v>
      </c>
    </row>
    <row r="4758" spans="3:11" x14ac:dyDescent="0.25">
      <c r="C4758" s="12" t="s">
        <v>15</v>
      </c>
      <c r="D4758" s="13" t="s">
        <v>16</v>
      </c>
      <c r="E4758" s="14"/>
      <c r="F4758" s="14"/>
      <c r="G4758" s="14"/>
      <c r="H4758" s="14"/>
    </row>
    <row r="4759" spans="3:11" x14ac:dyDescent="0.3">
      <c r="C4759" s="16">
        <v>1</v>
      </c>
      <c r="D4759" s="13" t="s">
        <v>18</v>
      </c>
      <c r="E4759" s="17" t="s">
        <v>19</v>
      </c>
      <c r="F4759" s="18">
        <v>5.25</v>
      </c>
      <c r="G4759" s="19">
        <f>VLOOKUP(D4759,upahbahan,3,FALSE)</f>
        <v>100000</v>
      </c>
      <c r="H4759" s="19">
        <f t="shared" ref="H4759:H4762" si="515">F4759*G4759</f>
        <v>525000</v>
      </c>
    </row>
    <row r="4760" spans="3:11" x14ac:dyDescent="0.3">
      <c r="C4760" s="16">
        <v>2</v>
      </c>
      <c r="D4760" s="13" t="s">
        <v>214</v>
      </c>
      <c r="E4760" s="17" t="s">
        <v>19</v>
      </c>
      <c r="F4760" s="18">
        <v>1.75</v>
      </c>
      <c r="G4760" s="19">
        <f>VLOOKUP(D4760,upahbahan,3,FALSE)</f>
        <v>145000</v>
      </c>
      <c r="H4760" s="19">
        <f t="shared" si="515"/>
        <v>253750</v>
      </c>
    </row>
    <row r="4761" spans="3:11" x14ac:dyDescent="0.3">
      <c r="C4761" s="16">
        <v>3</v>
      </c>
      <c r="D4761" s="13" t="s">
        <v>22</v>
      </c>
      <c r="E4761" s="17" t="s">
        <v>19</v>
      </c>
      <c r="F4761" s="18">
        <v>0.17499999999999999</v>
      </c>
      <c r="G4761" s="19">
        <f>VLOOKUP(D4761,upahbahan,3,FALSE)</f>
        <v>175000</v>
      </c>
      <c r="H4761" s="19">
        <f t="shared" si="515"/>
        <v>30624.999999999996</v>
      </c>
    </row>
    <row r="4762" spans="3:11" x14ac:dyDescent="0.3">
      <c r="C4762" s="16">
        <v>4</v>
      </c>
      <c r="D4762" s="13" t="s">
        <v>23</v>
      </c>
      <c r="E4762" s="17" t="s">
        <v>19</v>
      </c>
      <c r="F4762" s="18">
        <v>5.8000000000000003E-2</v>
      </c>
      <c r="G4762" s="19">
        <f>VLOOKUP(D4762,upahbahan,3,FALSE)</f>
        <v>200000</v>
      </c>
      <c r="H4762" s="19">
        <f t="shared" si="515"/>
        <v>11600</v>
      </c>
    </row>
    <row r="4763" spans="3:11" x14ac:dyDescent="0.3">
      <c r="C4763" s="21" t="s">
        <v>24</v>
      </c>
      <c r="D4763" s="22"/>
      <c r="E4763" s="22"/>
      <c r="F4763" s="54"/>
      <c r="G4763" s="24"/>
      <c r="H4763" s="19">
        <f>SUM(H4759:H4762)</f>
        <v>820975</v>
      </c>
      <c r="I4763" s="25"/>
    </row>
    <row r="4764" spans="3:11" x14ac:dyDescent="0.25">
      <c r="C4764" s="12" t="s">
        <v>25</v>
      </c>
      <c r="D4764" s="13" t="s">
        <v>26</v>
      </c>
      <c r="E4764" s="14"/>
      <c r="F4764" s="55"/>
      <c r="G4764" s="14"/>
      <c r="H4764" s="14"/>
    </row>
    <row r="4765" spans="3:11" s="91" customFormat="1" x14ac:dyDescent="0.3">
      <c r="C4765" s="85" t="s">
        <v>202</v>
      </c>
      <c r="D4765" s="86" t="s">
        <v>913</v>
      </c>
      <c r="E4765" s="87" t="s">
        <v>846</v>
      </c>
      <c r="F4765" s="88">
        <v>1.03</v>
      </c>
      <c r="G4765" s="89">
        <f>VLOOKUP(D4765,upahbahan,3,FALSE)</f>
        <v>75000000</v>
      </c>
      <c r="H4765" s="89">
        <f t="shared" ref="H4765" si="516">F4765*G4765</f>
        <v>77250000</v>
      </c>
      <c r="I4765" s="90"/>
      <c r="J4765" s="4"/>
      <c r="K4765" s="4"/>
    </row>
    <row r="4766" spans="3:11" x14ac:dyDescent="0.3">
      <c r="C4766" s="21" t="s">
        <v>29</v>
      </c>
      <c r="D4766" s="22"/>
      <c r="E4766" s="22"/>
      <c r="F4766" s="22"/>
      <c r="G4766" s="28"/>
      <c r="H4766" s="19">
        <f>SUM(H4765:H4765)</f>
        <v>77250000</v>
      </c>
    </row>
    <row r="4767" spans="3:11" x14ac:dyDescent="0.25">
      <c r="C4767" s="12" t="s">
        <v>30</v>
      </c>
      <c r="D4767" s="93" t="s">
        <v>31</v>
      </c>
      <c r="E4767" s="94"/>
      <c r="F4767" s="94"/>
      <c r="G4767" s="14"/>
      <c r="H4767" s="14"/>
    </row>
    <row r="4768" spans="3:11" x14ac:dyDescent="0.25">
      <c r="C4768" s="95">
        <v>1</v>
      </c>
      <c r="D4768" s="96" t="s">
        <v>914</v>
      </c>
      <c r="E4768" s="97" t="s">
        <v>915</v>
      </c>
      <c r="F4768" s="98">
        <v>2</v>
      </c>
      <c r="G4768" s="19">
        <f>VLOOKUP(D4768,upahbahan,3,FALSE)</f>
        <v>108000</v>
      </c>
      <c r="H4768" s="19">
        <f t="shared" ref="H4768" si="517">F4768*G4768</f>
        <v>216000</v>
      </c>
    </row>
    <row r="4769" spans="3:11" x14ac:dyDescent="0.3">
      <c r="C4769" s="21" t="s">
        <v>32</v>
      </c>
      <c r="D4769" s="77"/>
      <c r="E4769" s="77"/>
      <c r="F4769" s="77"/>
      <c r="G4769" s="28"/>
      <c r="H4769" s="29">
        <f>SUM(H4768)</f>
        <v>216000</v>
      </c>
    </row>
    <row r="4770" spans="3:11" x14ac:dyDescent="0.3">
      <c r="C4770" s="30" t="s">
        <v>33</v>
      </c>
      <c r="D4770" s="31" t="s">
        <v>34</v>
      </c>
      <c r="E4770" s="32"/>
      <c r="F4770" s="32"/>
      <c r="G4770" s="33"/>
      <c r="H4770" s="46">
        <f>H4769+H4766+H4763</f>
        <v>78286975</v>
      </c>
      <c r="I4770" s="47"/>
    </row>
    <row r="4771" spans="3:11" x14ac:dyDescent="0.3">
      <c r="C4771" s="30" t="s">
        <v>35</v>
      </c>
      <c r="D4771" s="31" t="s">
        <v>36</v>
      </c>
      <c r="E4771" s="32"/>
      <c r="F4771" s="33"/>
      <c r="G4771" s="34">
        <f>$M$9</f>
        <v>0.1</v>
      </c>
      <c r="H4771" s="19">
        <f>H4770*G4771</f>
        <v>7828697.5</v>
      </c>
      <c r="I4771" s="47"/>
    </row>
    <row r="4772" spans="3:11" x14ac:dyDescent="0.3">
      <c r="C4772" s="30" t="s">
        <v>37</v>
      </c>
      <c r="D4772" s="31" t="s">
        <v>38</v>
      </c>
      <c r="E4772" s="32"/>
      <c r="F4772" s="32"/>
      <c r="G4772" s="33"/>
      <c r="H4772" s="48">
        <f>SUM(H4770:H4771)</f>
        <v>86115672.5</v>
      </c>
      <c r="I4772" s="47"/>
    </row>
    <row r="4773" spans="3:11" x14ac:dyDescent="0.3">
      <c r="C4773" s="92" t="s">
        <v>874</v>
      </c>
    </row>
    <row r="4774" spans="3:11" x14ac:dyDescent="0.3">
      <c r="D4774" s="3" t="s">
        <v>916</v>
      </c>
    </row>
    <row r="4775" spans="3:11" x14ac:dyDescent="0.3">
      <c r="D4775" s="3" t="s">
        <v>917</v>
      </c>
    </row>
    <row r="4776" spans="3:11" x14ac:dyDescent="0.3">
      <c r="D4776" s="3" t="s">
        <v>918</v>
      </c>
    </row>
    <row r="4777" spans="3:11" x14ac:dyDescent="0.3">
      <c r="D4777" s="3" t="s">
        <v>919</v>
      </c>
    </row>
    <row r="4778" spans="3:11" x14ac:dyDescent="0.3">
      <c r="D4778" s="3" t="s">
        <v>920</v>
      </c>
    </row>
    <row r="4780" spans="3:11" x14ac:dyDescent="0.3">
      <c r="C4780" s="40" t="s">
        <v>921</v>
      </c>
      <c r="D4780" s="68" t="s">
        <v>922</v>
      </c>
      <c r="E4780" s="44"/>
      <c r="F4780" s="44"/>
      <c r="G4780" s="44"/>
      <c r="H4780" s="44"/>
      <c r="I4780" s="10">
        <f>ROUNDDOWN(H4796,0)</f>
        <v>90936422</v>
      </c>
      <c r="J4780" s="15"/>
      <c r="K4780" s="39"/>
    </row>
    <row r="4781" spans="3:11" ht="27.6" x14ac:dyDescent="0.3">
      <c r="C4781" s="11" t="s">
        <v>9</v>
      </c>
      <c r="D4781" s="11" t="s">
        <v>10</v>
      </c>
      <c r="E4781" s="11" t="s">
        <v>11</v>
      </c>
      <c r="F4781" s="11" t="s">
        <v>12</v>
      </c>
      <c r="G4781" s="11" t="s">
        <v>13</v>
      </c>
      <c r="H4781" s="11" t="s">
        <v>14</v>
      </c>
    </row>
    <row r="4782" spans="3:11" x14ac:dyDescent="0.25">
      <c r="C4782" s="12" t="s">
        <v>15</v>
      </c>
      <c r="D4782" s="13" t="s">
        <v>16</v>
      </c>
      <c r="E4782" s="14"/>
      <c r="F4782" s="14"/>
      <c r="G4782" s="14"/>
      <c r="H4782" s="14"/>
    </row>
    <row r="4783" spans="3:11" x14ac:dyDescent="0.3">
      <c r="C4783" s="16">
        <v>1</v>
      </c>
      <c r="D4783" s="13" t="s">
        <v>18</v>
      </c>
      <c r="E4783" s="17" t="s">
        <v>19</v>
      </c>
      <c r="F4783" s="18">
        <v>7.875</v>
      </c>
      <c r="G4783" s="19">
        <f>VLOOKUP(D4783,upahbahan,3,FALSE)</f>
        <v>100000</v>
      </c>
      <c r="H4783" s="19">
        <f t="shared" ref="H4783:H4786" si="518">F4783*G4783</f>
        <v>787500</v>
      </c>
    </row>
    <row r="4784" spans="3:11" x14ac:dyDescent="0.3">
      <c r="C4784" s="16">
        <v>2</v>
      </c>
      <c r="D4784" s="13" t="s">
        <v>214</v>
      </c>
      <c r="E4784" s="17" t="s">
        <v>19</v>
      </c>
      <c r="F4784" s="18">
        <v>1.75</v>
      </c>
      <c r="G4784" s="19">
        <f>VLOOKUP(D4784,upahbahan,3,FALSE)</f>
        <v>145000</v>
      </c>
      <c r="H4784" s="19">
        <f t="shared" si="518"/>
        <v>253750</v>
      </c>
    </row>
    <row r="4785" spans="3:11" x14ac:dyDescent="0.3">
      <c r="C4785" s="16">
        <v>3</v>
      </c>
      <c r="D4785" s="13" t="s">
        <v>22</v>
      </c>
      <c r="E4785" s="17" t="s">
        <v>19</v>
      </c>
      <c r="F4785" s="18">
        <v>0.17499999999999999</v>
      </c>
      <c r="G4785" s="19">
        <f>VLOOKUP(D4785,upahbahan,3,FALSE)</f>
        <v>175000</v>
      </c>
      <c r="H4785" s="19">
        <f t="shared" si="518"/>
        <v>30624.999999999996</v>
      </c>
    </row>
    <row r="4786" spans="3:11" x14ac:dyDescent="0.3">
      <c r="C4786" s="16">
        <v>4</v>
      </c>
      <c r="D4786" s="13" t="s">
        <v>23</v>
      </c>
      <c r="E4786" s="17" t="s">
        <v>19</v>
      </c>
      <c r="F4786" s="18">
        <v>5.8000000000000003E-2</v>
      </c>
      <c r="G4786" s="19">
        <f>VLOOKUP(D4786,upahbahan,3,FALSE)</f>
        <v>200000</v>
      </c>
      <c r="H4786" s="19">
        <f t="shared" si="518"/>
        <v>11600</v>
      </c>
    </row>
    <row r="4787" spans="3:11" x14ac:dyDescent="0.3">
      <c r="C4787" s="21" t="s">
        <v>24</v>
      </c>
      <c r="D4787" s="22"/>
      <c r="E4787" s="22"/>
      <c r="F4787" s="54"/>
      <c r="G4787" s="24"/>
      <c r="H4787" s="19">
        <f>SUM(H4783:H4786)</f>
        <v>1083475</v>
      </c>
      <c r="I4787" s="25"/>
    </row>
    <row r="4788" spans="3:11" x14ac:dyDescent="0.25">
      <c r="C4788" s="12" t="s">
        <v>25</v>
      </c>
      <c r="D4788" s="13" t="s">
        <v>26</v>
      </c>
      <c r="E4788" s="14"/>
      <c r="F4788" s="55"/>
      <c r="G4788" s="14"/>
      <c r="H4788" s="14"/>
    </row>
    <row r="4789" spans="3:11" s="91" customFormat="1" x14ac:dyDescent="0.3">
      <c r="C4789" s="85" t="s">
        <v>202</v>
      </c>
      <c r="D4789" s="86" t="s">
        <v>923</v>
      </c>
      <c r="E4789" s="87" t="s">
        <v>846</v>
      </c>
      <c r="F4789" s="88">
        <v>1.03</v>
      </c>
      <c r="G4789" s="89">
        <f>VLOOKUP(D4789,upahbahan,3,FALSE)</f>
        <v>79000000</v>
      </c>
      <c r="H4789" s="89">
        <f t="shared" ref="H4789" si="519">F4789*G4789</f>
        <v>81370000</v>
      </c>
      <c r="I4789" s="90"/>
      <c r="J4789" s="4"/>
      <c r="K4789" s="4"/>
    </row>
    <row r="4790" spans="3:11" x14ac:dyDescent="0.3">
      <c r="C4790" s="21" t="s">
        <v>29</v>
      </c>
      <c r="D4790" s="22"/>
      <c r="E4790" s="22"/>
      <c r="F4790" s="22"/>
      <c r="G4790" s="28"/>
      <c r="H4790" s="19">
        <f>SUM(H4789:H4789)</f>
        <v>81370000</v>
      </c>
    </row>
    <row r="4791" spans="3:11" x14ac:dyDescent="0.25">
      <c r="C4791" s="12" t="s">
        <v>30</v>
      </c>
      <c r="D4791" s="93" t="s">
        <v>31</v>
      </c>
      <c r="E4791" s="94"/>
      <c r="F4791" s="94"/>
      <c r="G4791" s="14"/>
      <c r="H4791" s="14"/>
    </row>
    <row r="4792" spans="3:11" x14ac:dyDescent="0.25">
      <c r="C4792" s="95">
        <v>1</v>
      </c>
      <c r="D4792" s="96" t="s">
        <v>914</v>
      </c>
      <c r="E4792" s="97" t="s">
        <v>915</v>
      </c>
      <c r="F4792" s="98">
        <v>2</v>
      </c>
      <c r="G4792" s="19">
        <f>VLOOKUP(D4792,upahbahan,3,FALSE)</f>
        <v>108000</v>
      </c>
      <c r="H4792" s="19">
        <f t="shared" ref="H4792" si="520">F4792*G4792</f>
        <v>216000</v>
      </c>
    </row>
    <row r="4793" spans="3:11" x14ac:dyDescent="0.3">
      <c r="C4793" s="21" t="s">
        <v>32</v>
      </c>
      <c r="D4793" s="77"/>
      <c r="E4793" s="77"/>
      <c r="F4793" s="77"/>
      <c r="G4793" s="28"/>
      <c r="H4793" s="29">
        <f>SUM(H4792)</f>
        <v>216000</v>
      </c>
    </row>
    <row r="4794" spans="3:11" x14ac:dyDescent="0.3">
      <c r="C4794" s="30" t="s">
        <v>33</v>
      </c>
      <c r="D4794" s="31" t="s">
        <v>34</v>
      </c>
      <c r="E4794" s="32"/>
      <c r="F4794" s="32"/>
      <c r="G4794" s="33"/>
      <c r="H4794" s="46">
        <f>H4793+H4790+H4787</f>
        <v>82669475</v>
      </c>
      <c r="I4794" s="47"/>
    </row>
    <row r="4795" spans="3:11" x14ac:dyDescent="0.3">
      <c r="C4795" s="30" t="s">
        <v>35</v>
      </c>
      <c r="D4795" s="31" t="s">
        <v>36</v>
      </c>
      <c r="E4795" s="32"/>
      <c r="F4795" s="33"/>
      <c r="G4795" s="34">
        <f>$M$9</f>
        <v>0.1</v>
      </c>
      <c r="H4795" s="19">
        <f>H4794*G4795</f>
        <v>8266947.5</v>
      </c>
      <c r="I4795" s="47"/>
    </row>
    <row r="4796" spans="3:11" x14ac:dyDescent="0.3">
      <c r="C4796" s="30" t="s">
        <v>37</v>
      </c>
      <c r="D4796" s="31" t="s">
        <v>38</v>
      </c>
      <c r="E4796" s="32"/>
      <c r="F4796" s="32"/>
      <c r="G4796" s="33"/>
      <c r="H4796" s="48">
        <f>SUM(H4794:H4795)</f>
        <v>90936422.5</v>
      </c>
      <c r="I4796" s="47"/>
    </row>
    <row r="4798" spans="3:11" x14ac:dyDescent="0.3">
      <c r="C4798" s="60" t="s">
        <v>924</v>
      </c>
      <c r="D4798" s="99" t="s">
        <v>925</v>
      </c>
      <c r="E4798" s="62"/>
      <c r="F4798" s="62"/>
      <c r="G4798" s="62"/>
      <c r="H4798" s="62"/>
      <c r="I4798" s="10">
        <f>ROUNDDOWN(H4814,0)</f>
        <v>672593707</v>
      </c>
      <c r="J4798" s="15"/>
      <c r="K4798" s="39"/>
    </row>
    <row r="4799" spans="3:11" ht="27.6" x14ac:dyDescent="0.3">
      <c r="C4799" s="11" t="s">
        <v>9</v>
      </c>
      <c r="D4799" s="11" t="s">
        <v>10</v>
      </c>
      <c r="E4799" s="11" t="s">
        <v>11</v>
      </c>
      <c r="F4799" s="11" t="s">
        <v>12</v>
      </c>
      <c r="G4799" s="11" t="s">
        <v>13</v>
      </c>
      <c r="H4799" s="11" t="s">
        <v>14</v>
      </c>
    </row>
    <row r="4800" spans="3:11" x14ac:dyDescent="0.25">
      <c r="C4800" s="12" t="s">
        <v>15</v>
      </c>
      <c r="D4800" s="13" t="s">
        <v>16</v>
      </c>
      <c r="E4800" s="14"/>
      <c r="F4800" s="14"/>
      <c r="G4800" s="14"/>
      <c r="H4800" s="14"/>
    </row>
    <row r="4801" spans="3:11" x14ac:dyDescent="0.3">
      <c r="C4801" s="16">
        <v>1</v>
      </c>
      <c r="D4801" s="13" t="s">
        <v>18</v>
      </c>
      <c r="E4801" s="17" t="s">
        <v>19</v>
      </c>
      <c r="F4801" s="18">
        <v>11.25</v>
      </c>
      <c r="G4801" s="19">
        <f>VLOOKUP(D4801,upahbahan,3,FALSE)</f>
        <v>100000</v>
      </c>
      <c r="H4801" s="19">
        <f t="shared" ref="H4801:H4804" si="521">F4801*G4801</f>
        <v>1125000</v>
      </c>
    </row>
    <row r="4802" spans="3:11" x14ac:dyDescent="0.3">
      <c r="C4802" s="16">
        <v>2</v>
      </c>
      <c r="D4802" s="13" t="s">
        <v>214</v>
      </c>
      <c r="E4802" s="17" t="s">
        <v>19</v>
      </c>
      <c r="F4802" s="18">
        <v>2.25</v>
      </c>
      <c r="G4802" s="19">
        <f>VLOOKUP(D4802,upahbahan,3,FALSE)</f>
        <v>145000</v>
      </c>
      <c r="H4802" s="19">
        <f t="shared" si="521"/>
        <v>326250</v>
      </c>
    </row>
    <row r="4803" spans="3:11" x14ac:dyDescent="0.3">
      <c r="C4803" s="16">
        <v>3</v>
      </c>
      <c r="D4803" s="13" t="s">
        <v>22</v>
      </c>
      <c r="E4803" s="17" t="s">
        <v>19</v>
      </c>
      <c r="F4803" s="18">
        <v>0.22500000000000001</v>
      </c>
      <c r="G4803" s="19">
        <f>VLOOKUP(D4803,upahbahan,3,FALSE)</f>
        <v>175000</v>
      </c>
      <c r="H4803" s="19">
        <f t="shared" si="521"/>
        <v>39375</v>
      </c>
    </row>
    <row r="4804" spans="3:11" x14ac:dyDescent="0.3">
      <c r="C4804" s="16">
        <v>4</v>
      </c>
      <c r="D4804" s="13" t="s">
        <v>23</v>
      </c>
      <c r="E4804" s="17" t="s">
        <v>19</v>
      </c>
      <c r="F4804" s="18">
        <v>7.4999999999999997E-2</v>
      </c>
      <c r="G4804" s="19">
        <f>VLOOKUP(D4804,upahbahan,3,FALSE)</f>
        <v>200000</v>
      </c>
      <c r="H4804" s="19">
        <f t="shared" si="521"/>
        <v>15000</v>
      </c>
    </row>
    <row r="4805" spans="3:11" x14ac:dyDescent="0.3">
      <c r="C4805" s="21" t="s">
        <v>24</v>
      </c>
      <c r="D4805" s="22"/>
      <c r="E4805" s="22"/>
      <c r="F4805" s="54"/>
      <c r="G4805" s="24"/>
      <c r="H4805" s="19">
        <f>SUM(H4801:H4804)</f>
        <v>1505625</v>
      </c>
      <c r="I4805" s="25"/>
    </row>
    <row r="4806" spans="3:11" x14ac:dyDescent="0.25">
      <c r="C4806" s="12" t="s">
        <v>25</v>
      </c>
      <c r="D4806" s="13" t="s">
        <v>26</v>
      </c>
      <c r="E4806" s="14"/>
      <c r="F4806" s="55"/>
      <c r="G4806" s="14"/>
      <c r="H4806" s="14"/>
    </row>
    <row r="4807" spans="3:11" s="91" customFormat="1" x14ac:dyDescent="0.3">
      <c r="C4807" s="100" t="s">
        <v>202</v>
      </c>
      <c r="D4807" s="101" t="s">
        <v>926</v>
      </c>
      <c r="E4807" s="102" t="s">
        <v>846</v>
      </c>
      <c r="F4807" s="103">
        <v>1.04</v>
      </c>
      <c r="G4807" s="104">
        <v>560000000</v>
      </c>
      <c r="H4807" s="104">
        <f t="shared" ref="H4807" si="522">F4807*G4807</f>
        <v>582400000</v>
      </c>
      <c r="I4807" s="105" t="s">
        <v>927</v>
      </c>
      <c r="J4807" s="4"/>
      <c r="K4807" s="4"/>
    </row>
    <row r="4808" spans="3:11" x14ac:dyDescent="0.3">
      <c r="C4808" s="21" t="s">
        <v>29</v>
      </c>
      <c r="D4808" s="22"/>
      <c r="E4808" s="22"/>
      <c r="F4808" s="22"/>
      <c r="G4808" s="28"/>
      <c r="H4808" s="19">
        <f>SUM(H4807:H4807)</f>
        <v>582400000</v>
      </c>
    </row>
    <row r="4809" spans="3:11" x14ac:dyDescent="0.25">
      <c r="C4809" s="12" t="s">
        <v>30</v>
      </c>
      <c r="D4809" s="93" t="s">
        <v>31</v>
      </c>
      <c r="E4809" s="94"/>
      <c r="F4809" s="94"/>
      <c r="G4809" s="14"/>
      <c r="H4809" s="14"/>
    </row>
    <row r="4810" spans="3:11" x14ac:dyDescent="0.25">
      <c r="C4810" s="95">
        <v>1</v>
      </c>
      <c r="D4810" s="96" t="s">
        <v>928</v>
      </c>
      <c r="E4810" s="97" t="s">
        <v>915</v>
      </c>
      <c r="F4810" s="98">
        <v>8</v>
      </c>
      <c r="G4810" s="19">
        <f>VLOOKUP(D4810,upahbahan,3,FALSE)</f>
        <v>3442900</v>
      </c>
      <c r="H4810" s="19">
        <f t="shared" ref="H4810" si="523">F4810*G4810</f>
        <v>27543200</v>
      </c>
    </row>
    <row r="4811" spans="3:11" x14ac:dyDescent="0.3">
      <c r="C4811" s="21" t="s">
        <v>32</v>
      </c>
      <c r="D4811" s="77"/>
      <c r="E4811" s="77"/>
      <c r="F4811" s="77"/>
      <c r="G4811" s="28"/>
      <c r="H4811" s="29">
        <f>SUM(H4810)</f>
        <v>27543200</v>
      </c>
    </row>
    <row r="4812" spans="3:11" x14ac:dyDescent="0.3">
      <c r="C4812" s="30" t="s">
        <v>33</v>
      </c>
      <c r="D4812" s="31" t="s">
        <v>34</v>
      </c>
      <c r="E4812" s="32"/>
      <c r="F4812" s="32"/>
      <c r="G4812" s="33"/>
      <c r="H4812" s="46">
        <f>H4811+H4808+H4805</f>
        <v>611448825</v>
      </c>
      <c r="I4812" s="47"/>
    </row>
    <row r="4813" spans="3:11" x14ac:dyDescent="0.3">
      <c r="C4813" s="30" t="s">
        <v>35</v>
      </c>
      <c r="D4813" s="31" t="s">
        <v>36</v>
      </c>
      <c r="E4813" s="32"/>
      <c r="F4813" s="33"/>
      <c r="G4813" s="34">
        <f>$M$9</f>
        <v>0.1</v>
      </c>
      <c r="H4813" s="19">
        <f>H4812*G4813</f>
        <v>61144882.5</v>
      </c>
      <c r="I4813" s="47"/>
    </row>
    <row r="4814" spans="3:11" x14ac:dyDescent="0.3">
      <c r="C4814" s="30" t="s">
        <v>37</v>
      </c>
      <c r="D4814" s="31" t="s">
        <v>38</v>
      </c>
      <c r="E4814" s="32"/>
      <c r="F4814" s="32"/>
      <c r="G4814" s="33"/>
      <c r="H4814" s="48">
        <f>SUM(H4812:H4813)</f>
        <v>672593707.5</v>
      </c>
      <c r="I4814" s="47"/>
    </row>
    <row r="4817" spans="3:11" x14ac:dyDescent="0.3">
      <c r="C4817" s="40" t="s">
        <v>929</v>
      </c>
      <c r="D4817" s="68" t="s">
        <v>930</v>
      </c>
      <c r="E4817" s="44"/>
      <c r="F4817" s="44"/>
      <c r="G4817" s="44"/>
      <c r="H4817" s="44"/>
      <c r="I4817" s="10">
        <f>ROUNDDOWN(H4832,0)</f>
        <v>20681677</v>
      </c>
      <c r="J4817" s="15"/>
      <c r="K4817" s="39"/>
    </row>
    <row r="4818" spans="3:11" ht="27.6" x14ac:dyDescent="0.3">
      <c r="C4818" s="11" t="s">
        <v>9</v>
      </c>
      <c r="D4818" s="11" t="s">
        <v>10</v>
      </c>
      <c r="E4818" s="11" t="s">
        <v>11</v>
      </c>
      <c r="F4818" s="11" t="s">
        <v>12</v>
      </c>
      <c r="G4818" s="11" t="s">
        <v>13</v>
      </c>
      <c r="H4818" s="11" t="s">
        <v>14</v>
      </c>
    </row>
    <row r="4819" spans="3:11" x14ac:dyDescent="0.25">
      <c r="C4819" s="12" t="s">
        <v>15</v>
      </c>
      <c r="D4819" s="13" t="s">
        <v>16</v>
      </c>
      <c r="E4819" s="14"/>
      <c r="F4819" s="14"/>
      <c r="G4819" s="14"/>
      <c r="H4819" s="14"/>
    </row>
    <row r="4820" spans="3:11" x14ac:dyDescent="0.3">
      <c r="C4820" s="16">
        <v>1</v>
      </c>
      <c r="D4820" s="13" t="s">
        <v>18</v>
      </c>
      <c r="E4820" s="17" t="s">
        <v>19</v>
      </c>
      <c r="F4820" s="18">
        <v>0.5</v>
      </c>
      <c r="G4820" s="19">
        <f>VLOOKUP(D4820,upahbahan,3,FALSE)</f>
        <v>100000</v>
      </c>
      <c r="H4820" s="19">
        <f t="shared" ref="H4820:H4823" si="524">F4820*G4820</f>
        <v>50000</v>
      </c>
    </row>
    <row r="4821" spans="3:11" x14ac:dyDescent="0.3">
      <c r="C4821" s="16">
        <v>2</v>
      </c>
      <c r="D4821" s="13" t="s">
        <v>214</v>
      </c>
      <c r="E4821" s="17" t="s">
        <v>19</v>
      </c>
      <c r="F4821" s="18">
        <v>1.25</v>
      </c>
      <c r="G4821" s="19">
        <f>VLOOKUP(D4821,upahbahan,3,FALSE)</f>
        <v>145000</v>
      </c>
      <c r="H4821" s="19">
        <f t="shared" si="524"/>
        <v>181250</v>
      </c>
    </row>
    <row r="4822" spans="3:11" x14ac:dyDescent="0.3">
      <c r="C4822" s="16">
        <v>3</v>
      </c>
      <c r="D4822" s="13" t="s">
        <v>22</v>
      </c>
      <c r="E4822" s="17" t="s">
        <v>19</v>
      </c>
      <c r="F4822" s="18">
        <v>0.125</v>
      </c>
      <c r="G4822" s="19">
        <f>VLOOKUP(D4822,upahbahan,3,FALSE)</f>
        <v>175000</v>
      </c>
      <c r="H4822" s="19">
        <f t="shared" si="524"/>
        <v>21875</v>
      </c>
    </row>
    <row r="4823" spans="3:11" x14ac:dyDescent="0.3">
      <c r="C4823" s="16">
        <v>4</v>
      </c>
      <c r="D4823" s="13" t="s">
        <v>23</v>
      </c>
      <c r="E4823" s="17" t="s">
        <v>19</v>
      </c>
      <c r="F4823" s="18">
        <v>4.2000000000000003E-2</v>
      </c>
      <c r="G4823" s="19">
        <f>VLOOKUP(D4823,upahbahan,3,FALSE)</f>
        <v>200000</v>
      </c>
      <c r="H4823" s="19">
        <f t="shared" si="524"/>
        <v>8400</v>
      </c>
    </row>
    <row r="4824" spans="3:11" x14ac:dyDescent="0.3">
      <c r="C4824" s="21" t="s">
        <v>24</v>
      </c>
      <c r="D4824" s="22"/>
      <c r="E4824" s="22"/>
      <c r="F4824" s="54"/>
      <c r="G4824" s="24"/>
      <c r="H4824" s="19">
        <f>SUM(H4820:H4823)</f>
        <v>261525</v>
      </c>
      <c r="I4824" s="25"/>
    </row>
    <row r="4825" spans="3:11" x14ac:dyDescent="0.25">
      <c r="C4825" s="12" t="s">
        <v>25</v>
      </c>
      <c r="D4825" s="13" t="s">
        <v>26</v>
      </c>
      <c r="E4825" s="14"/>
      <c r="F4825" s="55"/>
      <c r="G4825" s="14"/>
      <c r="H4825" s="14"/>
    </row>
    <row r="4826" spans="3:11" s="91" customFormat="1" x14ac:dyDescent="0.3">
      <c r="C4826" s="85" t="s">
        <v>202</v>
      </c>
      <c r="D4826" s="86" t="s">
        <v>931</v>
      </c>
      <c r="E4826" s="87" t="s">
        <v>846</v>
      </c>
      <c r="F4826" s="88">
        <v>1.03</v>
      </c>
      <c r="G4826" s="89">
        <f>VLOOKUP(D4826,upahbahan,3,FALSE)</f>
        <v>18000000</v>
      </c>
      <c r="H4826" s="89">
        <f t="shared" ref="H4826" si="525">F4826*G4826</f>
        <v>18540000</v>
      </c>
      <c r="I4826" s="90"/>
      <c r="J4826" s="4"/>
      <c r="K4826" s="4"/>
    </row>
    <row r="4827" spans="3:11" x14ac:dyDescent="0.3">
      <c r="C4827" s="21" t="s">
        <v>29</v>
      </c>
      <c r="D4827" s="22"/>
      <c r="E4827" s="22"/>
      <c r="F4827" s="22"/>
      <c r="G4827" s="28"/>
      <c r="H4827" s="19">
        <f>SUM(H4826:H4826)</f>
        <v>18540000</v>
      </c>
    </row>
    <row r="4828" spans="3:11" x14ac:dyDescent="0.25">
      <c r="C4828" s="12" t="s">
        <v>30</v>
      </c>
      <c r="D4828" s="13" t="s">
        <v>31</v>
      </c>
      <c r="E4828" s="14"/>
      <c r="F4828" s="14"/>
      <c r="G4828" s="14"/>
      <c r="H4828" s="14"/>
    </row>
    <row r="4829" spans="3:11" x14ac:dyDescent="0.3">
      <c r="C4829" s="21" t="s">
        <v>32</v>
      </c>
      <c r="D4829" s="77"/>
      <c r="E4829" s="77"/>
      <c r="F4829" s="77"/>
      <c r="G4829" s="28"/>
      <c r="H4829" s="29">
        <f>SUM(H4828)</f>
        <v>0</v>
      </c>
    </row>
    <row r="4830" spans="3:11" x14ac:dyDescent="0.3">
      <c r="C4830" s="30" t="s">
        <v>33</v>
      </c>
      <c r="D4830" s="31" t="s">
        <v>34</v>
      </c>
      <c r="E4830" s="32"/>
      <c r="F4830" s="32"/>
      <c r="G4830" s="33"/>
      <c r="H4830" s="46">
        <f>H4829+H4827+H4824</f>
        <v>18801525</v>
      </c>
      <c r="I4830" s="47"/>
    </row>
    <row r="4831" spans="3:11" x14ac:dyDescent="0.3">
      <c r="C4831" s="30" t="s">
        <v>35</v>
      </c>
      <c r="D4831" s="31" t="s">
        <v>36</v>
      </c>
      <c r="E4831" s="32"/>
      <c r="F4831" s="33"/>
      <c r="G4831" s="34">
        <f>$M$9</f>
        <v>0.1</v>
      </c>
      <c r="H4831" s="19">
        <f>H4830*G4831</f>
        <v>1880152.5</v>
      </c>
      <c r="I4831" s="47"/>
    </row>
    <row r="4832" spans="3:11" x14ac:dyDescent="0.3">
      <c r="C4832" s="30" t="s">
        <v>37</v>
      </c>
      <c r="D4832" s="31" t="s">
        <v>38</v>
      </c>
      <c r="E4832" s="32"/>
      <c r="F4832" s="32"/>
      <c r="G4832" s="33"/>
      <c r="H4832" s="48">
        <f>SUM(H4830:H4831)</f>
        <v>20681677.5</v>
      </c>
      <c r="I4832" s="47"/>
    </row>
    <row r="4834" spans="3:11" x14ac:dyDescent="0.3">
      <c r="C4834" s="60" t="s">
        <v>932</v>
      </c>
      <c r="D4834" s="99" t="s">
        <v>933</v>
      </c>
      <c r="E4834" s="62"/>
      <c r="F4834" s="62"/>
      <c r="G4834" s="62"/>
      <c r="H4834" s="62"/>
      <c r="I4834" s="10">
        <f>ROUNDDOWN(H4849,0)</f>
        <v>30757677</v>
      </c>
      <c r="J4834" s="15"/>
      <c r="K4834" s="39"/>
    </row>
    <row r="4835" spans="3:11" ht="27.6" x14ac:dyDescent="0.3">
      <c r="C4835" s="11" t="s">
        <v>9</v>
      </c>
      <c r="D4835" s="11" t="s">
        <v>10</v>
      </c>
      <c r="E4835" s="11" t="s">
        <v>11</v>
      </c>
      <c r="F4835" s="11" t="s">
        <v>12</v>
      </c>
      <c r="G4835" s="11" t="s">
        <v>13</v>
      </c>
      <c r="H4835" s="11" t="s">
        <v>14</v>
      </c>
    </row>
    <row r="4836" spans="3:11" x14ac:dyDescent="0.25">
      <c r="C4836" s="12" t="s">
        <v>15</v>
      </c>
      <c r="D4836" s="13" t="s">
        <v>16</v>
      </c>
      <c r="E4836" s="14"/>
      <c r="F4836" s="14"/>
      <c r="G4836" s="14"/>
      <c r="H4836" s="14"/>
    </row>
    <row r="4837" spans="3:11" x14ac:dyDescent="0.3">
      <c r="C4837" s="16">
        <v>1</v>
      </c>
      <c r="D4837" s="13" t="s">
        <v>18</v>
      </c>
      <c r="E4837" s="17" t="s">
        <v>19</v>
      </c>
      <c r="F4837" s="18">
        <v>2.5</v>
      </c>
      <c r="G4837" s="19">
        <f>VLOOKUP(D4837,upahbahan,3,FALSE)</f>
        <v>100000</v>
      </c>
      <c r="H4837" s="19">
        <f t="shared" ref="H4837:H4840" si="526">F4837*G4837</f>
        <v>250000</v>
      </c>
    </row>
    <row r="4838" spans="3:11" x14ac:dyDescent="0.3">
      <c r="C4838" s="16">
        <v>2</v>
      </c>
      <c r="D4838" s="13" t="s">
        <v>214</v>
      </c>
      <c r="E4838" s="17" t="s">
        <v>19</v>
      </c>
      <c r="F4838" s="18">
        <v>1.25</v>
      </c>
      <c r="G4838" s="19">
        <f>VLOOKUP(D4838,upahbahan,3,FALSE)</f>
        <v>145000</v>
      </c>
      <c r="H4838" s="19">
        <f t="shared" si="526"/>
        <v>181250</v>
      </c>
    </row>
    <row r="4839" spans="3:11" x14ac:dyDescent="0.3">
      <c r="C4839" s="16">
        <v>3</v>
      </c>
      <c r="D4839" s="13" t="s">
        <v>22</v>
      </c>
      <c r="E4839" s="17" t="s">
        <v>19</v>
      </c>
      <c r="F4839" s="18">
        <v>0.125</v>
      </c>
      <c r="G4839" s="19">
        <f>VLOOKUP(D4839,upahbahan,3,FALSE)</f>
        <v>175000</v>
      </c>
      <c r="H4839" s="19">
        <f t="shared" si="526"/>
        <v>21875</v>
      </c>
    </row>
    <row r="4840" spans="3:11" x14ac:dyDescent="0.3">
      <c r="C4840" s="16">
        <v>4</v>
      </c>
      <c r="D4840" s="13" t="s">
        <v>23</v>
      </c>
      <c r="E4840" s="17" t="s">
        <v>19</v>
      </c>
      <c r="F4840" s="18">
        <v>4.2000000000000003E-2</v>
      </c>
      <c r="G4840" s="19">
        <f>VLOOKUP(D4840,upahbahan,3,FALSE)</f>
        <v>200000</v>
      </c>
      <c r="H4840" s="19">
        <f t="shared" si="526"/>
        <v>8400</v>
      </c>
    </row>
    <row r="4841" spans="3:11" x14ac:dyDescent="0.3">
      <c r="C4841" s="21" t="s">
        <v>24</v>
      </c>
      <c r="D4841" s="22"/>
      <c r="E4841" s="22"/>
      <c r="F4841" s="54"/>
      <c r="G4841" s="24"/>
      <c r="H4841" s="19">
        <f>SUM(H4837:H4840)</f>
        <v>461525</v>
      </c>
      <c r="I4841" s="25"/>
    </row>
    <row r="4842" spans="3:11" x14ac:dyDescent="0.25">
      <c r="C4842" s="12" t="s">
        <v>25</v>
      </c>
      <c r="D4842" s="13" t="s">
        <v>26</v>
      </c>
      <c r="E4842" s="14"/>
      <c r="F4842" s="55"/>
      <c r="G4842" s="14"/>
      <c r="H4842" s="14"/>
    </row>
    <row r="4843" spans="3:11" s="91" customFormat="1" x14ac:dyDescent="0.3">
      <c r="C4843" s="100" t="s">
        <v>202</v>
      </c>
      <c r="D4843" s="26" t="s">
        <v>934</v>
      </c>
      <c r="E4843" s="27" t="s">
        <v>846</v>
      </c>
      <c r="F4843" s="106">
        <v>1.1000000000000001</v>
      </c>
      <c r="G4843" s="107">
        <v>25000000</v>
      </c>
      <c r="H4843" s="107">
        <f t="shared" ref="H4843" si="527">F4843*G4843</f>
        <v>27500000.000000004</v>
      </c>
      <c r="I4843" s="90"/>
      <c r="J4843" s="4"/>
      <c r="K4843" s="4"/>
    </row>
    <row r="4844" spans="3:11" x14ac:dyDescent="0.3">
      <c r="C4844" s="21" t="s">
        <v>29</v>
      </c>
      <c r="D4844" s="22"/>
      <c r="E4844" s="22"/>
      <c r="F4844" s="22"/>
      <c r="G4844" s="28"/>
      <c r="H4844" s="19">
        <f>SUM(H4843:H4843)</f>
        <v>27500000.000000004</v>
      </c>
    </row>
    <row r="4845" spans="3:11" x14ac:dyDescent="0.25">
      <c r="C4845" s="12" t="s">
        <v>30</v>
      </c>
      <c r="D4845" s="13" t="s">
        <v>31</v>
      </c>
      <c r="E4845" s="14"/>
      <c r="F4845" s="14"/>
      <c r="G4845" s="14"/>
      <c r="H4845" s="14"/>
    </row>
    <row r="4846" spans="3:11" x14ac:dyDescent="0.3">
      <c r="C4846" s="21" t="s">
        <v>32</v>
      </c>
      <c r="D4846" s="77"/>
      <c r="E4846" s="77"/>
      <c r="F4846" s="77"/>
      <c r="G4846" s="28"/>
      <c r="H4846" s="29">
        <f>SUM(H4845)</f>
        <v>0</v>
      </c>
    </row>
    <row r="4847" spans="3:11" x14ac:dyDescent="0.3">
      <c r="C4847" s="30" t="s">
        <v>33</v>
      </c>
      <c r="D4847" s="31" t="s">
        <v>34</v>
      </c>
      <c r="E4847" s="32"/>
      <c r="F4847" s="32"/>
      <c r="G4847" s="33"/>
      <c r="H4847" s="46">
        <f>H4846+H4844+H4841</f>
        <v>27961525.000000004</v>
      </c>
      <c r="I4847" s="47"/>
    </row>
    <row r="4848" spans="3:11" x14ac:dyDescent="0.3">
      <c r="C4848" s="30" t="s">
        <v>35</v>
      </c>
      <c r="D4848" s="31" t="s">
        <v>36</v>
      </c>
      <c r="E4848" s="32"/>
      <c r="F4848" s="33"/>
      <c r="G4848" s="34">
        <f>$M$9</f>
        <v>0.1</v>
      </c>
      <c r="H4848" s="19">
        <f>H4847*G4848</f>
        <v>2796152.5000000005</v>
      </c>
      <c r="I4848" s="47"/>
    </row>
    <row r="4849" spans="3:11" x14ac:dyDescent="0.3">
      <c r="C4849" s="30" t="s">
        <v>37</v>
      </c>
      <c r="D4849" s="31" t="s">
        <v>38</v>
      </c>
      <c r="E4849" s="32"/>
      <c r="F4849" s="32"/>
      <c r="G4849" s="33"/>
      <c r="H4849" s="48">
        <f>SUM(H4847:H4848)</f>
        <v>30757677.500000004</v>
      </c>
      <c r="I4849" s="47"/>
    </row>
    <row r="4851" spans="3:11" x14ac:dyDescent="0.3">
      <c r="C4851" s="60" t="s">
        <v>935</v>
      </c>
      <c r="D4851" s="99" t="s">
        <v>936</v>
      </c>
      <c r="E4851" s="62"/>
      <c r="F4851" s="62"/>
      <c r="G4851" s="62"/>
      <c r="H4851" s="62"/>
      <c r="I4851" s="10">
        <f>ROUNDDOWN(H4866,0)</f>
        <v>2084725</v>
      </c>
      <c r="J4851" s="15" t="s">
        <v>937</v>
      </c>
      <c r="K4851" s="39"/>
    </row>
    <row r="4852" spans="3:11" ht="27.6" x14ac:dyDescent="0.3">
      <c r="C4852" s="11" t="s">
        <v>9</v>
      </c>
      <c r="D4852" s="11" t="s">
        <v>10</v>
      </c>
      <c r="E4852" s="11" t="s">
        <v>11</v>
      </c>
      <c r="F4852" s="11" t="s">
        <v>12</v>
      </c>
      <c r="G4852" s="11" t="s">
        <v>13</v>
      </c>
      <c r="H4852" s="11" t="s">
        <v>14</v>
      </c>
    </row>
    <row r="4853" spans="3:11" x14ac:dyDescent="0.25">
      <c r="C4853" s="12" t="s">
        <v>15</v>
      </c>
      <c r="D4853" s="13" t="s">
        <v>16</v>
      </c>
      <c r="E4853" s="14"/>
      <c r="F4853" s="14"/>
      <c r="G4853" s="14"/>
      <c r="H4853" s="14"/>
    </row>
    <row r="4854" spans="3:11" x14ac:dyDescent="0.3">
      <c r="C4854" s="16">
        <v>1</v>
      </c>
      <c r="D4854" s="13" t="s">
        <v>18</v>
      </c>
      <c r="E4854" s="17" t="s">
        <v>19</v>
      </c>
      <c r="F4854" s="18">
        <v>9.4E-2</v>
      </c>
      <c r="G4854" s="19">
        <f>VLOOKUP(D4854,upahbahan,3,FALSE)</f>
        <v>100000</v>
      </c>
      <c r="H4854" s="19">
        <f t="shared" ref="H4854:H4857" si="528">F4854*G4854</f>
        <v>9400</v>
      </c>
    </row>
    <row r="4855" spans="3:11" x14ac:dyDescent="0.3">
      <c r="C4855" s="16">
        <v>2</v>
      </c>
      <c r="D4855" s="13" t="s">
        <v>214</v>
      </c>
      <c r="E4855" s="17" t="s">
        <v>19</v>
      </c>
      <c r="F4855" s="18">
        <v>9.4E-2</v>
      </c>
      <c r="G4855" s="19">
        <f>VLOOKUP(D4855,upahbahan,3,FALSE)</f>
        <v>145000</v>
      </c>
      <c r="H4855" s="19">
        <f t="shared" si="528"/>
        <v>13630</v>
      </c>
    </row>
    <row r="4856" spans="3:11" x14ac:dyDescent="0.3">
      <c r="C4856" s="16">
        <v>3</v>
      </c>
      <c r="D4856" s="13" t="s">
        <v>22</v>
      </c>
      <c r="E4856" s="17" t="s">
        <v>19</v>
      </c>
      <c r="F4856" s="18">
        <v>8.9999999999999993E-3</v>
      </c>
      <c r="G4856" s="19">
        <f>VLOOKUP(D4856,upahbahan,3,FALSE)</f>
        <v>175000</v>
      </c>
      <c r="H4856" s="19">
        <f t="shared" si="528"/>
        <v>1574.9999999999998</v>
      </c>
    </row>
    <row r="4857" spans="3:11" x14ac:dyDescent="0.3">
      <c r="C4857" s="16">
        <v>4</v>
      </c>
      <c r="D4857" s="13" t="s">
        <v>23</v>
      </c>
      <c r="E4857" s="17" t="s">
        <v>19</v>
      </c>
      <c r="F4857" s="18">
        <v>3.0000000000000001E-3</v>
      </c>
      <c r="G4857" s="19">
        <f>VLOOKUP(D4857,upahbahan,3,FALSE)</f>
        <v>200000</v>
      </c>
      <c r="H4857" s="19">
        <f t="shared" si="528"/>
        <v>600</v>
      </c>
    </row>
    <row r="4858" spans="3:11" x14ac:dyDescent="0.3">
      <c r="C4858" s="21" t="s">
        <v>24</v>
      </c>
      <c r="D4858" s="22"/>
      <c r="E4858" s="22"/>
      <c r="F4858" s="54"/>
      <c r="G4858" s="24"/>
      <c r="H4858" s="19">
        <f>SUM(H4854:H4857)</f>
        <v>25205</v>
      </c>
      <c r="I4858" s="25"/>
    </row>
    <row r="4859" spans="3:11" x14ac:dyDescent="0.25">
      <c r="C4859" s="12" t="s">
        <v>25</v>
      </c>
      <c r="D4859" s="13" t="s">
        <v>26</v>
      </c>
      <c r="E4859" s="14"/>
      <c r="F4859" s="55"/>
      <c r="G4859" s="14"/>
      <c r="H4859" s="14"/>
    </row>
    <row r="4860" spans="3:11" s="91" customFormat="1" ht="27.6" x14ac:dyDescent="0.3">
      <c r="C4860" s="100" t="s">
        <v>202</v>
      </c>
      <c r="D4860" s="13" t="s">
        <v>938</v>
      </c>
      <c r="E4860" s="27" t="s">
        <v>846</v>
      </c>
      <c r="F4860" s="106">
        <v>1.1000000000000001</v>
      </c>
      <c r="G4860" s="107">
        <v>1700000</v>
      </c>
      <c r="H4860" s="107">
        <f t="shared" ref="H4860" si="529">F4860*G4860</f>
        <v>1870000.0000000002</v>
      </c>
      <c r="I4860" s="90"/>
      <c r="J4860" s="4"/>
      <c r="K4860" s="4"/>
    </row>
    <row r="4861" spans="3:11" x14ac:dyDescent="0.3">
      <c r="C4861" s="21" t="s">
        <v>29</v>
      </c>
      <c r="D4861" s="22"/>
      <c r="E4861" s="22"/>
      <c r="F4861" s="22"/>
      <c r="G4861" s="28"/>
      <c r="H4861" s="19">
        <f>SUM(H4860:H4860)</f>
        <v>1870000.0000000002</v>
      </c>
    </row>
    <row r="4862" spans="3:11" x14ac:dyDescent="0.25">
      <c r="C4862" s="12" t="s">
        <v>30</v>
      </c>
      <c r="D4862" s="13" t="s">
        <v>31</v>
      </c>
      <c r="E4862" s="14"/>
      <c r="F4862" s="14"/>
      <c r="G4862" s="14"/>
      <c r="H4862" s="14"/>
    </row>
    <row r="4863" spans="3:11" x14ac:dyDescent="0.3">
      <c r="C4863" s="21" t="s">
        <v>32</v>
      </c>
      <c r="D4863" s="77"/>
      <c r="E4863" s="77"/>
      <c r="F4863" s="77"/>
      <c r="G4863" s="28"/>
      <c r="H4863" s="29">
        <f>SUM(H4862)</f>
        <v>0</v>
      </c>
    </row>
    <row r="4864" spans="3:11" x14ac:dyDescent="0.3">
      <c r="C4864" s="30" t="s">
        <v>33</v>
      </c>
      <c r="D4864" s="31" t="s">
        <v>34</v>
      </c>
      <c r="E4864" s="32"/>
      <c r="F4864" s="32"/>
      <c r="G4864" s="33"/>
      <c r="H4864" s="46">
        <f>H4863+H4861+H4858</f>
        <v>1895205.0000000002</v>
      </c>
      <c r="I4864" s="47"/>
    </row>
    <row r="4865" spans="3:11" x14ac:dyDescent="0.3">
      <c r="C4865" s="30" t="s">
        <v>35</v>
      </c>
      <c r="D4865" s="31" t="s">
        <v>36</v>
      </c>
      <c r="E4865" s="32"/>
      <c r="F4865" s="33"/>
      <c r="G4865" s="34">
        <f>$M$9</f>
        <v>0.1</v>
      </c>
      <c r="H4865" s="19">
        <f>H4864*G4865</f>
        <v>189520.50000000003</v>
      </c>
      <c r="I4865" s="47"/>
    </row>
    <row r="4866" spans="3:11" x14ac:dyDescent="0.3">
      <c r="C4866" s="30" t="s">
        <v>37</v>
      </c>
      <c r="D4866" s="31" t="s">
        <v>38</v>
      </c>
      <c r="E4866" s="32"/>
      <c r="F4866" s="32"/>
      <c r="G4866" s="33"/>
      <c r="H4866" s="48">
        <f>SUM(H4864:H4865)</f>
        <v>2084725.5000000002</v>
      </c>
      <c r="I4866" s="47"/>
    </row>
    <row r="4869" spans="3:11" x14ac:dyDescent="0.3">
      <c r="C4869" s="2" t="s">
        <v>939</v>
      </c>
      <c r="D4869" s="2" t="s">
        <v>940</v>
      </c>
    </row>
    <row r="4870" spans="3:11" x14ac:dyDescent="0.3">
      <c r="C4870" s="40" t="s">
        <v>941</v>
      </c>
      <c r="D4870" s="68" t="s">
        <v>942</v>
      </c>
      <c r="E4870" s="44"/>
      <c r="F4870" s="44"/>
      <c r="G4870" s="44"/>
      <c r="H4870" s="44"/>
      <c r="I4870" s="10">
        <f>ROUNDDOWN(H4885,0)</f>
        <v>158401754</v>
      </c>
      <c r="J4870" s="15"/>
      <c r="K4870" s="39"/>
    </row>
    <row r="4871" spans="3:11" ht="27.6" x14ac:dyDescent="0.3">
      <c r="C4871" s="11" t="s">
        <v>9</v>
      </c>
      <c r="D4871" s="11" t="s">
        <v>10</v>
      </c>
      <c r="E4871" s="11" t="s">
        <v>11</v>
      </c>
      <c r="F4871" s="11" t="s">
        <v>12</v>
      </c>
      <c r="G4871" s="11" t="s">
        <v>13</v>
      </c>
      <c r="H4871" s="11" t="s">
        <v>14</v>
      </c>
    </row>
    <row r="4872" spans="3:11" x14ac:dyDescent="0.25">
      <c r="C4872" s="12" t="s">
        <v>15</v>
      </c>
      <c r="D4872" s="13" t="s">
        <v>16</v>
      </c>
      <c r="E4872" s="14"/>
      <c r="F4872" s="14"/>
      <c r="G4872" s="14"/>
      <c r="H4872" s="14"/>
    </row>
    <row r="4873" spans="3:11" x14ac:dyDescent="0.3">
      <c r="C4873" s="16">
        <v>1</v>
      </c>
      <c r="D4873" s="13" t="s">
        <v>18</v>
      </c>
      <c r="E4873" s="17" t="s">
        <v>19</v>
      </c>
      <c r="F4873" s="18">
        <v>2.6259999999999999</v>
      </c>
      <c r="G4873" s="19">
        <f>VLOOKUP(D4873,upahbahan,3,FALSE)</f>
        <v>100000</v>
      </c>
      <c r="H4873" s="19">
        <f t="shared" ref="H4873:H4876" si="530">F4873*G4873</f>
        <v>262600</v>
      </c>
    </row>
    <row r="4874" spans="3:11" x14ac:dyDescent="0.3">
      <c r="C4874" s="16">
        <v>2</v>
      </c>
      <c r="D4874" s="13" t="s">
        <v>214</v>
      </c>
      <c r="E4874" s="17" t="s">
        <v>19</v>
      </c>
      <c r="F4874" s="18">
        <v>4.3860000000000001</v>
      </c>
      <c r="G4874" s="19">
        <f>VLOOKUP(D4874,upahbahan,3,FALSE)</f>
        <v>145000</v>
      </c>
      <c r="H4874" s="19">
        <f t="shared" si="530"/>
        <v>635970</v>
      </c>
    </row>
    <row r="4875" spans="3:11" x14ac:dyDescent="0.3">
      <c r="C4875" s="16">
        <v>3</v>
      </c>
      <c r="D4875" s="13" t="s">
        <v>22</v>
      </c>
      <c r="E4875" s="17" t="s">
        <v>19</v>
      </c>
      <c r="F4875" s="18">
        <v>0.439</v>
      </c>
      <c r="G4875" s="19">
        <f>VLOOKUP(D4875,upahbahan,3,FALSE)</f>
        <v>175000</v>
      </c>
      <c r="H4875" s="19">
        <f t="shared" si="530"/>
        <v>76825</v>
      </c>
    </row>
    <row r="4876" spans="3:11" x14ac:dyDescent="0.3">
      <c r="C4876" s="16">
        <v>4</v>
      </c>
      <c r="D4876" s="13" t="s">
        <v>23</v>
      </c>
      <c r="E4876" s="17" t="s">
        <v>19</v>
      </c>
      <c r="F4876" s="18">
        <v>0.13100000000000001</v>
      </c>
      <c r="G4876" s="19">
        <f>VLOOKUP(D4876,upahbahan,3,FALSE)</f>
        <v>200000</v>
      </c>
      <c r="H4876" s="19">
        <f t="shared" si="530"/>
        <v>26200</v>
      </c>
    </row>
    <row r="4877" spans="3:11" x14ac:dyDescent="0.3">
      <c r="C4877" s="21" t="s">
        <v>24</v>
      </c>
      <c r="D4877" s="22"/>
      <c r="E4877" s="22"/>
      <c r="F4877" s="54"/>
      <c r="G4877" s="24"/>
      <c r="H4877" s="19">
        <f>SUM(H4873:H4876)</f>
        <v>1001595</v>
      </c>
      <c r="I4877" s="25"/>
    </row>
    <row r="4878" spans="3:11" x14ac:dyDescent="0.25">
      <c r="C4878" s="12" t="s">
        <v>25</v>
      </c>
      <c r="D4878" s="13" t="s">
        <v>26</v>
      </c>
      <c r="E4878" s="14"/>
      <c r="F4878" s="55"/>
      <c r="G4878" s="14"/>
      <c r="H4878" s="14"/>
    </row>
    <row r="4879" spans="3:11" s="91" customFormat="1" x14ac:dyDescent="0.3">
      <c r="C4879" s="100" t="s">
        <v>202</v>
      </c>
      <c r="D4879" s="26" t="s">
        <v>943</v>
      </c>
      <c r="E4879" s="27" t="s">
        <v>846</v>
      </c>
      <c r="F4879" s="106">
        <v>1.1000000000000001</v>
      </c>
      <c r="G4879" s="107">
        <v>130000000</v>
      </c>
      <c r="H4879" s="107">
        <f t="shared" ref="H4879" si="531">F4879*G4879</f>
        <v>143000000</v>
      </c>
      <c r="I4879" s="90"/>
      <c r="J4879" s="4"/>
      <c r="K4879" s="4"/>
    </row>
    <row r="4880" spans="3:11" x14ac:dyDescent="0.3">
      <c r="C4880" s="21" t="s">
        <v>29</v>
      </c>
      <c r="D4880" s="22"/>
      <c r="E4880" s="22"/>
      <c r="F4880" s="22"/>
      <c r="G4880" s="28"/>
      <c r="H4880" s="19">
        <f>SUM(H4879:H4879)</f>
        <v>143000000</v>
      </c>
    </row>
    <row r="4881" spans="3:11" x14ac:dyDescent="0.25">
      <c r="C4881" s="12" t="s">
        <v>30</v>
      </c>
      <c r="D4881" s="13" t="s">
        <v>31</v>
      </c>
      <c r="E4881" s="14"/>
      <c r="F4881" s="14"/>
      <c r="G4881" s="14"/>
      <c r="H4881" s="14"/>
    </row>
    <row r="4882" spans="3:11" x14ac:dyDescent="0.3">
      <c r="C4882" s="21" t="s">
        <v>32</v>
      </c>
      <c r="D4882" s="77"/>
      <c r="E4882" s="77"/>
      <c r="F4882" s="77"/>
      <c r="G4882" s="28"/>
      <c r="H4882" s="29">
        <f>SUM(H4881)</f>
        <v>0</v>
      </c>
    </row>
    <row r="4883" spans="3:11" x14ac:dyDescent="0.3">
      <c r="C4883" s="30" t="s">
        <v>33</v>
      </c>
      <c r="D4883" s="31" t="s">
        <v>34</v>
      </c>
      <c r="E4883" s="32"/>
      <c r="F4883" s="32"/>
      <c r="G4883" s="33"/>
      <c r="H4883" s="46">
        <f>H4882+H4880+H4877</f>
        <v>144001595</v>
      </c>
      <c r="I4883" s="47"/>
    </row>
    <row r="4884" spans="3:11" x14ac:dyDescent="0.3">
      <c r="C4884" s="30" t="s">
        <v>35</v>
      </c>
      <c r="D4884" s="31" t="s">
        <v>36</v>
      </c>
      <c r="E4884" s="32"/>
      <c r="F4884" s="33"/>
      <c r="G4884" s="34">
        <f>$M$9</f>
        <v>0.1</v>
      </c>
      <c r="H4884" s="19">
        <f>H4883*G4884</f>
        <v>14400159.5</v>
      </c>
      <c r="I4884" s="47"/>
    </row>
    <row r="4885" spans="3:11" x14ac:dyDescent="0.3">
      <c r="C4885" s="30" t="s">
        <v>37</v>
      </c>
      <c r="D4885" s="31" t="s">
        <v>38</v>
      </c>
      <c r="E4885" s="32"/>
      <c r="F4885" s="32"/>
      <c r="G4885" s="33"/>
      <c r="H4885" s="48">
        <f>SUM(H4883:H4884)</f>
        <v>158401754.5</v>
      </c>
      <c r="I4885" s="47"/>
    </row>
    <row r="4888" spans="3:11" x14ac:dyDescent="0.3">
      <c r="C4888" s="2" t="s">
        <v>944</v>
      </c>
      <c r="D4888" s="2" t="s">
        <v>945</v>
      </c>
    </row>
    <row r="4889" spans="3:11" x14ac:dyDescent="0.3">
      <c r="C4889" s="56" t="s">
        <v>946</v>
      </c>
      <c r="D4889" s="69" t="s">
        <v>947</v>
      </c>
      <c r="E4889" s="58"/>
      <c r="F4889" s="58"/>
      <c r="G4889" s="58"/>
      <c r="H4889" s="58"/>
      <c r="I4889" s="10">
        <f>ROUNDDOWN(H4904,0)</f>
        <v>42146</v>
      </c>
      <c r="J4889" s="15"/>
      <c r="K4889" s="39"/>
    </row>
    <row r="4890" spans="3:11" ht="27.6" x14ac:dyDescent="0.3">
      <c r="C4890" s="11" t="s">
        <v>9</v>
      </c>
      <c r="D4890" s="11" t="s">
        <v>10</v>
      </c>
      <c r="E4890" s="11" t="s">
        <v>11</v>
      </c>
      <c r="F4890" s="11" t="s">
        <v>12</v>
      </c>
      <c r="G4890" s="11" t="s">
        <v>13</v>
      </c>
      <c r="H4890" s="11" t="s">
        <v>14</v>
      </c>
    </row>
    <row r="4891" spans="3:11" x14ac:dyDescent="0.25">
      <c r="C4891" s="12" t="s">
        <v>15</v>
      </c>
      <c r="D4891" s="13" t="s">
        <v>16</v>
      </c>
      <c r="E4891" s="14"/>
      <c r="F4891" s="14"/>
      <c r="G4891" s="14"/>
      <c r="H4891" s="14"/>
    </row>
    <row r="4892" spans="3:11" x14ac:dyDescent="0.3">
      <c r="C4892" s="16">
        <v>1</v>
      </c>
      <c r="D4892" s="13" t="s">
        <v>18</v>
      </c>
      <c r="E4892" s="17" t="s">
        <v>19</v>
      </c>
      <c r="F4892" s="18">
        <v>3.1E-2</v>
      </c>
      <c r="G4892" s="19">
        <f>VLOOKUP(D4892,upahbahan,3,FALSE)</f>
        <v>100000</v>
      </c>
      <c r="H4892" s="19">
        <f t="shared" ref="H4892:H4895" si="532">F4892*G4892</f>
        <v>3100</v>
      </c>
    </row>
    <row r="4893" spans="3:11" x14ac:dyDescent="0.3">
      <c r="C4893" s="16">
        <v>2</v>
      </c>
      <c r="D4893" s="13" t="s">
        <v>214</v>
      </c>
      <c r="E4893" s="17" t="s">
        <v>19</v>
      </c>
      <c r="F4893" s="18">
        <v>5.1999999999999998E-2</v>
      </c>
      <c r="G4893" s="19">
        <f>VLOOKUP(D4893,upahbahan,3,FALSE)</f>
        <v>145000</v>
      </c>
      <c r="H4893" s="19">
        <f t="shared" si="532"/>
        <v>7540</v>
      </c>
    </row>
    <row r="4894" spans="3:11" x14ac:dyDescent="0.3">
      <c r="C4894" s="16">
        <v>3</v>
      </c>
      <c r="D4894" s="13" t="s">
        <v>22</v>
      </c>
      <c r="E4894" s="17" t="s">
        <v>19</v>
      </c>
      <c r="F4894" s="18">
        <v>5.0000000000000001E-3</v>
      </c>
      <c r="G4894" s="19">
        <f>VLOOKUP(D4894,upahbahan,3,FALSE)</f>
        <v>175000</v>
      </c>
      <c r="H4894" s="19">
        <f t="shared" si="532"/>
        <v>875</v>
      </c>
    </row>
    <row r="4895" spans="3:11" x14ac:dyDescent="0.3">
      <c r="C4895" s="16">
        <v>4</v>
      </c>
      <c r="D4895" s="13" t="s">
        <v>23</v>
      </c>
      <c r="E4895" s="17" t="s">
        <v>19</v>
      </c>
      <c r="F4895" s="18">
        <v>2E-3</v>
      </c>
      <c r="G4895" s="19">
        <f>VLOOKUP(D4895,upahbahan,3,FALSE)</f>
        <v>200000</v>
      </c>
      <c r="H4895" s="19">
        <f t="shared" si="532"/>
        <v>400</v>
      </c>
    </row>
    <row r="4896" spans="3:11" x14ac:dyDescent="0.3">
      <c r="C4896" s="21" t="s">
        <v>24</v>
      </c>
      <c r="D4896" s="22"/>
      <c r="E4896" s="22"/>
      <c r="F4896" s="54"/>
      <c r="G4896" s="24"/>
      <c r="H4896" s="19">
        <f>SUM(H4892:H4895)</f>
        <v>11915</v>
      </c>
      <c r="I4896" s="25"/>
    </row>
    <row r="4897" spans="3:11" x14ac:dyDescent="0.25">
      <c r="C4897" s="12" t="s">
        <v>25</v>
      </c>
      <c r="D4897" s="13" t="s">
        <v>26</v>
      </c>
      <c r="E4897" s="14"/>
      <c r="F4897" s="55"/>
      <c r="G4897" s="14"/>
      <c r="H4897" s="14"/>
    </row>
    <row r="4898" spans="3:11" s="114" customFormat="1" x14ac:dyDescent="0.3">
      <c r="C4898" s="108" t="s">
        <v>202</v>
      </c>
      <c r="D4898" s="109" t="s">
        <v>948</v>
      </c>
      <c r="E4898" s="110" t="s">
        <v>949</v>
      </c>
      <c r="F4898" s="111">
        <v>1.1000000000000001</v>
      </c>
      <c r="G4898" s="112">
        <f>VLOOKUP(D4898,upahbahan,3,FALSE)</f>
        <v>24000</v>
      </c>
      <c r="H4898" s="112">
        <f t="shared" ref="H4898" si="533">F4898*G4898</f>
        <v>26400.000000000004</v>
      </c>
      <c r="I4898" s="113"/>
      <c r="J4898" s="4"/>
      <c r="K4898" s="4"/>
    </row>
    <row r="4899" spans="3:11" x14ac:dyDescent="0.3">
      <c r="C4899" s="21" t="s">
        <v>29</v>
      </c>
      <c r="D4899" s="22"/>
      <c r="E4899" s="22"/>
      <c r="F4899" s="22"/>
      <c r="G4899" s="28"/>
      <c r="H4899" s="19">
        <f>SUM(H4898:H4898)</f>
        <v>26400.000000000004</v>
      </c>
    </row>
    <row r="4900" spans="3:11" x14ac:dyDescent="0.25">
      <c r="C4900" s="12" t="s">
        <v>30</v>
      </c>
      <c r="D4900" s="13" t="s">
        <v>31</v>
      </c>
      <c r="E4900" s="14"/>
      <c r="F4900" s="14"/>
      <c r="G4900" s="14"/>
      <c r="H4900" s="14"/>
    </row>
    <row r="4901" spans="3:11" x14ac:dyDescent="0.3">
      <c r="C4901" s="21" t="s">
        <v>32</v>
      </c>
      <c r="D4901" s="77"/>
      <c r="E4901" s="77"/>
      <c r="F4901" s="77"/>
      <c r="G4901" s="28"/>
      <c r="H4901" s="29">
        <f>SUM(H4900)</f>
        <v>0</v>
      </c>
    </row>
    <row r="4902" spans="3:11" x14ac:dyDescent="0.3">
      <c r="C4902" s="30" t="s">
        <v>33</v>
      </c>
      <c r="D4902" s="31" t="s">
        <v>34</v>
      </c>
      <c r="E4902" s="32"/>
      <c r="F4902" s="32"/>
      <c r="G4902" s="33"/>
      <c r="H4902" s="46">
        <f>H4901+H4899+H4896</f>
        <v>38315</v>
      </c>
      <c r="I4902" s="47"/>
    </row>
    <row r="4903" spans="3:11" x14ac:dyDescent="0.3">
      <c r="C4903" s="30" t="s">
        <v>35</v>
      </c>
      <c r="D4903" s="31" t="s">
        <v>36</v>
      </c>
      <c r="E4903" s="32"/>
      <c r="F4903" s="33"/>
      <c r="G4903" s="34">
        <f>$M$9</f>
        <v>0.1</v>
      </c>
      <c r="H4903" s="19">
        <f>H4902*G4903</f>
        <v>3831.5</v>
      </c>
      <c r="I4903" s="47"/>
    </row>
    <row r="4904" spans="3:11" x14ac:dyDescent="0.3">
      <c r="C4904" s="30" t="s">
        <v>37</v>
      </c>
      <c r="D4904" s="31" t="s">
        <v>38</v>
      </c>
      <c r="E4904" s="32"/>
      <c r="F4904" s="32"/>
      <c r="G4904" s="33"/>
      <c r="H4904" s="48">
        <f>SUM(H4902:H4903)</f>
        <v>42146.5</v>
      </c>
      <c r="I4904" s="47"/>
    </row>
    <row r="4906" spans="3:11" x14ac:dyDescent="0.3">
      <c r="C4906" s="56" t="s">
        <v>950</v>
      </c>
      <c r="D4906" s="69" t="s">
        <v>951</v>
      </c>
      <c r="E4906" s="58"/>
      <c r="F4906" s="58"/>
      <c r="G4906" s="58"/>
      <c r="H4906" s="58"/>
      <c r="I4906" s="10">
        <f>ROUNDDOWN(H4921,0)</f>
        <v>53036</v>
      </c>
      <c r="J4906" s="15"/>
      <c r="K4906" s="39"/>
    </row>
    <row r="4907" spans="3:11" ht="27.6" x14ac:dyDescent="0.3">
      <c r="C4907" s="11" t="s">
        <v>9</v>
      </c>
      <c r="D4907" s="11" t="s">
        <v>10</v>
      </c>
      <c r="E4907" s="11" t="s">
        <v>11</v>
      </c>
      <c r="F4907" s="11" t="s">
        <v>12</v>
      </c>
      <c r="G4907" s="11" t="s">
        <v>13</v>
      </c>
      <c r="H4907" s="11" t="s">
        <v>14</v>
      </c>
    </row>
    <row r="4908" spans="3:11" x14ac:dyDescent="0.25">
      <c r="C4908" s="12" t="s">
        <v>15</v>
      </c>
      <c r="D4908" s="13" t="s">
        <v>16</v>
      </c>
      <c r="E4908" s="14"/>
      <c r="F4908" s="14"/>
      <c r="G4908" s="14"/>
      <c r="H4908" s="14"/>
    </row>
    <row r="4909" spans="3:11" x14ac:dyDescent="0.3">
      <c r="C4909" s="16">
        <v>1</v>
      </c>
      <c r="D4909" s="13" t="s">
        <v>18</v>
      </c>
      <c r="E4909" s="17" t="s">
        <v>19</v>
      </c>
      <c r="F4909" s="18">
        <v>3.1E-2</v>
      </c>
      <c r="G4909" s="19">
        <f>VLOOKUP(D4909,upahbahan,3,FALSE)</f>
        <v>100000</v>
      </c>
      <c r="H4909" s="19">
        <f t="shared" ref="H4909:H4912" si="534">F4909*G4909</f>
        <v>3100</v>
      </c>
    </row>
    <row r="4910" spans="3:11" x14ac:dyDescent="0.3">
      <c r="C4910" s="16">
        <v>2</v>
      </c>
      <c r="D4910" s="13" t="s">
        <v>214</v>
      </c>
      <c r="E4910" s="17" t="s">
        <v>19</v>
      </c>
      <c r="F4910" s="18">
        <v>5.1999999999999998E-2</v>
      </c>
      <c r="G4910" s="19">
        <f>VLOOKUP(D4910,upahbahan,3,FALSE)</f>
        <v>145000</v>
      </c>
      <c r="H4910" s="19">
        <f t="shared" si="534"/>
        <v>7540</v>
      </c>
    </row>
    <row r="4911" spans="3:11" x14ac:dyDescent="0.3">
      <c r="C4911" s="16">
        <v>3</v>
      </c>
      <c r="D4911" s="13" t="s">
        <v>22</v>
      </c>
      <c r="E4911" s="17" t="s">
        <v>19</v>
      </c>
      <c r="F4911" s="18">
        <v>5.0000000000000001E-3</v>
      </c>
      <c r="G4911" s="19">
        <f>VLOOKUP(D4911,upahbahan,3,FALSE)</f>
        <v>175000</v>
      </c>
      <c r="H4911" s="19">
        <f t="shared" si="534"/>
        <v>875</v>
      </c>
    </row>
    <row r="4912" spans="3:11" x14ac:dyDescent="0.3">
      <c r="C4912" s="16">
        <v>4</v>
      </c>
      <c r="D4912" s="13" t="s">
        <v>23</v>
      </c>
      <c r="E4912" s="17" t="s">
        <v>19</v>
      </c>
      <c r="F4912" s="18">
        <v>2E-3</v>
      </c>
      <c r="G4912" s="19">
        <f>VLOOKUP(D4912,upahbahan,3,FALSE)</f>
        <v>200000</v>
      </c>
      <c r="H4912" s="19">
        <f t="shared" si="534"/>
        <v>400</v>
      </c>
    </row>
    <row r="4913" spans="3:11" x14ac:dyDescent="0.3">
      <c r="C4913" s="21" t="s">
        <v>24</v>
      </c>
      <c r="D4913" s="22"/>
      <c r="E4913" s="22"/>
      <c r="F4913" s="54"/>
      <c r="G4913" s="24"/>
      <c r="H4913" s="19">
        <f>SUM(H4909:H4912)</f>
        <v>11915</v>
      </c>
      <c r="I4913" s="25"/>
    </row>
    <row r="4914" spans="3:11" x14ac:dyDescent="0.25">
      <c r="C4914" s="12" t="s">
        <v>25</v>
      </c>
      <c r="D4914" s="13" t="s">
        <v>26</v>
      </c>
      <c r="E4914" s="14"/>
      <c r="F4914" s="55"/>
      <c r="G4914" s="14"/>
      <c r="H4914" s="14"/>
    </row>
    <row r="4915" spans="3:11" s="114" customFormat="1" x14ac:dyDescent="0.3">
      <c r="C4915" s="108" t="s">
        <v>202</v>
      </c>
      <c r="D4915" s="109" t="s">
        <v>952</v>
      </c>
      <c r="E4915" s="110" t="s">
        <v>949</v>
      </c>
      <c r="F4915" s="111">
        <v>1.1000000000000001</v>
      </c>
      <c r="G4915" s="112">
        <f>VLOOKUP(D4915,upahbahan,3,FALSE)</f>
        <v>33000</v>
      </c>
      <c r="H4915" s="112">
        <f t="shared" ref="H4915" si="535">F4915*G4915</f>
        <v>36300</v>
      </c>
      <c r="I4915" s="113"/>
      <c r="J4915" s="4"/>
      <c r="K4915" s="4"/>
    </row>
    <row r="4916" spans="3:11" x14ac:dyDescent="0.3">
      <c r="C4916" s="21" t="s">
        <v>29</v>
      </c>
      <c r="D4916" s="22"/>
      <c r="E4916" s="22"/>
      <c r="F4916" s="22"/>
      <c r="G4916" s="28"/>
      <c r="H4916" s="19">
        <f>SUM(H4915:H4915)</f>
        <v>36300</v>
      </c>
    </row>
    <row r="4917" spans="3:11" x14ac:dyDescent="0.25">
      <c r="C4917" s="12" t="s">
        <v>30</v>
      </c>
      <c r="D4917" s="13" t="s">
        <v>31</v>
      </c>
      <c r="E4917" s="14"/>
      <c r="F4917" s="14"/>
      <c r="G4917" s="14"/>
      <c r="H4917" s="14"/>
    </row>
    <row r="4918" spans="3:11" x14ac:dyDescent="0.3">
      <c r="C4918" s="21" t="s">
        <v>32</v>
      </c>
      <c r="D4918" s="77"/>
      <c r="E4918" s="77"/>
      <c r="F4918" s="77"/>
      <c r="G4918" s="28"/>
      <c r="H4918" s="29">
        <f>SUM(H4917)</f>
        <v>0</v>
      </c>
    </row>
    <row r="4919" spans="3:11" x14ac:dyDescent="0.3">
      <c r="C4919" s="30" t="s">
        <v>33</v>
      </c>
      <c r="D4919" s="31" t="s">
        <v>34</v>
      </c>
      <c r="E4919" s="32"/>
      <c r="F4919" s="32"/>
      <c r="G4919" s="33"/>
      <c r="H4919" s="46">
        <f>H4918+H4916+H4913</f>
        <v>48215</v>
      </c>
      <c r="I4919" s="47"/>
    </row>
    <row r="4920" spans="3:11" x14ac:dyDescent="0.3">
      <c r="C4920" s="30" t="s">
        <v>35</v>
      </c>
      <c r="D4920" s="31" t="s">
        <v>36</v>
      </c>
      <c r="E4920" s="32"/>
      <c r="F4920" s="33"/>
      <c r="G4920" s="34">
        <f>$M$9</f>
        <v>0.1</v>
      </c>
      <c r="H4920" s="19">
        <f>H4919*G4920</f>
        <v>4821.5</v>
      </c>
      <c r="I4920" s="47"/>
    </row>
    <row r="4921" spans="3:11" x14ac:dyDescent="0.3">
      <c r="C4921" s="30" t="s">
        <v>37</v>
      </c>
      <c r="D4921" s="31" t="s">
        <v>38</v>
      </c>
      <c r="E4921" s="32"/>
      <c r="F4921" s="32"/>
      <c r="G4921" s="33"/>
      <c r="H4921" s="48">
        <f>SUM(H4919:H4920)</f>
        <v>53036.5</v>
      </c>
      <c r="I4921" s="47"/>
    </row>
    <row r="4923" spans="3:11" x14ac:dyDescent="0.3">
      <c r="C4923" s="40" t="s">
        <v>953</v>
      </c>
      <c r="D4923" s="68" t="s">
        <v>954</v>
      </c>
      <c r="E4923" s="44"/>
      <c r="F4923" s="44"/>
      <c r="G4923" s="44"/>
      <c r="H4923" s="44"/>
      <c r="I4923" s="10">
        <f>ROUNDDOWN(H4938,0)</f>
        <v>105066</v>
      </c>
      <c r="J4923" s="15"/>
      <c r="K4923" s="39"/>
    </row>
    <row r="4924" spans="3:11" ht="27.6" x14ac:dyDescent="0.3">
      <c r="C4924" s="11" t="s">
        <v>9</v>
      </c>
      <c r="D4924" s="11" t="s">
        <v>10</v>
      </c>
      <c r="E4924" s="11" t="s">
        <v>11</v>
      </c>
      <c r="F4924" s="11" t="s">
        <v>12</v>
      </c>
      <c r="G4924" s="11" t="s">
        <v>13</v>
      </c>
      <c r="H4924" s="11" t="s">
        <v>14</v>
      </c>
    </row>
    <row r="4925" spans="3:11" x14ac:dyDescent="0.25">
      <c r="C4925" s="12" t="s">
        <v>15</v>
      </c>
      <c r="D4925" s="13" t="s">
        <v>16</v>
      </c>
      <c r="E4925" s="14"/>
      <c r="F4925" s="14"/>
      <c r="G4925" s="14"/>
      <c r="H4925" s="14"/>
    </row>
    <row r="4926" spans="3:11" x14ac:dyDescent="0.3">
      <c r="C4926" s="16">
        <v>1</v>
      </c>
      <c r="D4926" s="13" t="s">
        <v>18</v>
      </c>
      <c r="E4926" s="17" t="s">
        <v>19</v>
      </c>
      <c r="F4926" s="18">
        <v>3.1E-2</v>
      </c>
      <c r="G4926" s="19">
        <f>VLOOKUP(D4926,upahbahan,3,FALSE)</f>
        <v>100000</v>
      </c>
      <c r="H4926" s="19">
        <f t="shared" ref="H4926:H4929" si="536">F4926*G4926</f>
        <v>3100</v>
      </c>
    </row>
    <row r="4927" spans="3:11" x14ac:dyDescent="0.3">
      <c r="C4927" s="16">
        <v>2</v>
      </c>
      <c r="D4927" s="13" t="s">
        <v>214</v>
      </c>
      <c r="E4927" s="17" t="s">
        <v>19</v>
      </c>
      <c r="F4927" s="18">
        <v>5.1999999999999998E-2</v>
      </c>
      <c r="G4927" s="19">
        <f>VLOOKUP(D4927,upahbahan,3,FALSE)</f>
        <v>145000</v>
      </c>
      <c r="H4927" s="19">
        <f t="shared" si="536"/>
        <v>7540</v>
      </c>
    </row>
    <row r="4928" spans="3:11" x14ac:dyDescent="0.3">
      <c r="C4928" s="16">
        <v>3</v>
      </c>
      <c r="D4928" s="13" t="s">
        <v>22</v>
      </c>
      <c r="E4928" s="17" t="s">
        <v>19</v>
      </c>
      <c r="F4928" s="18">
        <v>5.0000000000000001E-3</v>
      </c>
      <c r="G4928" s="19">
        <f>VLOOKUP(D4928,upahbahan,3,FALSE)</f>
        <v>175000</v>
      </c>
      <c r="H4928" s="19">
        <f t="shared" si="536"/>
        <v>875</v>
      </c>
    </row>
    <row r="4929" spans="3:11" x14ac:dyDescent="0.3">
      <c r="C4929" s="16">
        <v>4</v>
      </c>
      <c r="D4929" s="13" t="s">
        <v>23</v>
      </c>
      <c r="E4929" s="17" t="s">
        <v>19</v>
      </c>
      <c r="F4929" s="18">
        <v>2E-3</v>
      </c>
      <c r="G4929" s="19">
        <f>VLOOKUP(D4929,upahbahan,3,FALSE)</f>
        <v>200000</v>
      </c>
      <c r="H4929" s="19">
        <f t="shared" si="536"/>
        <v>400</v>
      </c>
    </row>
    <row r="4930" spans="3:11" x14ac:dyDescent="0.3">
      <c r="C4930" s="21" t="s">
        <v>24</v>
      </c>
      <c r="D4930" s="22"/>
      <c r="E4930" s="22"/>
      <c r="F4930" s="54"/>
      <c r="G4930" s="24"/>
      <c r="H4930" s="19">
        <f>SUM(H4926:H4929)</f>
        <v>11915</v>
      </c>
      <c r="I4930" s="25"/>
    </row>
    <row r="4931" spans="3:11" x14ac:dyDescent="0.25">
      <c r="C4931" s="12" t="s">
        <v>25</v>
      </c>
      <c r="D4931" s="13" t="s">
        <v>26</v>
      </c>
      <c r="E4931" s="14"/>
      <c r="F4931" s="55"/>
      <c r="G4931" s="14"/>
      <c r="H4931" s="14"/>
    </row>
    <row r="4932" spans="3:11" s="114" customFormat="1" x14ac:dyDescent="0.3">
      <c r="C4932" s="108" t="s">
        <v>202</v>
      </c>
      <c r="D4932" s="109" t="s">
        <v>955</v>
      </c>
      <c r="E4932" s="110" t="s">
        <v>949</v>
      </c>
      <c r="F4932" s="111">
        <v>1.1000000000000001</v>
      </c>
      <c r="G4932" s="112">
        <f>VLOOKUP(D4932,upahbahan,3,FALSE)</f>
        <v>76000</v>
      </c>
      <c r="H4932" s="112">
        <f t="shared" ref="H4932" si="537">F4932*G4932</f>
        <v>83600</v>
      </c>
      <c r="I4932" s="113"/>
      <c r="J4932" s="4"/>
      <c r="K4932" s="4"/>
    </row>
    <row r="4933" spans="3:11" x14ac:dyDescent="0.3">
      <c r="C4933" s="21" t="s">
        <v>29</v>
      </c>
      <c r="D4933" s="22"/>
      <c r="E4933" s="22"/>
      <c r="F4933" s="22"/>
      <c r="G4933" s="28"/>
      <c r="H4933" s="19">
        <f>SUM(H4932:H4932)</f>
        <v>83600</v>
      </c>
    </row>
    <row r="4934" spans="3:11" x14ac:dyDescent="0.25">
      <c r="C4934" s="12" t="s">
        <v>30</v>
      </c>
      <c r="D4934" s="13" t="s">
        <v>31</v>
      </c>
      <c r="E4934" s="14"/>
      <c r="F4934" s="14"/>
      <c r="G4934" s="14"/>
      <c r="H4934" s="14"/>
    </row>
    <row r="4935" spans="3:11" x14ac:dyDescent="0.3">
      <c r="C4935" s="21" t="s">
        <v>32</v>
      </c>
      <c r="D4935" s="77"/>
      <c r="E4935" s="77"/>
      <c r="F4935" s="77"/>
      <c r="G4935" s="28"/>
      <c r="H4935" s="29">
        <f>SUM(H4934)</f>
        <v>0</v>
      </c>
    </row>
    <row r="4936" spans="3:11" x14ac:dyDescent="0.3">
      <c r="C4936" s="30" t="s">
        <v>33</v>
      </c>
      <c r="D4936" s="31" t="s">
        <v>34</v>
      </c>
      <c r="E4936" s="32"/>
      <c r="F4936" s="32"/>
      <c r="G4936" s="33"/>
      <c r="H4936" s="46">
        <f>H4935+H4933+H4930</f>
        <v>95515</v>
      </c>
      <c r="I4936" s="47"/>
    </row>
    <row r="4937" spans="3:11" x14ac:dyDescent="0.3">
      <c r="C4937" s="30" t="s">
        <v>35</v>
      </c>
      <c r="D4937" s="31" t="s">
        <v>36</v>
      </c>
      <c r="E4937" s="32"/>
      <c r="F4937" s="33"/>
      <c r="G4937" s="34">
        <f>$M$9</f>
        <v>0.1</v>
      </c>
      <c r="H4937" s="19">
        <f>H4936*G4937</f>
        <v>9551.5</v>
      </c>
      <c r="I4937" s="47"/>
    </row>
    <row r="4938" spans="3:11" x14ac:dyDescent="0.3">
      <c r="C4938" s="30" t="s">
        <v>37</v>
      </c>
      <c r="D4938" s="31" t="s">
        <v>38</v>
      </c>
      <c r="E4938" s="32"/>
      <c r="F4938" s="32"/>
      <c r="G4938" s="33"/>
      <c r="H4938" s="48">
        <f>SUM(H4936:H4937)</f>
        <v>105066.5</v>
      </c>
      <c r="I4938" s="47"/>
    </row>
    <row r="4940" spans="3:11" x14ac:dyDescent="0.3">
      <c r="C4940" s="40" t="s">
        <v>956</v>
      </c>
      <c r="D4940" s="68" t="s">
        <v>957</v>
      </c>
      <c r="E4940" s="44"/>
      <c r="F4940" s="44"/>
      <c r="G4940" s="44"/>
      <c r="H4940" s="44"/>
      <c r="I4940" s="10">
        <f>ROUNDDOWN(H4955,0)</f>
        <v>161628</v>
      </c>
      <c r="J4940" s="15"/>
      <c r="K4940" s="39"/>
    </row>
    <row r="4941" spans="3:11" ht="27.6" x14ac:dyDescent="0.3">
      <c r="C4941" s="11" t="s">
        <v>9</v>
      </c>
      <c r="D4941" s="11" t="s">
        <v>10</v>
      </c>
      <c r="E4941" s="11" t="s">
        <v>11</v>
      </c>
      <c r="F4941" s="11" t="s">
        <v>12</v>
      </c>
      <c r="G4941" s="11" t="s">
        <v>13</v>
      </c>
      <c r="H4941" s="11" t="s">
        <v>14</v>
      </c>
    </row>
    <row r="4942" spans="3:11" x14ac:dyDescent="0.25">
      <c r="C4942" s="12" t="s">
        <v>15</v>
      </c>
      <c r="D4942" s="13" t="s">
        <v>16</v>
      </c>
      <c r="E4942" s="14"/>
      <c r="F4942" s="14"/>
      <c r="G4942" s="14"/>
      <c r="H4942" s="14"/>
    </row>
    <row r="4943" spans="3:11" x14ac:dyDescent="0.3">
      <c r="C4943" s="16">
        <v>1</v>
      </c>
      <c r="D4943" s="13" t="s">
        <v>18</v>
      </c>
      <c r="E4943" s="17" t="s">
        <v>19</v>
      </c>
      <c r="F4943" s="18">
        <v>7.3999999999999996E-2</v>
      </c>
      <c r="G4943" s="19">
        <f>VLOOKUP(D4943,upahbahan,3,FALSE)</f>
        <v>100000</v>
      </c>
      <c r="H4943" s="19">
        <f t="shared" ref="H4943:H4946" si="538">F4943*G4943</f>
        <v>7400</v>
      </c>
    </row>
    <row r="4944" spans="3:11" x14ac:dyDescent="0.3">
      <c r="C4944" s="16">
        <v>2</v>
      </c>
      <c r="D4944" s="13" t="s">
        <v>214</v>
      </c>
      <c r="E4944" s="17" t="s">
        <v>19</v>
      </c>
      <c r="F4944" s="18">
        <v>0.123</v>
      </c>
      <c r="G4944" s="19">
        <f>VLOOKUP(D4944,upahbahan,3,FALSE)</f>
        <v>145000</v>
      </c>
      <c r="H4944" s="19">
        <f t="shared" si="538"/>
        <v>17835</v>
      </c>
    </row>
    <row r="4945" spans="3:11" x14ac:dyDescent="0.3">
      <c r="C4945" s="16">
        <v>3</v>
      </c>
      <c r="D4945" s="13" t="s">
        <v>22</v>
      </c>
      <c r="E4945" s="17" t="s">
        <v>19</v>
      </c>
      <c r="F4945" s="18">
        <v>1.2E-2</v>
      </c>
      <c r="G4945" s="19">
        <f>VLOOKUP(D4945,upahbahan,3,FALSE)</f>
        <v>175000</v>
      </c>
      <c r="H4945" s="19">
        <f t="shared" si="538"/>
        <v>2100</v>
      </c>
    </row>
    <row r="4946" spans="3:11" x14ac:dyDescent="0.3">
      <c r="C4946" s="16">
        <v>4</v>
      </c>
      <c r="D4946" s="13" t="s">
        <v>23</v>
      </c>
      <c r="E4946" s="17" t="s">
        <v>19</v>
      </c>
      <c r="F4946" s="18">
        <v>4.0000000000000001E-3</v>
      </c>
      <c r="G4946" s="19">
        <f>VLOOKUP(D4946,upahbahan,3,FALSE)</f>
        <v>200000</v>
      </c>
      <c r="H4946" s="19">
        <f t="shared" si="538"/>
        <v>800</v>
      </c>
    </row>
    <row r="4947" spans="3:11" x14ac:dyDescent="0.3">
      <c r="C4947" s="21" t="s">
        <v>24</v>
      </c>
      <c r="D4947" s="22"/>
      <c r="E4947" s="22"/>
      <c r="F4947" s="54"/>
      <c r="G4947" s="24"/>
      <c r="H4947" s="19">
        <f>SUM(H4943:H4946)</f>
        <v>28135</v>
      </c>
      <c r="I4947" s="25"/>
    </row>
    <row r="4948" spans="3:11" x14ac:dyDescent="0.25">
      <c r="C4948" s="12" t="s">
        <v>25</v>
      </c>
      <c r="D4948" s="13" t="s">
        <v>26</v>
      </c>
      <c r="E4948" s="14"/>
      <c r="F4948" s="55"/>
      <c r="G4948" s="14"/>
      <c r="H4948" s="14"/>
    </row>
    <row r="4949" spans="3:11" s="114" customFormat="1" x14ac:dyDescent="0.3">
      <c r="C4949" s="108" t="s">
        <v>202</v>
      </c>
      <c r="D4949" s="109" t="s">
        <v>958</v>
      </c>
      <c r="E4949" s="110" t="s">
        <v>949</v>
      </c>
      <c r="F4949" s="111">
        <v>1.1000000000000001</v>
      </c>
      <c r="G4949" s="112">
        <f>VLOOKUP(D4949,upahbahan,3,FALSE)</f>
        <v>108000</v>
      </c>
      <c r="H4949" s="112">
        <f t="shared" ref="H4949" si="539">F4949*G4949</f>
        <v>118800.00000000001</v>
      </c>
      <c r="I4949" s="113"/>
      <c r="J4949" s="4"/>
      <c r="K4949" s="4"/>
    </row>
    <row r="4950" spans="3:11" x14ac:dyDescent="0.3">
      <c r="C4950" s="21" t="s">
        <v>29</v>
      </c>
      <c r="D4950" s="22"/>
      <c r="E4950" s="22"/>
      <c r="F4950" s="22"/>
      <c r="G4950" s="28"/>
      <c r="H4950" s="19">
        <f>SUM(H4949:H4949)</f>
        <v>118800.00000000001</v>
      </c>
    </row>
    <row r="4951" spans="3:11" x14ac:dyDescent="0.25">
      <c r="C4951" s="12" t="s">
        <v>30</v>
      </c>
      <c r="D4951" s="13" t="s">
        <v>31</v>
      </c>
      <c r="E4951" s="14"/>
      <c r="F4951" s="14"/>
      <c r="G4951" s="14"/>
      <c r="H4951" s="14"/>
    </row>
    <row r="4952" spans="3:11" x14ac:dyDescent="0.3">
      <c r="C4952" s="21" t="s">
        <v>32</v>
      </c>
      <c r="D4952" s="77"/>
      <c r="E4952" s="77"/>
      <c r="F4952" s="77"/>
      <c r="G4952" s="28"/>
      <c r="H4952" s="29">
        <f>SUM(H4951)</f>
        <v>0</v>
      </c>
    </row>
    <row r="4953" spans="3:11" x14ac:dyDescent="0.3">
      <c r="C4953" s="30" t="s">
        <v>33</v>
      </c>
      <c r="D4953" s="31" t="s">
        <v>34</v>
      </c>
      <c r="E4953" s="32"/>
      <c r="F4953" s="32"/>
      <c r="G4953" s="33"/>
      <c r="H4953" s="46">
        <f>H4952+H4950+H4947</f>
        <v>146935</v>
      </c>
      <c r="I4953" s="47"/>
    </row>
    <row r="4954" spans="3:11" x14ac:dyDescent="0.3">
      <c r="C4954" s="30" t="s">
        <v>35</v>
      </c>
      <c r="D4954" s="31" t="s">
        <v>36</v>
      </c>
      <c r="E4954" s="32"/>
      <c r="F4954" s="33"/>
      <c r="G4954" s="34">
        <f>$M$9</f>
        <v>0.1</v>
      </c>
      <c r="H4954" s="19">
        <f>H4953*G4954</f>
        <v>14693.5</v>
      </c>
      <c r="I4954" s="47"/>
    </row>
    <row r="4955" spans="3:11" x14ac:dyDescent="0.3">
      <c r="C4955" s="30" t="s">
        <v>37</v>
      </c>
      <c r="D4955" s="31" t="s">
        <v>38</v>
      </c>
      <c r="E4955" s="32"/>
      <c r="F4955" s="32"/>
      <c r="G4955" s="33"/>
      <c r="H4955" s="48">
        <f>SUM(H4953:H4954)</f>
        <v>161628.5</v>
      </c>
      <c r="I4955" s="47"/>
    </row>
    <row r="4957" spans="3:11" x14ac:dyDescent="0.3">
      <c r="C4957" s="40" t="s">
        <v>959</v>
      </c>
      <c r="D4957" s="68" t="s">
        <v>960</v>
      </c>
      <c r="E4957" s="44"/>
      <c r="F4957" s="44"/>
      <c r="G4957" s="44"/>
      <c r="H4957" s="44"/>
      <c r="I4957" s="10">
        <f>ROUNDDOWN(H4972,0)</f>
        <v>191768</v>
      </c>
      <c r="J4957" s="15"/>
      <c r="K4957" s="39"/>
    </row>
    <row r="4958" spans="3:11" ht="27.6" x14ac:dyDescent="0.3">
      <c r="C4958" s="11" t="s">
        <v>9</v>
      </c>
      <c r="D4958" s="11" t="s">
        <v>10</v>
      </c>
      <c r="E4958" s="11" t="s">
        <v>11</v>
      </c>
      <c r="F4958" s="11" t="s">
        <v>12</v>
      </c>
      <c r="G4958" s="11" t="s">
        <v>13</v>
      </c>
      <c r="H4958" s="11" t="s">
        <v>14</v>
      </c>
    </row>
    <row r="4959" spans="3:11" x14ac:dyDescent="0.25">
      <c r="C4959" s="12" t="s">
        <v>15</v>
      </c>
      <c r="D4959" s="13" t="s">
        <v>16</v>
      </c>
      <c r="E4959" s="14"/>
      <c r="F4959" s="14"/>
      <c r="G4959" s="14"/>
      <c r="H4959" s="14"/>
    </row>
    <row r="4960" spans="3:11" x14ac:dyDescent="0.3">
      <c r="C4960" s="16">
        <v>1</v>
      </c>
      <c r="D4960" s="13" t="s">
        <v>18</v>
      </c>
      <c r="E4960" s="17" t="s">
        <v>19</v>
      </c>
      <c r="F4960" s="18">
        <v>0.14499999999999999</v>
      </c>
      <c r="G4960" s="19">
        <f>VLOOKUP(D4960,upahbahan,3,FALSE)</f>
        <v>100000</v>
      </c>
      <c r="H4960" s="19">
        <f t="shared" ref="H4960:H4963" si="540">F4960*G4960</f>
        <v>14499.999999999998</v>
      </c>
    </row>
    <row r="4961" spans="3:11" x14ac:dyDescent="0.3">
      <c r="C4961" s="16">
        <v>2</v>
      </c>
      <c r="D4961" s="13" t="s">
        <v>214</v>
      </c>
      <c r="E4961" s="17" t="s">
        <v>19</v>
      </c>
      <c r="F4961" s="18">
        <v>0.24299999999999999</v>
      </c>
      <c r="G4961" s="19">
        <f>VLOOKUP(D4961,upahbahan,3,FALSE)</f>
        <v>145000</v>
      </c>
      <c r="H4961" s="19">
        <f t="shared" si="540"/>
        <v>35235</v>
      </c>
    </row>
    <row r="4962" spans="3:11" x14ac:dyDescent="0.3">
      <c r="C4962" s="16">
        <v>3</v>
      </c>
      <c r="D4962" s="13" t="s">
        <v>22</v>
      </c>
      <c r="E4962" s="17" t="s">
        <v>19</v>
      </c>
      <c r="F4962" s="18">
        <v>2.4E-2</v>
      </c>
      <c r="G4962" s="19">
        <f>VLOOKUP(D4962,upahbahan,3,FALSE)</f>
        <v>175000</v>
      </c>
      <c r="H4962" s="19">
        <f t="shared" si="540"/>
        <v>4200</v>
      </c>
    </row>
    <row r="4963" spans="3:11" x14ac:dyDescent="0.3">
      <c r="C4963" s="16">
        <v>4</v>
      </c>
      <c r="D4963" s="13" t="s">
        <v>23</v>
      </c>
      <c r="E4963" s="17" t="s">
        <v>19</v>
      </c>
      <c r="F4963" s="18">
        <v>8.0000000000000002E-3</v>
      </c>
      <c r="G4963" s="19">
        <f>VLOOKUP(D4963,upahbahan,3,FALSE)</f>
        <v>200000</v>
      </c>
      <c r="H4963" s="19">
        <f t="shared" si="540"/>
        <v>1600</v>
      </c>
    </row>
    <row r="4964" spans="3:11" x14ac:dyDescent="0.3">
      <c r="C4964" s="21" t="s">
        <v>24</v>
      </c>
      <c r="D4964" s="22"/>
      <c r="E4964" s="22"/>
      <c r="F4964" s="54"/>
      <c r="G4964" s="24"/>
      <c r="H4964" s="19">
        <f>SUM(H4960:H4963)</f>
        <v>55535</v>
      </c>
      <c r="I4964" s="25"/>
    </row>
    <row r="4965" spans="3:11" x14ac:dyDescent="0.25">
      <c r="C4965" s="12" t="s">
        <v>25</v>
      </c>
      <c r="D4965" s="13" t="s">
        <v>26</v>
      </c>
      <c r="E4965" s="14"/>
      <c r="F4965" s="55"/>
      <c r="G4965" s="14"/>
      <c r="H4965" s="14"/>
    </row>
    <row r="4966" spans="3:11" s="114" customFormat="1" x14ac:dyDescent="0.3">
      <c r="C4966" s="108" t="s">
        <v>202</v>
      </c>
      <c r="D4966" s="109" t="s">
        <v>958</v>
      </c>
      <c r="E4966" s="110" t="s">
        <v>949</v>
      </c>
      <c r="F4966" s="111">
        <v>1.1000000000000001</v>
      </c>
      <c r="G4966" s="112">
        <f>VLOOKUP(D4966,upahbahan,3,FALSE)</f>
        <v>108000</v>
      </c>
      <c r="H4966" s="112">
        <f t="shared" ref="H4966" si="541">F4966*G4966</f>
        <v>118800.00000000001</v>
      </c>
      <c r="I4966" s="113"/>
      <c r="J4966" s="4"/>
      <c r="K4966" s="4"/>
    </row>
    <row r="4967" spans="3:11" x14ac:dyDescent="0.3">
      <c r="C4967" s="21" t="s">
        <v>29</v>
      </c>
      <c r="D4967" s="22"/>
      <c r="E4967" s="22"/>
      <c r="F4967" s="22"/>
      <c r="G4967" s="28"/>
      <c r="H4967" s="19">
        <f>SUM(H4966:H4966)</f>
        <v>118800.00000000001</v>
      </c>
    </row>
    <row r="4968" spans="3:11" x14ac:dyDescent="0.25">
      <c r="C4968" s="12" t="s">
        <v>30</v>
      </c>
      <c r="D4968" s="13" t="s">
        <v>31</v>
      </c>
      <c r="E4968" s="14"/>
      <c r="F4968" s="14"/>
      <c r="G4968" s="14"/>
      <c r="H4968" s="14"/>
    </row>
    <row r="4969" spans="3:11" x14ac:dyDescent="0.3">
      <c r="C4969" s="21" t="s">
        <v>32</v>
      </c>
      <c r="D4969" s="77"/>
      <c r="E4969" s="77"/>
      <c r="F4969" s="77"/>
      <c r="G4969" s="28"/>
      <c r="H4969" s="29">
        <f>SUM(H4968)</f>
        <v>0</v>
      </c>
    </row>
    <row r="4970" spans="3:11" x14ac:dyDescent="0.3">
      <c r="C4970" s="30" t="s">
        <v>33</v>
      </c>
      <c r="D4970" s="31" t="s">
        <v>34</v>
      </c>
      <c r="E4970" s="32"/>
      <c r="F4970" s="32"/>
      <c r="G4970" s="33"/>
      <c r="H4970" s="46">
        <f>H4969+H4967+H4964</f>
        <v>174335</v>
      </c>
      <c r="I4970" s="47"/>
    </row>
    <row r="4971" spans="3:11" x14ac:dyDescent="0.3">
      <c r="C4971" s="30" t="s">
        <v>35</v>
      </c>
      <c r="D4971" s="31" t="s">
        <v>36</v>
      </c>
      <c r="E4971" s="32"/>
      <c r="F4971" s="33"/>
      <c r="G4971" s="34">
        <f>$M$9</f>
        <v>0.1</v>
      </c>
      <c r="H4971" s="19">
        <f>H4970*G4971</f>
        <v>17433.5</v>
      </c>
      <c r="I4971" s="47"/>
    </row>
    <row r="4972" spans="3:11" x14ac:dyDescent="0.3">
      <c r="C4972" s="30" t="s">
        <v>37</v>
      </c>
      <c r="D4972" s="31" t="s">
        <v>38</v>
      </c>
      <c r="E4972" s="32"/>
      <c r="F4972" s="32"/>
      <c r="G4972" s="33"/>
      <c r="H4972" s="48">
        <f>SUM(H4970:H4971)</f>
        <v>191768.5</v>
      </c>
      <c r="I4972" s="47"/>
    </row>
    <row r="4974" spans="3:11" x14ac:dyDescent="0.3">
      <c r="C4974" s="40" t="s">
        <v>961</v>
      </c>
      <c r="D4974" s="68" t="s">
        <v>962</v>
      </c>
      <c r="E4974" s="44"/>
      <c r="F4974" s="44"/>
      <c r="G4974" s="44"/>
      <c r="H4974" s="44"/>
      <c r="I4974" s="10">
        <f>ROUNDDOWN(H4989,0)</f>
        <v>222909</v>
      </c>
      <c r="J4974" s="15"/>
      <c r="K4974" s="39"/>
    </row>
    <row r="4975" spans="3:11" ht="27.6" x14ac:dyDescent="0.3">
      <c r="C4975" s="11" t="s">
        <v>9</v>
      </c>
      <c r="D4975" s="11" t="s">
        <v>10</v>
      </c>
      <c r="E4975" s="11" t="s">
        <v>11</v>
      </c>
      <c r="F4975" s="11" t="s">
        <v>12</v>
      </c>
      <c r="G4975" s="11" t="s">
        <v>13</v>
      </c>
      <c r="H4975" s="11" t="s">
        <v>14</v>
      </c>
    </row>
    <row r="4976" spans="3:11" x14ac:dyDescent="0.25">
      <c r="C4976" s="12" t="s">
        <v>15</v>
      </c>
      <c r="D4976" s="13" t="s">
        <v>16</v>
      </c>
      <c r="E4976" s="14"/>
      <c r="F4976" s="14"/>
      <c r="G4976" s="14"/>
      <c r="H4976" s="14"/>
    </row>
    <row r="4977" spans="3:11" x14ac:dyDescent="0.3">
      <c r="C4977" s="16">
        <v>1</v>
      </c>
      <c r="D4977" s="13" t="s">
        <v>18</v>
      </c>
      <c r="E4977" s="17" t="s">
        <v>19</v>
      </c>
      <c r="F4977" s="18">
        <v>0.219</v>
      </c>
      <c r="G4977" s="19">
        <f>VLOOKUP(D4977,upahbahan,3,FALSE)</f>
        <v>100000</v>
      </c>
      <c r="H4977" s="19">
        <f t="shared" ref="H4977:H4980" si="542">F4977*G4977</f>
        <v>21900</v>
      </c>
    </row>
    <row r="4978" spans="3:11" x14ac:dyDescent="0.3">
      <c r="C4978" s="16">
        <v>2</v>
      </c>
      <c r="D4978" s="13" t="s">
        <v>214</v>
      </c>
      <c r="E4978" s="17" t="s">
        <v>19</v>
      </c>
      <c r="F4978" s="18">
        <v>0.36599999999999999</v>
      </c>
      <c r="G4978" s="19">
        <f>VLOOKUP(D4978,upahbahan,3,FALSE)</f>
        <v>145000</v>
      </c>
      <c r="H4978" s="19">
        <f t="shared" si="542"/>
        <v>53070</v>
      </c>
    </row>
    <row r="4979" spans="3:11" x14ac:dyDescent="0.3">
      <c r="C4979" s="16">
        <v>3</v>
      </c>
      <c r="D4979" s="13" t="s">
        <v>22</v>
      </c>
      <c r="E4979" s="17" t="s">
        <v>19</v>
      </c>
      <c r="F4979" s="18">
        <v>3.6999999999999998E-2</v>
      </c>
      <c r="G4979" s="19">
        <f>VLOOKUP(D4979,upahbahan,3,FALSE)</f>
        <v>175000</v>
      </c>
      <c r="H4979" s="19">
        <f t="shared" si="542"/>
        <v>6475</v>
      </c>
    </row>
    <row r="4980" spans="3:11" x14ac:dyDescent="0.3">
      <c r="C4980" s="16">
        <v>4</v>
      </c>
      <c r="D4980" s="13" t="s">
        <v>23</v>
      </c>
      <c r="E4980" s="17" t="s">
        <v>19</v>
      </c>
      <c r="F4980" s="18">
        <v>1.2E-2</v>
      </c>
      <c r="G4980" s="19">
        <f>VLOOKUP(D4980,upahbahan,3,FALSE)</f>
        <v>200000</v>
      </c>
      <c r="H4980" s="19">
        <f t="shared" si="542"/>
        <v>2400</v>
      </c>
    </row>
    <row r="4981" spans="3:11" x14ac:dyDescent="0.3">
      <c r="C4981" s="21" t="s">
        <v>24</v>
      </c>
      <c r="D4981" s="22"/>
      <c r="E4981" s="22"/>
      <c r="F4981" s="54"/>
      <c r="G4981" s="24"/>
      <c r="H4981" s="19">
        <f>SUM(H4977:H4980)</f>
        <v>83845</v>
      </c>
      <c r="I4981" s="25"/>
    </row>
    <row r="4982" spans="3:11" x14ac:dyDescent="0.25">
      <c r="C4982" s="12" t="s">
        <v>25</v>
      </c>
      <c r="D4982" s="13" t="s">
        <v>26</v>
      </c>
      <c r="E4982" s="14"/>
      <c r="F4982" s="55"/>
      <c r="G4982" s="14"/>
      <c r="H4982" s="14"/>
    </row>
    <row r="4983" spans="3:11" s="114" customFormat="1" x14ac:dyDescent="0.3">
      <c r="C4983" s="108" t="s">
        <v>202</v>
      </c>
      <c r="D4983" s="109" t="s">
        <v>958</v>
      </c>
      <c r="E4983" s="110" t="s">
        <v>949</v>
      </c>
      <c r="F4983" s="111">
        <v>1.1000000000000001</v>
      </c>
      <c r="G4983" s="112">
        <f>VLOOKUP(D4983,upahbahan,3,FALSE)</f>
        <v>108000</v>
      </c>
      <c r="H4983" s="112">
        <f t="shared" ref="H4983" si="543">F4983*G4983</f>
        <v>118800.00000000001</v>
      </c>
      <c r="I4983" s="113"/>
      <c r="J4983" s="4"/>
      <c r="K4983" s="4"/>
    </row>
    <row r="4984" spans="3:11" x14ac:dyDescent="0.3">
      <c r="C4984" s="21" t="s">
        <v>29</v>
      </c>
      <c r="D4984" s="22"/>
      <c r="E4984" s="22"/>
      <c r="F4984" s="22"/>
      <c r="G4984" s="28"/>
      <c r="H4984" s="19">
        <f>SUM(H4983:H4983)</f>
        <v>118800.00000000001</v>
      </c>
    </row>
    <row r="4985" spans="3:11" x14ac:dyDescent="0.25">
      <c r="C4985" s="12" t="s">
        <v>30</v>
      </c>
      <c r="D4985" s="13" t="s">
        <v>31</v>
      </c>
      <c r="E4985" s="14"/>
      <c r="F4985" s="14"/>
      <c r="G4985" s="14"/>
      <c r="H4985" s="14"/>
    </row>
    <row r="4986" spans="3:11" x14ac:dyDescent="0.3">
      <c r="C4986" s="21" t="s">
        <v>32</v>
      </c>
      <c r="D4986" s="77"/>
      <c r="E4986" s="77"/>
      <c r="F4986" s="77"/>
      <c r="G4986" s="28"/>
      <c r="H4986" s="29">
        <f>SUM(H4985)</f>
        <v>0</v>
      </c>
    </row>
    <row r="4987" spans="3:11" x14ac:dyDescent="0.3">
      <c r="C4987" s="30" t="s">
        <v>33</v>
      </c>
      <c r="D4987" s="31" t="s">
        <v>34</v>
      </c>
      <c r="E4987" s="32"/>
      <c r="F4987" s="32"/>
      <c r="G4987" s="33"/>
      <c r="H4987" s="46">
        <f>H4986+H4984+H4981</f>
        <v>202645</v>
      </c>
      <c r="I4987" s="47"/>
    </row>
    <row r="4988" spans="3:11" x14ac:dyDescent="0.3">
      <c r="C4988" s="30" t="s">
        <v>35</v>
      </c>
      <c r="D4988" s="31" t="s">
        <v>36</v>
      </c>
      <c r="E4988" s="32"/>
      <c r="F4988" s="33"/>
      <c r="G4988" s="34">
        <f>$M$9</f>
        <v>0.1</v>
      </c>
      <c r="H4988" s="19">
        <f>H4987*G4988</f>
        <v>20264.5</v>
      </c>
      <c r="I4988" s="47"/>
    </row>
    <row r="4989" spans="3:11" x14ac:dyDescent="0.3">
      <c r="C4989" s="30" t="s">
        <v>37</v>
      </c>
      <c r="D4989" s="31" t="s">
        <v>38</v>
      </c>
      <c r="E4989" s="32"/>
      <c r="F4989" s="32"/>
      <c r="G4989" s="33"/>
      <c r="H4989" s="48">
        <f>SUM(H4987:H4988)</f>
        <v>222909.5</v>
      </c>
      <c r="I4989" s="47"/>
    </row>
    <row r="4991" spans="3:11" x14ac:dyDescent="0.3">
      <c r="C4991" s="40" t="s">
        <v>963</v>
      </c>
      <c r="D4991" s="68" t="s">
        <v>964</v>
      </c>
      <c r="E4991" s="44"/>
      <c r="F4991" s="44"/>
      <c r="G4991" s="44"/>
      <c r="H4991" s="44"/>
      <c r="I4991" s="10">
        <f>ROUNDDOWN(H5006,0)</f>
        <v>278888</v>
      </c>
      <c r="J4991" s="15"/>
      <c r="K4991" s="39"/>
    </row>
    <row r="4992" spans="3:11" ht="27.6" x14ac:dyDescent="0.3">
      <c r="C4992" s="11" t="s">
        <v>9</v>
      </c>
      <c r="D4992" s="11" t="s">
        <v>10</v>
      </c>
      <c r="E4992" s="11" t="s">
        <v>11</v>
      </c>
      <c r="F4992" s="11" t="s">
        <v>12</v>
      </c>
      <c r="G4992" s="11" t="s">
        <v>13</v>
      </c>
      <c r="H4992" s="11" t="s">
        <v>14</v>
      </c>
    </row>
    <row r="4993" spans="3:11" x14ac:dyDescent="0.25">
      <c r="C4993" s="12" t="s">
        <v>15</v>
      </c>
      <c r="D4993" s="13" t="s">
        <v>16</v>
      </c>
      <c r="E4993" s="14"/>
      <c r="F4993" s="14"/>
      <c r="G4993" s="14"/>
      <c r="H4993" s="14"/>
    </row>
    <row r="4994" spans="3:11" x14ac:dyDescent="0.3">
      <c r="C4994" s="16">
        <v>1</v>
      </c>
      <c r="D4994" s="13" t="s">
        <v>18</v>
      </c>
      <c r="E4994" s="17" t="s">
        <v>19</v>
      </c>
      <c r="F4994" s="18">
        <v>0.14499999999999999</v>
      </c>
      <c r="G4994" s="19">
        <f>VLOOKUP(D4994,upahbahan,3,FALSE)</f>
        <v>100000</v>
      </c>
      <c r="H4994" s="19">
        <f t="shared" ref="H4994:H4997" si="544">F4994*G4994</f>
        <v>14499.999999999998</v>
      </c>
    </row>
    <row r="4995" spans="3:11" x14ac:dyDescent="0.3">
      <c r="C4995" s="16">
        <v>2</v>
      </c>
      <c r="D4995" s="13" t="s">
        <v>214</v>
      </c>
      <c r="E4995" s="17" t="s">
        <v>19</v>
      </c>
      <c r="F4995" s="18">
        <v>0.24299999999999999</v>
      </c>
      <c r="G4995" s="19">
        <f>VLOOKUP(D4995,upahbahan,3,FALSE)</f>
        <v>145000</v>
      </c>
      <c r="H4995" s="19">
        <f t="shared" si="544"/>
        <v>35235</v>
      </c>
    </row>
    <row r="4996" spans="3:11" x14ac:dyDescent="0.3">
      <c r="C4996" s="16">
        <v>3</v>
      </c>
      <c r="D4996" s="13" t="s">
        <v>22</v>
      </c>
      <c r="E4996" s="17" t="s">
        <v>19</v>
      </c>
      <c r="F4996" s="18">
        <v>2.4E-2</v>
      </c>
      <c r="G4996" s="19">
        <f>VLOOKUP(D4996,upahbahan,3,FALSE)</f>
        <v>175000</v>
      </c>
      <c r="H4996" s="19">
        <f t="shared" si="544"/>
        <v>4200</v>
      </c>
    </row>
    <row r="4997" spans="3:11" x14ac:dyDescent="0.3">
      <c r="C4997" s="16">
        <v>4</v>
      </c>
      <c r="D4997" s="13" t="s">
        <v>23</v>
      </c>
      <c r="E4997" s="17" t="s">
        <v>19</v>
      </c>
      <c r="F4997" s="18">
        <v>8.0000000000000002E-3</v>
      </c>
      <c r="G4997" s="19">
        <f>VLOOKUP(D4997,upahbahan,3,FALSE)</f>
        <v>200000</v>
      </c>
      <c r="H4997" s="19">
        <f t="shared" si="544"/>
        <v>1600</v>
      </c>
    </row>
    <row r="4998" spans="3:11" x14ac:dyDescent="0.3">
      <c r="C4998" s="21" t="s">
        <v>24</v>
      </c>
      <c r="D4998" s="22"/>
      <c r="E4998" s="22"/>
      <c r="F4998" s="54"/>
      <c r="G4998" s="24"/>
      <c r="H4998" s="19">
        <f>SUM(H4994:H4997)</f>
        <v>55535</v>
      </c>
      <c r="I4998" s="25"/>
    </row>
    <row r="4999" spans="3:11" x14ac:dyDescent="0.25">
      <c r="C4999" s="12" t="s">
        <v>25</v>
      </c>
      <c r="D4999" s="13" t="s">
        <v>26</v>
      </c>
      <c r="E4999" s="14"/>
      <c r="F4999" s="55"/>
      <c r="G4999" s="14"/>
      <c r="H4999" s="14"/>
    </row>
    <row r="5000" spans="3:11" s="114" customFormat="1" x14ac:dyDescent="0.3">
      <c r="C5000" s="108" t="s">
        <v>202</v>
      </c>
      <c r="D5000" s="109" t="s">
        <v>965</v>
      </c>
      <c r="E5000" s="110" t="s">
        <v>949</v>
      </c>
      <c r="F5000" s="111">
        <v>1.1000000000000001</v>
      </c>
      <c r="G5000" s="112">
        <f>VLOOKUP(D5000,upahbahan,3,FALSE)</f>
        <v>180000</v>
      </c>
      <c r="H5000" s="112">
        <f t="shared" ref="H5000" si="545">F5000*G5000</f>
        <v>198000.00000000003</v>
      </c>
      <c r="I5000" s="113"/>
      <c r="J5000" s="4"/>
      <c r="K5000" s="4"/>
    </row>
    <row r="5001" spans="3:11" x14ac:dyDescent="0.3">
      <c r="C5001" s="21" t="s">
        <v>29</v>
      </c>
      <c r="D5001" s="22"/>
      <c r="E5001" s="22"/>
      <c r="F5001" s="22"/>
      <c r="G5001" s="28"/>
      <c r="H5001" s="19">
        <f>SUM(H5000:H5000)</f>
        <v>198000.00000000003</v>
      </c>
    </row>
    <row r="5002" spans="3:11" x14ac:dyDescent="0.25">
      <c r="C5002" s="12" t="s">
        <v>30</v>
      </c>
      <c r="D5002" s="13" t="s">
        <v>31</v>
      </c>
      <c r="E5002" s="14"/>
      <c r="F5002" s="14"/>
      <c r="G5002" s="14"/>
      <c r="H5002" s="14"/>
    </row>
    <row r="5003" spans="3:11" x14ac:dyDescent="0.3">
      <c r="C5003" s="21" t="s">
        <v>32</v>
      </c>
      <c r="D5003" s="77"/>
      <c r="E5003" s="77"/>
      <c r="F5003" s="77"/>
      <c r="G5003" s="28"/>
      <c r="H5003" s="29">
        <f>SUM(H5002)</f>
        <v>0</v>
      </c>
    </row>
    <row r="5004" spans="3:11" x14ac:dyDescent="0.3">
      <c r="C5004" s="30" t="s">
        <v>33</v>
      </c>
      <c r="D5004" s="31" t="s">
        <v>34</v>
      </c>
      <c r="E5004" s="32"/>
      <c r="F5004" s="32"/>
      <c r="G5004" s="33"/>
      <c r="H5004" s="46">
        <f>H5003+H5001+H4998</f>
        <v>253535.00000000003</v>
      </c>
      <c r="I5004" s="47"/>
    </row>
    <row r="5005" spans="3:11" x14ac:dyDescent="0.3">
      <c r="C5005" s="30" t="s">
        <v>35</v>
      </c>
      <c r="D5005" s="31" t="s">
        <v>36</v>
      </c>
      <c r="E5005" s="32"/>
      <c r="F5005" s="33"/>
      <c r="G5005" s="34">
        <f>$M$9</f>
        <v>0.1</v>
      </c>
      <c r="H5005" s="19">
        <f>H5004*G5005</f>
        <v>25353.500000000004</v>
      </c>
      <c r="I5005" s="47"/>
    </row>
    <row r="5006" spans="3:11" x14ac:dyDescent="0.3">
      <c r="C5006" s="30" t="s">
        <v>37</v>
      </c>
      <c r="D5006" s="31" t="s">
        <v>38</v>
      </c>
      <c r="E5006" s="32"/>
      <c r="F5006" s="32"/>
      <c r="G5006" s="33"/>
      <c r="H5006" s="48">
        <f>SUM(H5004:H5005)</f>
        <v>278888.50000000006</v>
      </c>
      <c r="I5006" s="47"/>
    </row>
    <row r="5008" spans="3:11" x14ac:dyDescent="0.3">
      <c r="C5008" s="56" t="s">
        <v>966</v>
      </c>
      <c r="D5008" s="69" t="s">
        <v>967</v>
      </c>
      <c r="E5008" s="58"/>
      <c r="F5008" s="58"/>
      <c r="G5008" s="58"/>
      <c r="H5008" s="58"/>
      <c r="I5008" s="10">
        <f>ROUNDDOWN(H5023,0)</f>
        <v>95568</v>
      </c>
      <c r="J5008" s="15"/>
      <c r="K5008" s="39"/>
    </row>
    <row r="5009" spans="3:11" ht="27.6" x14ac:dyDescent="0.3">
      <c r="C5009" s="11" t="s">
        <v>9</v>
      </c>
      <c r="D5009" s="11" t="s">
        <v>10</v>
      </c>
      <c r="E5009" s="11" t="s">
        <v>11</v>
      </c>
      <c r="F5009" s="11" t="s">
        <v>12</v>
      </c>
      <c r="G5009" s="11" t="s">
        <v>13</v>
      </c>
      <c r="H5009" s="11" t="s">
        <v>14</v>
      </c>
    </row>
    <row r="5010" spans="3:11" x14ac:dyDescent="0.25">
      <c r="C5010" s="12" t="s">
        <v>15</v>
      </c>
      <c r="D5010" s="13" t="s">
        <v>16</v>
      </c>
      <c r="E5010" s="14"/>
      <c r="F5010" s="14"/>
      <c r="G5010" s="14"/>
      <c r="H5010" s="14"/>
    </row>
    <row r="5011" spans="3:11" x14ac:dyDescent="0.3">
      <c r="C5011" s="16">
        <v>1</v>
      </c>
      <c r="D5011" s="13" t="s">
        <v>18</v>
      </c>
      <c r="E5011" s="17" t="s">
        <v>19</v>
      </c>
      <c r="F5011" s="18">
        <v>2.5999999999999999E-2</v>
      </c>
      <c r="G5011" s="19">
        <f>VLOOKUP(D5011,upahbahan,3,FALSE)</f>
        <v>100000</v>
      </c>
      <c r="H5011" s="19">
        <f t="shared" ref="H5011:H5014" si="546">F5011*G5011</f>
        <v>2600</v>
      </c>
    </row>
    <row r="5012" spans="3:11" x14ac:dyDescent="0.3">
      <c r="C5012" s="16">
        <v>2</v>
      </c>
      <c r="D5012" s="13" t="s">
        <v>214</v>
      </c>
      <c r="E5012" s="17" t="s">
        <v>19</v>
      </c>
      <c r="F5012" s="18">
        <v>4.3999999999999997E-2</v>
      </c>
      <c r="G5012" s="19">
        <f>VLOOKUP(D5012,upahbahan,3,FALSE)</f>
        <v>145000</v>
      </c>
      <c r="H5012" s="19">
        <f t="shared" si="546"/>
        <v>6380</v>
      </c>
    </row>
    <row r="5013" spans="3:11" x14ac:dyDescent="0.3">
      <c r="C5013" s="16">
        <v>3</v>
      </c>
      <c r="D5013" s="13" t="s">
        <v>22</v>
      </c>
      <c r="E5013" s="17" t="s">
        <v>19</v>
      </c>
      <c r="F5013" s="18">
        <v>4.0000000000000001E-3</v>
      </c>
      <c r="G5013" s="19">
        <f>VLOOKUP(D5013,upahbahan,3,FALSE)</f>
        <v>175000</v>
      </c>
      <c r="H5013" s="19">
        <f t="shared" si="546"/>
        <v>700</v>
      </c>
    </row>
    <row r="5014" spans="3:11" x14ac:dyDescent="0.3">
      <c r="C5014" s="16">
        <v>4</v>
      </c>
      <c r="D5014" s="13" t="s">
        <v>23</v>
      </c>
      <c r="E5014" s="17" t="s">
        <v>19</v>
      </c>
      <c r="F5014" s="18">
        <v>1E-3</v>
      </c>
      <c r="G5014" s="19">
        <f>VLOOKUP(D5014,upahbahan,3,FALSE)</f>
        <v>200000</v>
      </c>
      <c r="H5014" s="19">
        <f t="shared" si="546"/>
        <v>200</v>
      </c>
    </row>
    <row r="5015" spans="3:11" x14ac:dyDescent="0.3">
      <c r="C5015" s="21" t="s">
        <v>24</v>
      </c>
      <c r="D5015" s="22"/>
      <c r="E5015" s="22"/>
      <c r="F5015" s="54"/>
      <c r="G5015" s="24"/>
      <c r="H5015" s="19">
        <f>SUM(H5011:H5014)</f>
        <v>9880</v>
      </c>
      <c r="I5015" s="25"/>
    </row>
    <row r="5016" spans="3:11" x14ac:dyDescent="0.25">
      <c r="C5016" s="12" t="s">
        <v>25</v>
      </c>
      <c r="D5016" s="13" t="s">
        <v>26</v>
      </c>
      <c r="E5016" s="14"/>
      <c r="F5016" s="55"/>
      <c r="G5016" s="14"/>
      <c r="H5016" s="14"/>
    </row>
    <row r="5017" spans="3:11" s="114" customFormat="1" x14ac:dyDescent="0.3">
      <c r="C5017" s="108" t="s">
        <v>202</v>
      </c>
      <c r="D5017" s="109" t="s">
        <v>968</v>
      </c>
      <c r="E5017" s="110" t="s">
        <v>949</v>
      </c>
      <c r="F5017" s="111">
        <v>1.1000000000000001</v>
      </c>
      <c r="G5017" s="112">
        <f>VLOOKUP(D5017,upahbahan,3,FALSE)</f>
        <v>70000</v>
      </c>
      <c r="H5017" s="112">
        <f t="shared" ref="H5017" si="547">F5017*G5017</f>
        <v>77000</v>
      </c>
      <c r="I5017" s="113"/>
      <c r="J5017" s="4"/>
      <c r="K5017" s="4"/>
    </row>
    <row r="5018" spans="3:11" x14ac:dyDescent="0.3">
      <c r="C5018" s="21" t="s">
        <v>29</v>
      </c>
      <c r="D5018" s="22"/>
      <c r="E5018" s="22"/>
      <c r="F5018" s="22"/>
      <c r="G5018" s="28"/>
      <c r="H5018" s="19">
        <f>SUM(H5017:H5017)</f>
        <v>77000</v>
      </c>
    </row>
    <row r="5019" spans="3:11" x14ac:dyDescent="0.25">
      <c r="C5019" s="12" t="s">
        <v>30</v>
      </c>
      <c r="D5019" s="13" t="s">
        <v>31</v>
      </c>
      <c r="E5019" s="14"/>
      <c r="F5019" s="14"/>
      <c r="G5019" s="14"/>
      <c r="H5019" s="14"/>
    </row>
    <row r="5020" spans="3:11" x14ac:dyDescent="0.3">
      <c r="C5020" s="21" t="s">
        <v>32</v>
      </c>
      <c r="D5020" s="77"/>
      <c r="E5020" s="77"/>
      <c r="F5020" s="77"/>
      <c r="G5020" s="28"/>
      <c r="H5020" s="29">
        <f>SUM(H5019)</f>
        <v>0</v>
      </c>
    </row>
    <row r="5021" spans="3:11" x14ac:dyDescent="0.3">
      <c r="C5021" s="30" t="s">
        <v>33</v>
      </c>
      <c r="D5021" s="31" t="s">
        <v>34</v>
      </c>
      <c r="E5021" s="32"/>
      <c r="F5021" s="32"/>
      <c r="G5021" s="33"/>
      <c r="H5021" s="46">
        <f>H5020+H5018+H5015</f>
        <v>86880</v>
      </c>
      <c r="I5021" s="47"/>
    </row>
    <row r="5022" spans="3:11" x14ac:dyDescent="0.3">
      <c r="C5022" s="30" t="s">
        <v>35</v>
      </c>
      <c r="D5022" s="31" t="s">
        <v>36</v>
      </c>
      <c r="E5022" s="32"/>
      <c r="F5022" s="33"/>
      <c r="G5022" s="34">
        <f>$M$9</f>
        <v>0.1</v>
      </c>
      <c r="H5022" s="19">
        <f>H5021*G5022</f>
        <v>8688</v>
      </c>
      <c r="I5022" s="47"/>
    </row>
    <row r="5023" spans="3:11" x14ac:dyDescent="0.3">
      <c r="C5023" s="30" t="s">
        <v>37</v>
      </c>
      <c r="D5023" s="31" t="s">
        <v>38</v>
      </c>
      <c r="E5023" s="32"/>
      <c r="F5023" s="32"/>
      <c r="G5023" s="33"/>
      <c r="H5023" s="48">
        <f>SUM(H5021:H5022)</f>
        <v>95568</v>
      </c>
      <c r="I5023" s="47"/>
    </row>
    <row r="5025" spans="3:11" x14ac:dyDescent="0.3">
      <c r="C5025" s="56" t="s">
        <v>969</v>
      </c>
      <c r="D5025" s="69" t="s">
        <v>970</v>
      </c>
      <c r="E5025" s="58"/>
      <c r="F5025" s="58"/>
      <c r="G5025" s="58"/>
      <c r="H5025" s="58"/>
      <c r="I5025" s="10">
        <f>ROUNDDOWN(H5040,0)</f>
        <v>98142</v>
      </c>
      <c r="J5025" s="15"/>
      <c r="K5025" s="39"/>
    </row>
    <row r="5026" spans="3:11" ht="27.6" x14ac:dyDescent="0.3">
      <c r="C5026" s="11" t="s">
        <v>9</v>
      </c>
      <c r="D5026" s="11" t="s">
        <v>10</v>
      </c>
      <c r="E5026" s="11" t="s">
        <v>11</v>
      </c>
      <c r="F5026" s="11" t="s">
        <v>12</v>
      </c>
      <c r="G5026" s="11" t="s">
        <v>13</v>
      </c>
      <c r="H5026" s="11" t="s">
        <v>14</v>
      </c>
    </row>
    <row r="5027" spans="3:11" x14ac:dyDescent="0.25">
      <c r="C5027" s="12" t="s">
        <v>15</v>
      </c>
      <c r="D5027" s="13" t="s">
        <v>16</v>
      </c>
      <c r="E5027" s="14"/>
      <c r="F5027" s="14"/>
      <c r="G5027" s="14"/>
      <c r="H5027" s="14"/>
    </row>
    <row r="5028" spans="3:11" x14ac:dyDescent="0.3">
      <c r="C5028" s="16">
        <v>1</v>
      </c>
      <c r="D5028" s="13" t="s">
        <v>18</v>
      </c>
      <c r="E5028" s="17" t="s">
        <v>19</v>
      </c>
      <c r="F5028" s="18">
        <v>3.7999999999999999E-2</v>
      </c>
      <c r="G5028" s="19">
        <f>VLOOKUP(D5028,upahbahan,3,FALSE)</f>
        <v>100000</v>
      </c>
      <c r="H5028" s="19">
        <f t="shared" ref="H5028:H5031" si="548">F5028*G5028</f>
        <v>3800</v>
      </c>
    </row>
    <row r="5029" spans="3:11" x14ac:dyDescent="0.3">
      <c r="C5029" s="16">
        <v>2</v>
      </c>
      <c r="D5029" s="13" t="s">
        <v>214</v>
      </c>
      <c r="E5029" s="17" t="s">
        <v>19</v>
      </c>
      <c r="F5029" s="18">
        <v>6.4000000000000001E-2</v>
      </c>
      <c r="G5029" s="19">
        <f>VLOOKUP(D5029,upahbahan,3,FALSE)</f>
        <v>145000</v>
      </c>
      <c r="H5029" s="19">
        <f t="shared" si="548"/>
        <v>9280</v>
      </c>
    </row>
    <row r="5030" spans="3:11" x14ac:dyDescent="0.3">
      <c r="C5030" s="16">
        <v>3</v>
      </c>
      <c r="D5030" s="13" t="s">
        <v>22</v>
      </c>
      <c r="E5030" s="17" t="s">
        <v>19</v>
      </c>
      <c r="F5030" s="18">
        <v>6.0000000000000001E-3</v>
      </c>
      <c r="G5030" s="19">
        <f>VLOOKUP(D5030,upahbahan,3,FALSE)</f>
        <v>175000</v>
      </c>
      <c r="H5030" s="19">
        <f t="shared" si="548"/>
        <v>1050</v>
      </c>
    </row>
    <row r="5031" spans="3:11" x14ac:dyDescent="0.3">
      <c r="C5031" s="16">
        <v>4</v>
      </c>
      <c r="D5031" s="13" t="s">
        <v>23</v>
      </c>
      <c r="E5031" s="17" t="s">
        <v>19</v>
      </c>
      <c r="F5031" s="18">
        <v>2E-3</v>
      </c>
      <c r="G5031" s="19">
        <f>VLOOKUP(D5031,upahbahan,3,FALSE)</f>
        <v>200000</v>
      </c>
      <c r="H5031" s="19">
        <f t="shared" si="548"/>
        <v>400</v>
      </c>
    </row>
    <row r="5032" spans="3:11" x14ac:dyDescent="0.3">
      <c r="C5032" s="21" t="s">
        <v>24</v>
      </c>
      <c r="D5032" s="22"/>
      <c r="E5032" s="22"/>
      <c r="F5032" s="54"/>
      <c r="G5032" s="24"/>
      <c r="H5032" s="19">
        <f>SUM(H5028:H5031)</f>
        <v>14530</v>
      </c>
      <c r="I5032" s="25"/>
    </row>
    <row r="5033" spans="3:11" x14ac:dyDescent="0.25">
      <c r="C5033" s="12" t="s">
        <v>25</v>
      </c>
      <c r="D5033" s="13" t="s">
        <v>26</v>
      </c>
      <c r="E5033" s="14"/>
      <c r="F5033" s="55"/>
      <c r="G5033" s="14"/>
      <c r="H5033" s="14"/>
    </row>
    <row r="5034" spans="3:11" s="114" customFormat="1" x14ac:dyDescent="0.3">
      <c r="C5034" s="108" t="s">
        <v>202</v>
      </c>
      <c r="D5034" s="109" t="s">
        <v>971</v>
      </c>
      <c r="E5034" s="110" t="s">
        <v>949</v>
      </c>
      <c r="F5034" s="111">
        <v>1.1000000000000001</v>
      </c>
      <c r="G5034" s="112">
        <f>VLOOKUP(D5034,upahbahan,3,FALSE)</f>
        <v>67900</v>
      </c>
      <c r="H5034" s="112">
        <f t="shared" ref="H5034" si="549">F5034*G5034</f>
        <v>74690</v>
      </c>
      <c r="I5034" s="113"/>
      <c r="J5034" s="4"/>
      <c r="K5034" s="4"/>
    </row>
    <row r="5035" spans="3:11" x14ac:dyDescent="0.3">
      <c r="C5035" s="21" t="s">
        <v>29</v>
      </c>
      <c r="D5035" s="22"/>
      <c r="E5035" s="22"/>
      <c r="F5035" s="22"/>
      <c r="G5035" s="28"/>
      <c r="H5035" s="19">
        <f>SUM(H5034:H5034)</f>
        <v>74690</v>
      </c>
    </row>
    <row r="5036" spans="3:11" x14ac:dyDescent="0.25">
      <c r="C5036" s="12" t="s">
        <v>30</v>
      </c>
      <c r="D5036" s="13" t="s">
        <v>31</v>
      </c>
      <c r="E5036" s="14"/>
      <c r="F5036" s="14"/>
      <c r="G5036" s="14"/>
      <c r="H5036" s="14"/>
    </row>
    <row r="5037" spans="3:11" x14ac:dyDescent="0.3">
      <c r="C5037" s="21" t="s">
        <v>32</v>
      </c>
      <c r="D5037" s="77"/>
      <c r="E5037" s="77"/>
      <c r="F5037" s="77"/>
      <c r="G5037" s="28"/>
      <c r="H5037" s="29">
        <f>SUM(H5036)</f>
        <v>0</v>
      </c>
    </row>
    <row r="5038" spans="3:11" x14ac:dyDescent="0.3">
      <c r="C5038" s="30" t="s">
        <v>33</v>
      </c>
      <c r="D5038" s="31" t="s">
        <v>34</v>
      </c>
      <c r="E5038" s="32"/>
      <c r="F5038" s="32"/>
      <c r="G5038" s="33"/>
      <c r="H5038" s="46">
        <f>H5037+H5035+H5032</f>
        <v>89220</v>
      </c>
      <c r="I5038" s="47"/>
    </row>
    <row r="5039" spans="3:11" x14ac:dyDescent="0.3">
      <c r="C5039" s="30" t="s">
        <v>35</v>
      </c>
      <c r="D5039" s="31" t="s">
        <v>36</v>
      </c>
      <c r="E5039" s="32"/>
      <c r="F5039" s="33"/>
      <c r="G5039" s="34">
        <f>$M$9</f>
        <v>0.1</v>
      </c>
      <c r="H5039" s="19">
        <f>H5038*G5039</f>
        <v>8922</v>
      </c>
      <c r="I5039" s="47"/>
    </row>
    <row r="5040" spans="3:11" x14ac:dyDescent="0.3">
      <c r="C5040" s="30" t="s">
        <v>37</v>
      </c>
      <c r="D5040" s="31" t="s">
        <v>38</v>
      </c>
      <c r="E5040" s="32"/>
      <c r="F5040" s="32"/>
      <c r="G5040" s="33"/>
      <c r="H5040" s="48">
        <f>SUM(H5038:H5039)</f>
        <v>98142</v>
      </c>
      <c r="I5040" s="47"/>
    </row>
    <row r="5042" spans="3:11" x14ac:dyDescent="0.3">
      <c r="C5042" s="56" t="s">
        <v>972</v>
      </c>
      <c r="D5042" s="69" t="s">
        <v>973</v>
      </c>
      <c r="E5042" s="58"/>
      <c r="F5042" s="58"/>
      <c r="G5042" s="58"/>
      <c r="H5042" s="58"/>
      <c r="I5042" s="10">
        <f>ROUNDDOWN(H5065,0)</f>
        <v>502700</v>
      </c>
      <c r="J5042" s="15"/>
      <c r="K5042" s="39"/>
    </row>
    <row r="5043" spans="3:11" ht="27.6" x14ac:dyDescent="0.3">
      <c r="C5043" s="11" t="s">
        <v>9</v>
      </c>
      <c r="D5043" s="11" t="s">
        <v>10</v>
      </c>
      <c r="E5043" s="11" t="s">
        <v>11</v>
      </c>
      <c r="F5043" s="11" t="s">
        <v>12</v>
      </c>
      <c r="G5043" s="11" t="s">
        <v>13</v>
      </c>
      <c r="H5043" s="11" t="s">
        <v>14</v>
      </c>
    </row>
    <row r="5044" spans="3:11" x14ac:dyDescent="0.25">
      <c r="C5044" s="12" t="s">
        <v>15</v>
      </c>
      <c r="D5044" s="13" t="s">
        <v>16</v>
      </c>
      <c r="E5044" s="14"/>
      <c r="F5044" s="14"/>
      <c r="G5044" s="14"/>
      <c r="H5044" s="14"/>
    </row>
    <row r="5045" spans="3:11" x14ac:dyDescent="0.3">
      <c r="C5045" s="16">
        <v>1</v>
      </c>
      <c r="D5045" s="13" t="s">
        <v>18</v>
      </c>
      <c r="E5045" s="17" t="s">
        <v>19</v>
      </c>
      <c r="F5045" s="18">
        <v>0.20499999999999999</v>
      </c>
      <c r="G5045" s="19">
        <f>VLOOKUP(D5045,upahbahan,3,FALSE)</f>
        <v>100000</v>
      </c>
      <c r="H5045" s="19">
        <f t="shared" ref="H5045:H5048" si="550">F5045*G5045</f>
        <v>20500</v>
      </c>
    </row>
    <row r="5046" spans="3:11" x14ac:dyDescent="0.3">
      <c r="C5046" s="16">
        <v>2</v>
      </c>
      <c r="D5046" s="13" t="s">
        <v>214</v>
      </c>
      <c r="E5046" s="17" t="s">
        <v>19</v>
      </c>
      <c r="F5046" s="18">
        <v>0.34200000000000003</v>
      </c>
      <c r="G5046" s="19">
        <f>VLOOKUP(D5046,upahbahan,3,FALSE)</f>
        <v>145000</v>
      </c>
      <c r="H5046" s="19">
        <f t="shared" si="550"/>
        <v>49590.000000000007</v>
      </c>
    </row>
    <row r="5047" spans="3:11" x14ac:dyDescent="0.3">
      <c r="C5047" s="16">
        <v>3</v>
      </c>
      <c r="D5047" s="13" t="s">
        <v>22</v>
      </c>
      <c r="E5047" s="17" t="s">
        <v>19</v>
      </c>
      <c r="F5047" s="18">
        <v>3.4000000000000002E-2</v>
      </c>
      <c r="G5047" s="19">
        <f>VLOOKUP(D5047,upahbahan,3,FALSE)</f>
        <v>175000</v>
      </c>
      <c r="H5047" s="19">
        <f t="shared" si="550"/>
        <v>5950</v>
      </c>
    </row>
    <row r="5048" spans="3:11" x14ac:dyDescent="0.3">
      <c r="C5048" s="16">
        <v>4</v>
      </c>
      <c r="D5048" s="13" t="s">
        <v>23</v>
      </c>
      <c r="E5048" s="17" t="s">
        <v>19</v>
      </c>
      <c r="F5048" s="18">
        <v>1.0999999999999999E-2</v>
      </c>
      <c r="G5048" s="19">
        <f>VLOOKUP(D5048,upahbahan,3,FALSE)</f>
        <v>200000</v>
      </c>
      <c r="H5048" s="19">
        <f t="shared" si="550"/>
        <v>2200</v>
      </c>
    </row>
    <row r="5049" spans="3:11" x14ac:dyDescent="0.3">
      <c r="C5049" s="21" t="s">
        <v>24</v>
      </c>
      <c r="D5049" s="22"/>
      <c r="E5049" s="22"/>
      <c r="F5049" s="54"/>
      <c r="G5049" s="24"/>
      <c r="H5049" s="19">
        <f>SUM(H5045:H5048)</f>
        <v>78240</v>
      </c>
      <c r="I5049" s="25"/>
    </row>
    <row r="5050" spans="3:11" x14ac:dyDescent="0.25">
      <c r="C5050" s="12" t="s">
        <v>25</v>
      </c>
      <c r="D5050" s="13" t="s">
        <v>26</v>
      </c>
      <c r="E5050" s="14"/>
      <c r="F5050" s="55"/>
      <c r="G5050" s="14"/>
      <c r="H5050" s="14"/>
    </row>
    <row r="5051" spans="3:11" x14ac:dyDescent="0.25">
      <c r="C5051" s="12">
        <v>1</v>
      </c>
      <c r="D5051" s="13" t="s">
        <v>249</v>
      </c>
      <c r="E5051" s="53" t="s">
        <v>974</v>
      </c>
      <c r="F5051" s="55">
        <v>14.3</v>
      </c>
      <c r="G5051" s="19">
        <f t="shared" ref="G5051:G5059" si="551">VLOOKUP(D5051,upahbahan,3,FALSE)</f>
        <v>21300</v>
      </c>
      <c r="H5051" s="19">
        <f t="shared" ref="H5051:H5059" si="552">F5051*G5051</f>
        <v>304590</v>
      </c>
    </row>
    <row r="5052" spans="3:11" x14ac:dyDescent="0.25">
      <c r="C5052" s="12">
        <v>2</v>
      </c>
      <c r="D5052" s="13" t="s">
        <v>975</v>
      </c>
      <c r="E5052" s="53" t="s">
        <v>974</v>
      </c>
      <c r="F5052" s="55">
        <v>14.3</v>
      </c>
      <c r="G5052" s="19">
        <f t="shared" si="551"/>
        <v>4000</v>
      </c>
      <c r="H5052" s="19">
        <f t="shared" si="552"/>
        <v>57200</v>
      </c>
    </row>
    <row r="5053" spans="3:11" x14ac:dyDescent="0.25">
      <c r="C5053" s="12">
        <v>3</v>
      </c>
      <c r="D5053" s="13" t="s">
        <v>976</v>
      </c>
      <c r="E5053" s="53" t="s">
        <v>949</v>
      </c>
      <c r="F5053" s="55">
        <v>1</v>
      </c>
      <c r="G5053" s="19">
        <f t="shared" si="551"/>
        <v>4000</v>
      </c>
      <c r="H5053" s="19">
        <f t="shared" si="552"/>
        <v>4000</v>
      </c>
    </row>
    <row r="5054" spans="3:11" x14ac:dyDescent="0.25">
      <c r="C5054" s="12">
        <v>4</v>
      </c>
      <c r="D5054" s="13" t="s">
        <v>977</v>
      </c>
      <c r="E5054" s="53" t="s">
        <v>949</v>
      </c>
      <c r="F5054" s="55">
        <v>8</v>
      </c>
      <c r="G5054" s="19">
        <f t="shared" si="551"/>
        <v>700</v>
      </c>
      <c r="H5054" s="19">
        <f t="shared" si="552"/>
        <v>5600</v>
      </c>
    </row>
    <row r="5055" spans="3:11" x14ac:dyDescent="0.25">
      <c r="C5055" s="12">
        <v>5</v>
      </c>
      <c r="D5055" s="13" t="s">
        <v>978</v>
      </c>
      <c r="E5055" s="53" t="s">
        <v>949</v>
      </c>
      <c r="F5055" s="55">
        <v>8</v>
      </c>
      <c r="G5055" s="19">
        <f t="shared" si="551"/>
        <v>298</v>
      </c>
      <c r="H5055" s="19">
        <f t="shared" si="552"/>
        <v>2384</v>
      </c>
    </row>
    <row r="5056" spans="3:11" x14ac:dyDescent="0.25">
      <c r="C5056" s="12">
        <v>6</v>
      </c>
      <c r="D5056" s="13" t="s">
        <v>979</v>
      </c>
      <c r="E5056" s="53" t="s">
        <v>949</v>
      </c>
      <c r="F5056" s="55">
        <v>12</v>
      </c>
      <c r="G5056" s="19">
        <f t="shared" si="551"/>
        <v>21.5</v>
      </c>
      <c r="H5056" s="19">
        <f t="shared" si="552"/>
        <v>258</v>
      </c>
    </row>
    <row r="5057" spans="3:11" x14ac:dyDescent="0.25">
      <c r="C5057" s="12">
        <v>7</v>
      </c>
      <c r="D5057" s="13" t="s">
        <v>980</v>
      </c>
      <c r="E5057" s="53" t="s">
        <v>949</v>
      </c>
      <c r="F5057" s="55">
        <v>4</v>
      </c>
      <c r="G5057" s="19">
        <f t="shared" si="551"/>
        <v>550</v>
      </c>
      <c r="H5057" s="19">
        <f t="shared" si="552"/>
        <v>2200</v>
      </c>
    </row>
    <row r="5058" spans="3:11" x14ac:dyDescent="0.25">
      <c r="C5058" s="12">
        <v>8</v>
      </c>
      <c r="D5058" s="13" t="s">
        <v>981</v>
      </c>
      <c r="E5058" s="53" t="s">
        <v>974</v>
      </c>
      <c r="F5058" s="55">
        <v>0.5</v>
      </c>
      <c r="G5058" s="19">
        <f t="shared" si="551"/>
        <v>416</v>
      </c>
      <c r="H5058" s="19">
        <f t="shared" si="552"/>
        <v>208</v>
      </c>
    </row>
    <row r="5059" spans="3:11" x14ac:dyDescent="0.25">
      <c r="C5059" s="12">
        <v>9</v>
      </c>
      <c r="D5059" s="13" t="s">
        <v>982</v>
      </c>
      <c r="E5059" s="53" t="s">
        <v>949</v>
      </c>
      <c r="F5059" s="55">
        <v>4</v>
      </c>
      <c r="G5059" s="19">
        <f t="shared" si="551"/>
        <v>580</v>
      </c>
      <c r="H5059" s="19">
        <f t="shared" si="552"/>
        <v>2320</v>
      </c>
    </row>
    <row r="5060" spans="3:11" x14ac:dyDescent="0.3">
      <c r="C5060" s="21" t="s">
        <v>29</v>
      </c>
      <c r="D5060" s="22"/>
      <c r="E5060" s="22"/>
      <c r="F5060" s="22"/>
      <c r="G5060" s="28"/>
      <c r="H5060" s="19">
        <f>SUM(H5051:H5059)</f>
        <v>378760</v>
      </c>
    </row>
    <row r="5061" spans="3:11" x14ac:dyDescent="0.25">
      <c r="C5061" s="12" t="s">
        <v>30</v>
      </c>
      <c r="D5061" s="13" t="s">
        <v>31</v>
      </c>
      <c r="E5061" s="14"/>
      <c r="F5061" s="14"/>
      <c r="G5061" s="14"/>
      <c r="H5061" s="14"/>
    </row>
    <row r="5062" spans="3:11" x14ac:dyDescent="0.3">
      <c r="C5062" s="21" t="s">
        <v>32</v>
      </c>
      <c r="D5062" s="77"/>
      <c r="E5062" s="77"/>
      <c r="F5062" s="77"/>
      <c r="G5062" s="28"/>
      <c r="H5062" s="29">
        <f>SUM(H5061)</f>
        <v>0</v>
      </c>
    </row>
    <row r="5063" spans="3:11" x14ac:dyDescent="0.3">
      <c r="C5063" s="30" t="s">
        <v>33</v>
      </c>
      <c r="D5063" s="31" t="s">
        <v>34</v>
      </c>
      <c r="E5063" s="32"/>
      <c r="F5063" s="32"/>
      <c r="G5063" s="33"/>
      <c r="H5063" s="46">
        <f>H5062+H5060+H5049</f>
        <v>457000</v>
      </c>
      <c r="I5063" s="47"/>
    </row>
    <row r="5064" spans="3:11" x14ac:dyDescent="0.3">
      <c r="C5064" s="30" t="s">
        <v>35</v>
      </c>
      <c r="D5064" s="31" t="s">
        <v>36</v>
      </c>
      <c r="E5064" s="32"/>
      <c r="F5064" s="33"/>
      <c r="G5064" s="34">
        <f>$M$9</f>
        <v>0.1</v>
      </c>
      <c r="H5064" s="19">
        <f>H5063*G5064</f>
        <v>45700</v>
      </c>
      <c r="I5064" s="47"/>
    </row>
    <row r="5065" spans="3:11" x14ac:dyDescent="0.3">
      <c r="C5065" s="30" t="s">
        <v>37</v>
      </c>
      <c r="D5065" s="31" t="s">
        <v>38</v>
      </c>
      <c r="E5065" s="32"/>
      <c r="F5065" s="32"/>
      <c r="G5065" s="33"/>
      <c r="H5065" s="48">
        <f>SUM(H5063:H5064)</f>
        <v>502700</v>
      </c>
      <c r="I5065" s="47"/>
    </row>
    <row r="5067" spans="3:11" x14ac:dyDescent="0.3">
      <c r="C5067" s="40" t="s">
        <v>983</v>
      </c>
      <c r="D5067" s="68" t="s">
        <v>984</v>
      </c>
      <c r="E5067" s="44"/>
      <c r="F5067" s="44"/>
      <c r="G5067" s="44"/>
      <c r="H5067" s="44"/>
      <c r="I5067" s="10">
        <f>ROUNDDOWN(H5090,0)</f>
        <v>502700</v>
      </c>
      <c r="J5067" s="15"/>
      <c r="K5067" s="39"/>
    </row>
    <row r="5068" spans="3:11" ht="27.6" x14ac:dyDescent="0.3">
      <c r="C5068" s="11" t="s">
        <v>9</v>
      </c>
      <c r="D5068" s="11" t="s">
        <v>10</v>
      </c>
      <c r="E5068" s="11" t="s">
        <v>11</v>
      </c>
      <c r="F5068" s="11" t="s">
        <v>12</v>
      </c>
      <c r="G5068" s="11" t="s">
        <v>13</v>
      </c>
      <c r="H5068" s="11" t="s">
        <v>14</v>
      </c>
    </row>
    <row r="5069" spans="3:11" x14ac:dyDescent="0.25">
      <c r="C5069" s="12" t="s">
        <v>15</v>
      </c>
      <c r="D5069" s="13" t="s">
        <v>16</v>
      </c>
      <c r="E5069" s="14"/>
      <c r="F5069" s="14"/>
      <c r="G5069" s="14"/>
      <c r="H5069" s="14"/>
    </row>
    <row r="5070" spans="3:11" x14ac:dyDescent="0.3">
      <c r="C5070" s="16">
        <v>1</v>
      </c>
      <c r="D5070" s="13" t="s">
        <v>18</v>
      </c>
      <c r="E5070" s="17" t="s">
        <v>19</v>
      </c>
      <c r="F5070" s="18">
        <v>0.20499999999999999</v>
      </c>
      <c r="G5070" s="19">
        <f>VLOOKUP(D5070,upahbahan,3,FALSE)</f>
        <v>100000</v>
      </c>
      <c r="H5070" s="19">
        <f t="shared" ref="H5070:H5073" si="553">F5070*G5070</f>
        <v>20500</v>
      </c>
    </row>
    <row r="5071" spans="3:11" x14ac:dyDescent="0.3">
      <c r="C5071" s="16">
        <v>2</v>
      </c>
      <c r="D5071" s="13" t="s">
        <v>214</v>
      </c>
      <c r="E5071" s="17" t="s">
        <v>19</v>
      </c>
      <c r="F5071" s="18">
        <v>0.34200000000000003</v>
      </c>
      <c r="G5071" s="19">
        <f>VLOOKUP(D5071,upahbahan,3,FALSE)</f>
        <v>145000</v>
      </c>
      <c r="H5071" s="19">
        <f t="shared" si="553"/>
        <v>49590.000000000007</v>
      </c>
    </row>
    <row r="5072" spans="3:11" x14ac:dyDescent="0.3">
      <c r="C5072" s="16">
        <v>3</v>
      </c>
      <c r="D5072" s="13" t="s">
        <v>22</v>
      </c>
      <c r="E5072" s="17" t="s">
        <v>19</v>
      </c>
      <c r="F5072" s="18">
        <v>3.4000000000000002E-2</v>
      </c>
      <c r="G5072" s="19">
        <f>VLOOKUP(D5072,upahbahan,3,FALSE)</f>
        <v>175000</v>
      </c>
      <c r="H5072" s="19">
        <f t="shared" si="553"/>
        <v>5950</v>
      </c>
    </row>
    <row r="5073" spans="3:9" x14ac:dyDescent="0.3">
      <c r="C5073" s="16">
        <v>4</v>
      </c>
      <c r="D5073" s="13" t="s">
        <v>23</v>
      </c>
      <c r="E5073" s="17" t="s">
        <v>19</v>
      </c>
      <c r="F5073" s="18">
        <v>1.0999999999999999E-2</v>
      </c>
      <c r="G5073" s="19">
        <f>VLOOKUP(D5073,upahbahan,3,FALSE)</f>
        <v>200000</v>
      </c>
      <c r="H5073" s="19">
        <f t="shared" si="553"/>
        <v>2200</v>
      </c>
    </row>
    <row r="5074" spans="3:9" x14ac:dyDescent="0.3">
      <c r="C5074" s="21" t="s">
        <v>24</v>
      </c>
      <c r="D5074" s="22"/>
      <c r="E5074" s="22"/>
      <c r="F5074" s="54"/>
      <c r="G5074" s="24"/>
      <c r="H5074" s="19">
        <f>SUM(H5070:H5073)</f>
        <v>78240</v>
      </c>
      <c r="I5074" s="25"/>
    </row>
    <row r="5075" spans="3:9" x14ac:dyDescent="0.25">
      <c r="C5075" s="12" t="s">
        <v>25</v>
      </c>
      <c r="D5075" s="13" t="s">
        <v>26</v>
      </c>
      <c r="E5075" s="14"/>
      <c r="F5075" s="55"/>
      <c r="G5075" s="14"/>
      <c r="H5075" s="14"/>
    </row>
    <row r="5076" spans="3:9" ht="27.6" x14ac:dyDescent="0.25">
      <c r="C5076" s="12">
        <v>1</v>
      </c>
      <c r="D5076" s="13" t="s">
        <v>985</v>
      </c>
      <c r="E5076" s="53" t="s">
        <v>974</v>
      </c>
      <c r="F5076" s="55">
        <v>14.3</v>
      </c>
      <c r="G5076" s="19">
        <f t="shared" ref="G5076:G5084" si="554">VLOOKUP(D5076,upahbahan,3,FALSE)</f>
        <v>21300</v>
      </c>
      <c r="H5076" s="19">
        <f t="shared" ref="H5076:H5084" si="555">F5076*G5076</f>
        <v>304590</v>
      </c>
    </row>
    <row r="5077" spans="3:9" x14ac:dyDescent="0.25">
      <c r="C5077" s="12">
        <v>2</v>
      </c>
      <c r="D5077" s="13" t="s">
        <v>975</v>
      </c>
      <c r="E5077" s="53" t="s">
        <v>974</v>
      </c>
      <c r="F5077" s="55">
        <v>14.3</v>
      </c>
      <c r="G5077" s="19">
        <f t="shared" si="554"/>
        <v>4000</v>
      </c>
      <c r="H5077" s="19">
        <f t="shared" si="555"/>
        <v>57200</v>
      </c>
    </row>
    <row r="5078" spans="3:9" x14ac:dyDescent="0.25">
      <c r="C5078" s="12">
        <v>3</v>
      </c>
      <c r="D5078" s="13" t="s">
        <v>976</v>
      </c>
      <c r="E5078" s="53" t="s">
        <v>949</v>
      </c>
      <c r="F5078" s="55">
        <v>1</v>
      </c>
      <c r="G5078" s="19">
        <f t="shared" si="554"/>
        <v>4000</v>
      </c>
      <c r="H5078" s="19">
        <f t="shared" si="555"/>
        <v>4000</v>
      </c>
    </row>
    <row r="5079" spans="3:9" x14ac:dyDescent="0.25">
      <c r="C5079" s="12">
        <v>4</v>
      </c>
      <c r="D5079" s="13" t="s">
        <v>977</v>
      </c>
      <c r="E5079" s="53" t="s">
        <v>949</v>
      </c>
      <c r="F5079" s="55">
        <v>8</v>
      </c>
      <c r="G5079" s="19">
        <f t="shared" si="554"/>
        <v>700</v>
      </c>
      <c r="H5079" s="19">
        <f t="shared" si="555"/>
        <v>5600</v>
      </c>
    </row>
    <row r="5080" spans="3:9" x14ac:dyDescent="0.25">
      <c r="C5080" s="12">
        <v>5</v>
      </c>
      <c r="D5080" s="13" t="s">
        <v>978</v>
      </c>
      <c r="E5080" s="53" t="s">
        <v>949</v>
      </c>
      <c r="F5080" s="55">
        <v>8</v>
      </c>
      <c r="G5080" s="19">
        <f t="shared" si="554"/>
        <v>298</v>
      </c>
      <c r="H5080" s="19">
        <f t="shared" si="555"/>
        <v>2384</v>
      </c>
    </row>
    <row r="5081" spans="3:9" x14ac:dyDescent="0.25">
      <c r="C5081" s="12">
        <v>6</v>
      </c>
      <c r="D5081" s="13" t="s">
        <v>979</v>
      </c>
      <c r="E5081" s="53" t="s">
        <v>949</v>
      </c>
      <c r="F5081" s="55">
        <v>12</v>
      </c>
      <c r="G5081" s="19">
        <f t="shared" si="554"/>
        <v>21.5</v>
      </c>
      <c r="H5081" s="19">
        <f t="shared" si="555"/>
        <v>258</v>
      </c>
    </row>
    <row r="5082" spans="3:9" x14ac:dyDescent="0.25">
      <c r="C5082" s="12">
        <v>7</v>
      </c>
      <c r="D5082" s="13" t="s">
        <v>980</v>
      </c>
      <c r="E5082" s="53" t="s">
        <v>949</v>
      </c>
      <c r="F5082" s="55">
        <v>4</v>
      </c>
      <c r="G5082" s="19">
        <f t="shared" si="554"/>
        <v>550</v>
      </c>
      <c r="H5082" s="19">
        <f t="shared" si="555"/>
        <v>2200</v>
      </c>
    </row>
    <row r="5083" spans="3:9" x14ac:dyDescent="0.25">
      <c r="C5083" s="12">
        <v>8</v>
      </c>
      <c r="D5083" s="13" t="s">
        <v>981</v>
      </c>
      <c r="E5083" s="53" t="s">
        <v>974</v>
      </c>
      <c r="F5083" s="55">
        <v>0.5</v>
      </c>
      <c r="G5083" s="19">
        <f t="shared" si="554"/>
        <v>416</v>
      </c>
      <c r="H5083" s="19">
        <f t="shared" si="555"/>
        <v>208</v>
      </c>
    </row>
    <row r="5084" spans="3:9" x14ac:dyDescent="0.25">
      <c r="C5084" s="12">
        <v>9</v>
      </c>
      <c r="D5084" s="13" t="s">
        <v>982</v>
      </c>
      <c r="E5084" s="53" t="s">
        <v>949</v>
      </c>
      <c r="F5084" s="55">
        <v>4</v>
      </c>
      <c r="G5084" s="19">
        <f t="shared" si="554"/>
        <v>580</v>
      </c>
      <c r="H5084" s="19">
        <f t="shared" si="555"/>
        <v>2320</v>
      </c>
    </row>
    <row r="5085" spans="3:9" x14ac:dyDescent="0.3">
      <c r="C5085" s="21" t="s">
        <v>29</v>
      </c>
      <c r="D5085" s="22"/>
      <c r="E5085" s="22"/>
      <c r="F5085" s="22"/>
      <c r="G5085" s="28"/>
      <c r="H5085" s="19">
        <f>SUM(H5076:H5084)</f>
        <v>378760</v>
      </c>
    </row>
    <row r="5086" spans="3:9" x14ac:dyDescent="0.25">
      <c r="C5086" s="12" t="s">
        <v>30</v>
      </c>
      <c r="D5086" s="13" t="s">
        <v>31</v>
      </c>
      <c r="E5086" s="14"/>
      <c r="F5086" s="14"/>
      <c r="G5086" s="14"/>
      <c r="H5086" s="14"/>
    </row>
    <row r="5087" spans="3:9" x14ac:dyDescent="0.3">
      <c r="C5087" s="21" t="s">
        <v>32</v>
      </c>
      <c r="D5087" s="77"/>
      <c r="E5087" s="77"/>
      <c r="F5087" s="77"/>
      <c r="G5087" s="28"/>
      <c r="H5087" s="29">
        <f>SUM(H5086)</f>
        <v>0</v>
      </c>
    </row>
    <row r="5088" spans="3:9" x14ac:dyDescent="0.3">
      <c r="C5088" s="30" t="s">
        <v>33</v>
      </c>
      <c r="D5088" s="31" t="s">
        <v>34</v>
      </c>
      <c r="E5088" s="32"/>
      <c r="F5088" s="32"/>
      <c r="G5088" s="33"/>
      <c r="H5088" s="46">
        <f>H5087+H5085+H5074</f>
        <v>457000</v>
      </c>
      <c r="I5088" s="47"/>
    </row>
    <row r="5089" spans="3:11" x14ac:dyDescent="0.3">
      <c r="C5089" s="30" t="s">
        <v>35</v>
      </c>
      <c r="D5089" s="31" t="s">
        <v>36</v>
      </c>
      <c r="E5089" s="32"/>
      <c r="F5089" s="33"/>
      <c r="G5089" s="34">
        <f>$M$9</f>
        <v>0.1</v>
      </c>
      <c r="H5089" s="19">
        <f>H5088*G5089</f>
        <v>45700</v>
      </c>
      <c r="I5089" s="47"/>
    </row>
    <row r="5090" spans="3:11" x14ac:dyDescent="0.3">
      <c r="C5090" s="30" t="s">
        <v>37</v>
      </c>
      <c r="D5090" s="31" t="s">
        <v>38</v>
      </c>
      <c r="E5090" s="32"/>
      <c r="F5090" s="32"/>
      <c r="G5090" s="33"/>
      <c r="H5090" s="48">
        <f>SUM(H5088:H5089)</f>
        <v>502700</v>
      </c>
      <c r="I5090" s="47"/>
    </row>
    <row r="5094" spans="3:11" x14ac:dyDescent="0.3">
      <c r="C5094" s="3" t="s">
        <v>986</v>
      </c>
      <c r="D5094" s="2" t="s">
        <v>987</v>
      </c>
    </row>
    <row r="5095" spans="3:11" x14ac:dyDescent="0.3">
      <c r="C5095" s="40" t="s">
        <v>988</v>
      </c>
      <c r="D5095" s="68" t="s">
        <v>989</v>
      </c>
      <c r="E5095" s="44"/>
      <c r="F5095" s="44"/>
      <c r="G5095" s="44"/>
      <c r="H5095" s="44"/>
      <c r="I5095" s="10">
        <f>ROUNDDOWN(H5110,0)</f>
        <v>696201</v>
      </c>
      <c r="J5095" s="15"/>
      <c r="K5095" s="39"/>
    </row>
    <row r="5096" spans="3:11" ht="27.6" x14ac:dyDescent="0.3">
      <c r="C5096" s="11" t="s">
        <v>9</v>
      </c>
      <c r="D5096" s="11" t="s">
        <v>10</v>
      </c>
      <c r="E5096" s="11" t="s">
        <v>11</v>
      </c>
      <c r="F5096" s="11" t="s">
        <v>12</v>
      </c>
      <c r="G5096" s="11" t="s">
        <v>13</v>
      </c>
      <c r="H5096" s="11" t="s">
        <v>14</v>
      </c>
    </row>
    <row r="5097" spans="3:11" x14ac:dyDescent="0.25">
      <c r="C5097" s="12" t="s">
        <v>15</v>
      </c>
      <c r="D5097" s="13" t="s">
        <v>16</v>
      </c>
      <c r="E5097" s="14"/>
      <c r="F5097" s="14"/>
      <c r="G5097" s="14"/>
      <c r="H5097" s="14"/>
    </row>
    <row r="5098" spans="3:11" x14ac:dyDescent="0.3">
      <c r="C5098" s="16">
        <v>1</v>
      </c>
      <c r="D5098" s="13" t="s">
        <v>18</v>
      </c>
      <c r="E5098" s="17" t="s">
        <v>19</v>
      </c>
      <c r="F5098" s="18">
        <v>0.217</v>
      </c>
      <c r="G5098" s="19">
        <f>VLOOKUP(D5098,upahbahan,3,FALSE)</f>
        <v>100000</v>
      </c>
      <c r="H5098" s="19">
        <f t="shared" ref="H5098:H5101" si="556">F5098*G5098</f>
        <v>21700</v>
      </c>
    </row>
    <row r="5099" spans="3:11" x14ac:dyDescent="0.3">
      <c r="C5099" s="16">
        <v>2</v>
      </c>
      <c r="D5099" s="13" t="s">
        <v>214</v>
      </c>
      <c r="E5099" s="17" t="s">
        <v>19</v>
      </c>
      <c r="F5099" s="18">
        <v>0.36199999999999999</v>
      </c>
      <c r="G5099" s="19">
        <f>VLOOKUP(D5099,upahbahan,3,FALSE)</f>
        <v>145000</v>
      </c>
      <c r="H5099" s="19">
        <f t="shared" si="556"/>
        <v>52490</v>
      </c>
    </row>
    <row r="5100" spans="3:11" x14ac:dyDescent="0.3">
      <c r="C5100" s="16">
        <v>3</v>
      </c>
      <c r="D5100" s="13" t="s">
        <v>22</v>
      </c>
      <c r="E5100" s="17" t="s">
        <v>19</v>
      </c>
      <c r="F5100" s="18">
        <v>3.5999999999999997E-2</v>
      </c>
      <c r="G5100" s="19">
        <f>VLOOKUP(D5100,upahbahan,3,FALSE)</f>
        <v>175000</v>
      </c>
      <c r="H5100" s="19">
        <f t="shared" si="556"/>
        <v>6299.9999999999991</v>
      </c>
    </row>
    <row r="5101" spans="3:11" x14ac:dyDescent="0.3">
      <c r="C5101" s="16">
        <v>4</v>
      </c>
      <c r="D5101" s="13" t="s">
        <v>23</v>
      </c>
      <c r="E5101" s="17" t="s">
        <v>19</v>
      </c>
      <c r="F5101" s="18">
        <v>1.2E-2</v>
      </c>
      <c r="G5101" s="19">
        <f>VLOOKUP(D5101,upahbahan,3,FALSE)</f>
        <v>200000</v>
      </c>
      <c r="H5101" s="19">
        <f t="shared" si="556"/>
        <v>2400</v>
      </c>
    </row>
    <row r="5102" spans="3:11" x14ac:dyDescent="0.3">
      <c r="C5102" s="21" t="s">
        <v>24</v>
      </c>
      <c r="D5102" s="22"/>
      <c r="E5102" s="22"/>
      <c r="F5102" s="54"/>
      <c r="G5102" s="24"/>
      <c r="H5102" s="19">
        <f>SUM(H5098:H5101)</f>
        <v>82890</v>
      </c>
      <c r="I5102" s="25"/>
    </row>
    <row r="5103" spans="3:11" x14ac:dyDescent="0.25">
      <c r="C5103" s="12" t="s">
        <v>25</v>
      </c>
      <c r="D5103" s="13" t="s">
        <v>26</v>
      </c>
      <c r="E5103" s="14"/>
      <c r="F5103" s="55"/>
      <c r="G5103" s="14"/>
      <c r="H5103" s="14"/>
    </row>
    <row r="5104" spans="3:11" x14ac:dyDescent="0.25">
      <c r="C5104" s="12">
        <v>1</v>
      </c>
      <c r="D5104" s="13" t="s">
        <v>990</v>
      </c>
      <c r="E5104" s="53" t="s">
        <v>617</v>
      </c>
      <c r="F5104" s="55">
        <v>1.03</v>
      </c>
      <c r="G5104" s="19">
        <f>VLOOKUP(D5104,upahbahan,3,FALSE)</f>
        <v>534000</v>
      </c>
      <c r="H5104" s="19">
        <f t="shared" ref="H5104" si="557">F5104*G5104</f>
        <v>550020</v>
      </c>
    </row>
    <row r="5105" spans="3:11" x14ac:dyDescent="0.3">
      <c r="C5105" s="21" t="s">
        <v>29</v>
      </c>
      <c r="D5105" s="22"/>
      <c r="E5105" s="22"/>
      <c r="F5105" s="22"/>
      <c r="G5105" s="28"/>
      <c r="H5105" s="19">
        <f>SUM(H5104:H5104)</f>
        <v>550020</v>
      </c>
    </row>
    <row r="5106" spans="3:11" x14ac:dyDescent="0.25">
      <c r="C5106" s="12" t="s">
        <v>30</v>
      </c>
      <c r="D5106" s="13" t="s">
        <v>31</v>
      </c>
      <c r="E5106" s="14"/>
      <c r="F5106" s="14"/>
      <c r="G5106" s="14"/>
      <c r="H5106" s="14"/>
    </row>
    <row r="5107" spans="3:11" x14ac:dyDescent="0.3">
      <c r="C5107" s="21" t="s">
        <v>32</v>
      </c>
      <c r="D5107" s="77"/>
      <c r="E5107" s="77"/>
      <c r="F5107" s="77"/>
      <c r="G5107" s="28"/>
      <c r="H5107" s="29">
        <f>SUM(H5106)</f>
        <v>0</v>
      </c>
    </row>
    <row r="5108" spans="3:11" x14ac:dyDescent="0.3">
      <c r="C5108" s="30" t="s">
        <v>33</v>
      </c>
      <c r="D5108" s="31" t="s">
        <v>34</v>
      </c>
      <c r="E5108" s="32"/>
      <c r="F5108" s="32"/>
      <c r="G5108" s="33"/>
      <c r="H5108" s="46">
        <f>H5107+H5105+H5102</f>
        <v>632910</v>
      </c>
      <c r="I5108" s="47"/>
    </row>
    <row r="5109" spans="3:11" x14ac:dyDescent="0.3">
      <c r="C5109" s="30" t="s">
        <v>35</v>
      </c>
      <c r="D5109" s="31" t="s">
        <v>36</v>
      </c>
      <c r="E5109" s="32"/>
      <c r="F5109" s="33"/>
      <c r="G5109" s="34">
        <f>$M$9</f>
        <v>0.1</v>
      </c>
      <c r="H5109" s="19">
        <f>H5108*G5109</f>
        <v>63291</v>
      </c>
      <c r="I5109" s="47"/>
    </row>
    <row r="5110" spans="3:11" x14ac:dyDescent="0.3">
      <c r="C5110" s="30" t="s">
        <v>37</v>
      </c>
      <c r="D5110" s="31" t="s">
        <v>38</v>
      </c>
      <c r="E5110" s="32"/>
      <c r="F5110" s="32"/>
      <c r="G5110" s="33"/>
      <c r="H5110" s="48">
        <f>SUM(H5108:H5109)</f>
        <v>696201</v>
      </c>
      <c r="I5110" s="47"/>
    </row>
    <row r="5112" spans="3:11" x14ac:dyDescent="0.3">
      <c r="C5112" s="40" t="s">
        <v>991</v>
      </c>
      <c r="D5112" s="68" t="s">
        <v>992</v>
      </c>
      <c r="E5112" s="44"/>
      <c r="F5112" s="44"/>
      <c r="G5112" s="44"/>
      <c r="H5112" s="44"/>
      <c r="I5112" s="10">
        <f>ROUNDDOWN(H5127,0)</f>
        <v>3705234</v>
      </c>
      <c r="J5112" s="15"/>
      <c r="K5112" s="39"/>
    </row>
    <row r="5113" spans="3:11" ht="27.6" x14ac:dyDescent="0.3">
      <c r="C5113" s="11" t="s">
        <v>9</v>
      </c>
      <c r="D5113" s="11" t="s">
        <v>10</v>
      </c>
      <c r="E5113" s="11" t="s">
        <v>11</v>
      </c>
      <c r="F5113" s="11" t="s">
        <v>12</v>
      </c>
      <c r="G5113" s="11" t="s">
        <v>13</v>
      </c>
      <c r="H5113" s="11" t="s">
        <v>14</v>
      </c>
    </row>
    <row r="5114" spans="3:11" x14ac:dyDescent="0.25">
      <c r="C5114" s="12" t="s">
        <v>15</v>
      </c>
      <c r="D5114" s="13" t="s">
        <v>16</v>
      </c>
      <c r="E5114" s="14"/>
      <c r="F5114" s="14"/>
      <c r="G5114" s="14"/>
      <c r="H5114" s="14"/>
    </row>
    <row r="5115" spans="3:11" x14ac:dyDescent="0.3">
      <c r="C5115" s="16">
        <v>1</v>
      </c>
      <c r="D5115" s="13" t="s">
        <v>18</v>
      </c>
      <c r="E5115" s="17" t="s">
        <v>19</v>
      </c>
      <c r="F5115" s="18">
        <v>0.32400000000000001</v>
      </c>
      <c r="G5115" s="19">
        <f>VLOOKUP(D5115,upahbahan,3,FALSE)</f>
        <v>100000</v>
      </c>
      <c r="H5115" s="19">
        <f t="shared" ref="H5115:H5118" si="558">F5115*G5115</f>
        <v>32400</v>
      </c>
    </row>
    <row r="5116" spans="3:11" x14ac:dyDescent="0.3">
      <c r="C5116" s="16">
        <v>2</v>
      </c>
      <c r="D5116" s="13" t="s">
        <v>214</v>
      </c>
      <c r="E5116" s="17" t="s">
        <v>19</v>
      </c>
      <c r="F5116" s="18">
        <v>0.54100000000000004</v>
      </c>
      <c r="G5116" s="19">
        <f>VLOOKUP(D5116,upahbahan,3,FALSE)</f>
        <v>145000</v>
      </c>
      <c r="H5116" s="19">
        <f t="shared" si="558"/>
        <v>78445</v>
      </c>
    </row>
    <row r="5117" spans="3:11" x14ac:dyDescent="0.3">
      <c r="C5117" s="16">
        <v>3</v>
      </c>
      <c r="D5117" s="13" t="s">
        <v>22</v>
      </c>
      <c r="E5117" s="17" t="s">
        <v>19</v>
      </c>
      <c r="F5117" s="18">
        <v>5.3999999999999999E-2</v>
      </c>
      <c r="G5117" s="19">
        <f>VLOOKUP(D5117,upahbahan,3,FALSE)</f>
        <v>175000</v>
      </c>
      <c r="H5117" s="19">
        <f t="shared" si="558"/>
        <v>9450</v>
      </c>
    </row>
    <row r="5118" spans="3:11" x14ac:dyDescent="0.3">
      <c r="C5118" s="16">
        <v>4</v>
      </c>
      <c r="D5118" s="13" t="s">
        <v>23</v>
      </c>
      <c r="E5118" s="17" t="s">
        <v>19</v>
      </c>
      <c r="F5118" s="18">
        <v>1.7999999999999999E-2</v>
      </c>
      <c r="G5118" s="19">
        <f>VLOOKUP(D5118,upahbahan,3,FALSE)</f>
        <v>200000</v>
      </c>
      <c r="H5118" s="19">
        <f t="shared" si="558"/>
        <v>3599.9999999999995</v>
      </c>
    </row>
    <row r="5119" spans="3:11" x14ac:dyDescent="0.3">
      <c r="C5119" s="21" t="s">
        <v>24</v>
      </c>
      <c r="D5119" s="22"/>
      <c r="E5119" s="22"/>
      <c r="F5119" s="54"/>
      <c r="G5119" s="24"/>
      <c r="H5119" s="19">
        <f>SUM(H5115:H5118)</f>
        <v>123895</v>
      </c>
      <c r="I5119" s="25"/>
    </row>
    <row r="5120" spans="3:11" x14ac:dyDescent="0.25">
      <c r="C5120" s="12" t="s">
        <v>25</v>
      </c>
      <c r="D5120" s="13" t="s">
        <v>26</v>
      </c>
      <c r="E5120" s="14"/>
      <c r="F5120" s="55"/>
      <c r="G5120" s="14"/>
      <c r="H5120" s="14"/>
    </row>
    <row r="5121" spans="3:11" x14ac:dyDescent="0.25">
      <c r="C5121" s="12">
        <v>1</v>
      </c>
      <c r="D5121" s="13" t="s">
        <v>993</v>
      </c>
      <c r="E5121" s="53" t="s">
        <v>617</v>
      </c>
      <c r="F5121" s="55">
        <v>1.03</v>
      </c>
      <c r="G5121" s="19">
        <f>VLOOKUP(D5121,upahbahan,3,FALSE)</f>
        <v>3150000</v>
      </c>
      <c r="H5121" s="19">
        <f t="shared" ref="H5121" si="559">F5121*G5121</f>
        <v>3244500</v>
      </c>
    </row>
    <row r="5122" spans="3:11" x14ac:dyDescent="0.3">
      <c r="C5122" s="21" t="s">
        <v>29</v>
      </c>
      <c r="D5122" s="22"/>
      <c r="E5122" s="22"/>
      <c r="F5122" s="22"/>
      <c r="G5122" s="28"/>
      <c r="H5122" s="19">
        <f>SUM(H5121:H5121)</f>
        <v>3244500</v>
      </c>
    </row>
    <row r="5123" spans="3:11" x14ac:dyDescent="0.25">
      <c r="C5123" s="12" t="s">
        <v>30</v>
      </c>
      <c r="D5123" s="13" t="s">
        <v>31</v>
      </c>
      <c r="E5123" s="14"/>
      <c r="F5123" s="14"/>
      <c r="G5123" s="14"/>
      <c r="H5123" s="14"/>
    </row>
    <row r="5124" spans="3:11" x14ac:dyDescent="0.3">
      <c r="C5124" s="21" t="s">
        <v>32</v>
      </c>
      <c r="D5124" s="77"/>
      <c r="E5124" s="77"/>
      <c r="F5124" s="77"/>
      <c r="G5124" s="28"/>
      <c r="H5124" s="29">
        <f>SUM(H5123)</f>
        <v>0</v>
      </c>
    </row>
    <row r="5125" spans="3:11" x14ac:dyDescent="0.3">
      <c r="C5125" s="30" t="s">
        <v>33</v>
      </c>
      <c r="D5125" s="31" t="s">
        <v>34</v>
      </c>
      <c r="E5125" s="32"/>
      <c r="F5125" s="32"/>
      <c r="G5125" s="33"/>
      <c r="H5125" s="46">
        <f>H5124+H5122+H5119</f>
        <v>3368395</v>
      </c>
      <c r="I5125" s="47"/>
    </row>
    <row r="5126" spans="3:11" x14ac:dyDescent="0.3">
      <c r="C5126" s="30" t="s">
        <v>35</v>
      </c>
      <c r="D5126" s="31" t="s">
        <v>36</v>
      </c>
      <c r="E5126" s="32"/>
      <c r="F5126" s="33"/>
      <c r="G5126" s="34">
        <f>$M$9</f>
        <v>0.1</v>
      </c>
      <c r="H5126" s="19">
        <f>H5125*G5126</f>
        <v>336839.5</v>
      </c>
      <c r="I5126" s="47"/>
    </row>
    <row r="5127" spans="3:11" x14ac:dyDescent="0.3">
      <c r="C5127" s="30" t="s">
        <v>37</v>
      </c>
      <c r="D5127" s="31" t="s">
        <v>38</v>
      </c>
      <c r="E5127" s="32"/>
      <c r="F5127" s="32"/>
      <c r="G5127" s="33"/>
      <c r="H5127" s="48">
        <f>SUM(H5125:H5126)</f>
        <v>3705234.5</v>
      </c>
      <c r="I5127" s="47"/>
    </row>
    <row r="5129" spans="3:11" x14ac:dyDescent="0.3">
      <c r="C5129" s="40" t="s">
        <v>994</v>
      </c>
      <c r="D5129" s="68" t="s">
        <v>995</v>
      </c>
      <c r="E5129" s="44"/>
      <c r="F5129" s="44"/>
      <c r="G5129" s="44"/>
      <c r="H5129" s="44"/>
      <c r="I5129" s="10">
        <f>ROUNDDOWN(H5144,0)</f>
        <v>2577454</v>
      </c>
      <c r="J5129" s="15"/>
      <c r="K5129" s="39"/>
    </row>
    <row r="5130" spans="3:11" ht="27.6" x14ac:dyDescent="0.3">
      <c r="C5130" s="11" t="s">
        <v>9</v>
      </c>
      <c r="D5130" s="11" t="s">
        <v>10</v>
      </c>
      <c r="E5130" s="11" t="s">
        <v>11</v>
      </c>
      <c r="F5130" s="11" t="s">
        <v>12</v>
      </c>
      <c r="G5130" s="11" t="s">
        <v>13</v>
      </c>
      <c r="H5130" s="11" t="s">
        <v>14</v>
      </c>
    </row>
    <row r="5131" spans="3:11" x14ac:dyDescent="0.25">
      <c r="C5131" s="12" t="s">
        <v>15</v>
      </c>
      <c r="D5131" s="13" t="s">
        <v>16</v>
      </c>
      <c r="E5131" s="14"/>
      <c r="F5131" s="14"/>
      <c r="G5131" s="14"/>
      <c r="H5131" s="14"/>
    </row>
    <row r="5132" spans="3:11" x14ac:dyDescent="0.3">
      <c r="C5132" s="16">
        <v>1</v>
      </c>
      <c r="D5132" s="13" t="s">
        <v>18</v>
      </c>
      <c r="E5132" s="17" t="s">
        <v>19</v>
      </c>
      <c r="F5132" s="18">
        <v>0.63600000000000001</v>
      </c>
      <c r="G5132" s="19">
        <f>VLOOKUP(D5132,upahbahan,3,FALSE)</f>
        <v>100000</v>
      </c>
      <c r="H5132" s="19">
        <f t="shared" ref="H5132:H5135" si="560">F5132*G5132</f>
        <v>63600</v>
      </c>
    </row>
    <row r="5133" spans="3:11" x14ac:dyDescent="0.3">
      <c r="C5133" s="16">
        <v>2</v>
      </c>
      <c r="D5133" s="13" t="s">
        <v>214</v>
      </c>
      <c r="E5133" s="17" t="s">
        <v>19</v>
      </c>
      <c r="F5133" s="18">
        <v>1.0620000000000001</v>
      </c>
      <c r="G5133" s="19">
        <f>VLOOKUP(D5133,upahbahan,3,FALSE)</f>
        <v>145000</v>
      </c>
      <c r="H5133" s="19">
        <f t="shared" si="560"/>
        <v>153990</v>
      </c>
    </row>
    <row r="5134" spans="3:11" x14ac:dyDescent="0.3">
      <c r="C5134" s="16">
        <v>3</v>
      </c>
      <c r="D5134" s="13" t="s">
        <v>22</v>
      </c>
      <c r="E5134" s="17" t="s">
        <v>19</v>
      </c>
      <c r="F5134" s="18">
        <v>0.106</v>
      </c>
      <c r="G5134" s="19">
        <f>VLOOKUP(D5134,upahbahan,3,FALSE)</f>
        <v>175000</v>
      </c>
      <c r="H5134" s="19">
        <f t="shared" si="560"/>
        <v>18550</v>
      </c>
    </row>
    <row r="5135" spans="3:11" x14ac:dyDescent="0.3">
      <c r="C5135" s="16">
        <v>4</v>
      </c>
      <c r="D5135" s="13" t="s">
        <v>23</v>
      </c>
      <c r="E5135" s="17" t="s">
        <v>19</v>
      </c>
      <c r="F5135" s="18">
        <v>3.5000000000000003E-2</v>
      </c>
      <c r="G5135" s="19">
        <f>VLOOKUP(D5135,upahbahan,3,FALSE)</f>
        <v>200000</v>
      </c>
      <c r="H5135" s="19">
        <f t="shared" si="560"/>
        <v>7000.0000000000009</v>
      </c>
    </row>
    <row r="5136" spans="3:11" x14ac:dyDescent="0.3">
      <c r="C5136" s="21" t="s">
        <v>24</v>
      </c>
      <c r="D5136" s="22"/>
      <c r="E5136" s="22"/>
      <c r="F5136" s="54"/>
      <c r="G5136" s="24"/>
      <c r="H5136" s="19">
        <f>SUM(H5132:H5135)</f>
        <v>243140</v>
      </c>
      <c r="I5136" s="25"/>
    </row>
    <row r="5137" spans="3:11" x14ac:dyDescent="0.25">
      <c r="C5137" s="12" t="s">
        <v>25</v>
      </c>
      <c r="D5137" s="13" t="s">
        <v>26</v>
      </c>
      <c r="E5137" s="14"/>
      <c r="F5137" s="55"/>
      <c r="G5137" s="14"/>
      <c r="H5137" s="14"/>
    </row>
    <row r="5138" spans="3:11" x14ac:dyDescent="0.25">
      <c r="C5138" s="12">
        <v>1</v>
      </c>
      <c r="D5138" s="13" t="s">
        <v>996</v>
      </c>
      <c r="E5138" s="53" t="s">
        <v>949</v>
      </c>
      <c r="F5138" s="55">
        <v>1.05</v>
      </c>
      <c r="G5138" s="19">
        <f>VLOOKUP(D5138,upahbahan,3,FALSE)</f>
        <v>2000000</v>
      </c>
      <c r="H5138" s="19">
        <f t="shared" ref="H5138" si="561">F5138*G5138</f>
        <v>2100000</v>
      </c>
    </row>
    <row r="5139" spans="3:11" x14ac:dyDescent="0.3">
      <c r="C5139" s="21" t="s">
        <v>29</v>
      </c>
      <c r="D5139" s="22"/>
      <c r="E5139" s="22"/>
      <c r="F5139" s="22"/>
      <c r="G5139" s="28"/>
      <c r="H5139" s="19">
        <f>SUM(H5138:H5138)</f>
        <v>2100000</v>
      </c>
    </row>
    <row r="5140" spans="3:11" x14ac:dyDescent="0.25">
      <c r="C5140" s="12" t="s">
        <v>30</v>
      </c>
      <c r="D5140" s="13" t="s">
        <v>31</v>
      </c>
      <c r="E5140" s="14"/>
      <c r="F5140" s="14"/>
      <c r="G5140" s="14"/>
      <c r="H5140" s="14"/>
    </row>
    <row r="5141" spans="3:11" x14ac:dyDescent="0.3">
      <c r="C5141" s="21" t="s">
        <v>32</v>
      </c>
      <c r="D5141" s="77"/>
      <c r="E5141" s="77"/>
      <c r="F5141" s="77"/>
      <c r="G5141" s="28"/>
      <c r="H5141" s="29">
        <f>SUM(H5140)</f>
        <v>0</v>
      </c>
    </row>
    <row r="5142" spans="3:11" x14ac:dyDescent="0.3">
      <c r="C5142" s="30" t="s">
        <v>33</v>
      </c>
      <c r="D5142" s="31" t="s">
        <v>34</v>
      </c>
      <c r="E5142" s="32"/>
      <c r="F5142" s="32"/>
      <c r="G5142" s="33"/>
      <c r="H5142" s="46">
        <f>H5141+H5139+H5136</f>
        <v>2343140</v>
      </c>
      <c r="I5142" s="47"/>
    </row>
    <row r="5143" spans="3:11" x14ac:dyDescent="0.3">
      <c r="C5143" s="30" t="s">
        <v>35</v>
      </c>
      <c r="D5143" s="31" t="s">
        <v>36</v>
      </c>
      <c r="E5143" s="32"/>
      <c r="F5143" s="33"/>
      <c r="G5143" s="34">
        <f>$M$9</f>
        <v>0.1</v>
      </c>
      <c r="H5143" s="19">
        <f>H5142*G5143</f>
        <v>234314</v>
      </c>
      <c r="I5143" s="47"/>
    </row>
    <row r="5144" spans="3:11" x14ac:dyDescent="0.3">
      <c r="C5144" s="30" t="s">
        <v>37</v>
      </c>
      <c r="D5144" s="31" t="s">
        <v>38</v>
      </c>
      <c r="E5144" s="32"/>
      <c r="F5144" s="32"/>
      <c r="G5144" s="33"/>
      <c r="H5144" s="48">
        <f>SUM(H5142:H5143)</f>
        <v>2577454</v>
      </c>
      <c r="I5144" s="47"/>
    </row>
    <row r="5146" spans="3:11" x14ac:dyDescent="0.3">
      <c r="C5146" s="56" t="s">
        <v>997</v>
      </c>
      <c r="D5146" s="69" t="s">
        <v>998</v>
      </c>
      <c r="E5146" s="58"/>
      <c r="F5146" s="58"/>
      <c r="G5146" s="58"/>
      <c r="H5146" s="58"/>
      <c r="I5146" s="10">
        <f>ROUNDDOWN(H5161,0)</f>
        <v>39421954</v>
      </c>
      <c r="J5146" s="15"/>
      <c r="K5146" s="39"/>
    </row>
    <row r="5147" spans="3:11" ht="27.6" x14ac:dyDescent="0.3">
      <c r="C5147" s="11" t="s">
        <v>9</v>
      </c>
      <c r="D5147" s="11" t="s">
        <v>10</v>
      </c>
      <c r="E5147" s="11" t="s">
        <v>11</v>
      </c>
      <c r="F5147" s="11" t="s">
        <v>12</v>
      </c>
      <c r="G5147" s="11" t="s">
        <v>13</v>
      </c>
      <c r="H5147" s="11" t="s">
        <v>14</v>
      </c>
    </row>
    <row r="5148" spans="3:11" x14ac:dyDescent="0.25">
      <c r="C5148" s="12" t="s">
        <v>15</v>
      </c>
      <c r="D5148" s="13" t="s">
        <v>16</v>
      </c>
      <c r="E5148" s="14"/>
      <c r="F5148" s="14"/>
      <c r="G5148" s="14"/>
      <c r="H5148" s="14"/>
    </row>
    <row r="5149" spans="3:11" x14ac:dyDescent="0.3">
      <c r="C5149" s="16">
        <v>1</v>
      </c>
      <c r="D5149" s="13" t="s">
        <v>18</v>
      </c>
      <c r="E5149" s="17" t="s">
        <v>19</v>
      </c>
      <c r="F5149" s="18">
        <v>0.63600000000000001</v>
      </c>
      <c r="G5149" s="19">
        <f>VLOOKUP(D5149,upahbahan,3,FALSE)</f>
        <v>100000</v>
      </c>
      <c r="H5149" s="19">
        <f t="shared" ref="H5149:H5152" si="562">F5149*G5149</f>
        <v>63600</v>
      </c>
    </row>
    <row r="5150" spans="3:11" x14ac:dyDescent="0.3">
      <c r="C5150" s="16">
        <v>2</v>
      </c>
      <c r="D5150" s="13" t="s">
        <v>214</v>
      </c>
      <c r="E5150" s="17" t="s">
        <v>19</v>
      </c>
      <c r="F5150" s="18">
        <v>1.0620000000000001</v>
      </c>
      <c r="G5150" s="19">
        <f>VLOOKUP(D5150,upahbahan,3,FALSE)</f>
        <v>145000</v>
      </c>
      <c r="H5150" s="19">
        <f t="shared" si="562"/>
        <v>153990</v>
      </c>
    </row>
    <row r="5151" spans="3:11" x14ac:dyDescent="0.3">
      <c r="C5151" s="16">
        <v>3</v>
      </c>
      <c r="D5151" s="13" t="s">
        <v>22</v>
      </c>
      <c r="E5151" s="17" t="s">
        <v>19</v>
      </c>
      <c r="F5151" s="18">
        <v>0.106</v>
      </c>
      <c r="G5151" s="19">
        <f>VLOOKUP(D5151,upahbahan,3,FALSE)</f>
        <v>175000</v>
      </c>
      <c r="H5151" s="19">
        <f t="shared" si="562"/>
        <v>18550</v>
      </c>
    </row>
    <row r="5152" spans="3:11" x14ac:dyDescent="0.3">
      <c r="C5152" s="16">
        <v>4</v>
      </c>
      <c r="D5152" s="13" t="s">
        <v>23</v>
      </c>
      <c r="E5152" s="17" t="s">
        <v>19</v>
      </c>
      <c r="F5152" s="18">
        <v>3.5000000000000003E-2</v>
      </c>
      <c r="G5152" s="19">
        <f>VLOOKUP(D5152,upahbahan,3,FALSE)</f>
        <v>200000</v>
      </c>
      <c r="H5152" s="19">
        <f t="shared" si="562"/>
        <v>7000.0000000000009</v>
      </c>
    </row>
    <row r="5153" spans="3:11" x14ac:dyDescent="0.3">
      <c r="C5153" s="21" t="s">
        <v>24</v>
      </c>
      <c r="D5153" s="22"/>
      <c r="E5153" s="22"/>
      <c r="F5153" s="54"/>
      <c r="G5153" s="24"/>
      <c r="H5153" s="19">
        <f>SUM(H5149:H5152)</f>
        <v>243140</v>
      </c>
      <c r="I5153" s="25"/>
    </row>
    <row r="5154" spans="3:11" x14ac:dyDescent="0.25">
      <c r="C5154" s="12" t="s">
        <v>25</v>
      </c>
      <c r="D5154" s="13" t="s">
        <v>26</v>
      </c>
      <c r="E5154" s="14"/>
      <c r="F5154" s="55"/>
      <c r="G5154" s="14"/>
      <c r="H5154" s="14"/>
    </row>
    <row r="5155" spans="3:11" x14ac:dyDescent="0.25">
      <c r="C5155" s="12">
        <v>1</v>
      </c>
      <c r="D5155" s="13" t="s">
        <v>999</v>
      </c>
      <c r="E5155" s="53" t="s">
        <v>949</v>
      </c>
      <c r="F5155" s="115">
        <v>1.05</v>
      </c>
      <c r="G5155" s="19">
        <f>VLOOKUP(D5155,upahbahan,3,FALSE)</f>
        <v>33900000</v>
      </c>
      <c r="H5155" s="19">
        <f t="shared" ref="H5155" si="563">F5155*G5155</f>
        <v>35595000</v>
      </c>
    </row>
    <row r="5156" spans="3:11" x14ac:dyDescent="0.3">
      <c r="C5156" s="21" t="s">
        <v>29</v>
      </c>
      <c r="D5156" s="22"/>
      <c r="E5156" s="22"/>
      <c r="F5156" s="22"/>
      <c r="G5156" s="28"/>
      <c r="H5156" s="19">
        <f>SUM(H5155:H5155)</f>
        <v>35595000</v>
      </c>
    </row>
    <row r="5157" spans="3:11" x14ac:dyDescent="0.25">
      <c r="C5157" s="12" t="s">
        <v>30</v>
      </c>
      <c r="D5157" s="13" t="s">
        <v>31</v>
      </c>
      <c r="E5157" s="14"/>
      <c r="F5157" s="14"/>
      <c r="G5157" s="14"/>
      <c r="H5157" s="14"/>
    </row>
    <row r="5158" spans="3:11" x14ac:dyDescent="0.3">
      <c r="C5158" s="21" t="s">
        <v>32</v>
      </c>
      <c r="D5158" s="77"/>
      <c r="E5158" s="77"/>
      <c r="F5158" s="77"/>
      <c r="G5158" s="28"/>
      <c r="H5158" s="29">
        <f>SUM(H5157)</f>
        <v>0</v>
      </c>
    </row>
    <row r="5159" spans="3:11" x14ac:dyDescent="0.3">
      <c r="C5159" s="30" t="s">
        <v>33</v>
      </c>
      <c r="D5159" s="31" t="s">
        <v>34</v>
      </c>
      <c r="E5159" s="32"/>
      <c r="F5159" s="32"/>
      <c r="G5159" s="33"/>
      <c r="H5159" s="46">
        <f>H5158+H5156+H5153</f>
        <v>35838140</v>
      </c>
      <c r="I5159" s="47"/>
    </row>
    <row r="5160" spans="3:11" x14ac:dyDescent="0.3">
      <c r="C5160" s="30" t="s">
        <v>35</v>
      </c>
      <c r="D5160" s="31" t="s">
        <v>36</v>
      </c>
      <c r="E5160" s="32"/>
      <c r="F5160" s="33"/>
      <c r="G5160" s="34">
        <f>$M$9</f>
        <v>0.1</v>
      </c>
      <c r="H5160" s="19">
        <f>H5159*G5160</f>
        <v>3583814</v>
      </c>
      <c r="I5160" s="47"/>
    </row>
    <row r="5161" spans="3:11" x14ac:dyDescent="0.3">
      <c r="C5161" s="30" t="s">
        <v>37</v>
      </c>
      <c r="D5161" s="31" t="s">
        <v>38</v>
      </c>
      <c r="E5161" s="32"/>
      <c r="F5161" s="32"/>
      <c r="G5161" s="33"/>
      <c r="H5161" s="48">
        <f>SUM(H5159:H5160)</f>
        <v>39421954</v>
      </c>
      <c r="I5161" s="47"/>
    </row>
    <row r="5163" spans="3:11" x14ac:dyDescent="0.3">
      <c r="C5163" s="2" t="s">
        <v>1000</v>
      </c>
      <c r="D5163" s="2" t="s">
        <v>1001</v>
      </c>
    </row>
    <row r="5165" spans="3:11" x14ac:dyDescent="0.3">
      <c r="C5165" s="2" t="s">
        <v>1002</v>
      </c>
      <c r="D5165" s="2" t="s">
        <v>1003</v>
      </c>
    </row>
    <row r="5166" spans="3:11" x14ac:dyDescent="0.3">
      <c r="C5166" s="40" t="s">
        <v>1004</v>
      </c>
      <c r="D5166" s="68" t="s">
        <v>1005</v>
      </c>
      <c r="E5166" s="44"/>
      <c r="F5166" s="44"/>
      <c r="G5166" s="44"/>
      <c r="H5166" s="44"/>
      <c r="I5166" s="10">
        <f>ROUNDDOWN(H5188,0)</f>
        <v>14885706</v>
      </c>
      <c r="J5166" s="15"/>
      <c r="K5166" s="39"/>
    </row>
    <row r="5167" spans="3:11" ht="27.6" x14ac:dyDescent="0.3">
      <c r="C5167" s="11" t="s">
        <v>9</v>
      </c>
      <c r="D5167" s="11" t="s">
        <v>10</v>
      </c>
      <c r="E5167" s="11" t="s">
        <v>11</v>
      </c>
      <c r="F5167" s="11" t="s">
        <v>12</v>
      </c>
      <c r="G5167" s="11" t="s">
        <v>13</v>
      </c>
      <c r="H5167" s="11" t="s">
        <v>14</v>
      </c>
    </row>
    <row r="5168" spans="3:11" x14ac:dyDescent="0.25">
      <c r="C5168" s="12" t="s">
        <v>15</v>
      </c>
      <c r="D5168" s="13" t="s">
        <v>16</v>
      </c>
      <c r="E5168" s="14"/>
      <c r="F5168" s="14"/>
      <c r="G5168" s="14"/>
      <c r="H5168" s="14"/>
    </row>
    <row r="5169" spans="3:9" x14ac:dyDescent="0.3">
      <c r="C5169" s="16">
        <v>1</v>
      </c>
      <c r="D5169" s="13" t="s">
        <v>18</v>
      </c>
      <c r="E5169" s="17" t="s">
        <v>19</v>
      </c>
      <c r="F5169" s="18">
        <v>4</v>
      </c>
      <c r="G5169" s="19">
        <f>VLOOKUP(D5169,upahbahan,3,FALSE)</f>
        <v>100000</v>
      </c>
      <c r="H5169" s="19">
        <f t="shared" ref="H5169:H5172" si="564">F5169*G5169</f>
        <v>400000</v>
      </c>
    </row>
    <row r="5170" spans="3:9" x14ac:dyDescent="0.3">
      <c r="C5170" s="16">
        <v>2</v>
      </c>
      <c r="D5170" s="13" t="s">
        <v>214</v>
      </c>
      <c r="E5170" s="17" t="s">
        <v>19</v>
      </c>
      <c r="F5170" s="18">
        <v>2</v>
      </c>
      <c r="G5170" s="19">
        <f>VLOOKUP(D5170,upahbahan,3,FALSE)</f>
        <v>145000</v>
      </c>
      <c r="H5170" s="19">
        <f t="shared" si="564"/>
        <v>290000</v>
      </c>
    </row>
    <row r="5171" spans="3:9" x14ac:dyDescent="0.3">
      <c r="C5171" s="16">
        <v>3</v>
      </c>
      <c r="D5171" s="13" t="s">
        <v>22</v>
      </c>
      <c r="E5171" s="17" t="s">
        <v>19</v>
      </c>
      <c r="F5171" s="18">
        <v>0.2</v>
      </c>
      <c r="G5171" s="19">
        <f>VLOOKUP(D5171,upahbahan,3,FALSE)</f>
        <v>175000</v>
      </c>
      <c r="H5171" s="19">
        <f t="shared" si="564"/>
        <v>35000</v>
      </c>
    </row>
    <row r="5172" spans="3:9" x14ac:dyDescent="0.3">
      <c r="C5172" s="16">
        <v>4</v>
      </c>
      <c r="D5172" s="13" t="s">
        <v>23</v>
      </c>
      <c r="E5172" s="17" t="s">
        <v>19</v>
      </c>
      <c r="F5172" s="18">
        <v>6.7000000000000004E-2</v>
      </c>
      <c r="G5172" s="19">
        <f>VLOOKUP(D5172,upahbahan,3,FALSE)</f>
        <v>200000</v>
      </c>
      <c r="H5172" s="19">
        <f t="shared" si="564"/>
        <v>13400</v>
      </c>
    </row>
    <row r="5173" spans="3:9" x14ac:dyDescent="0.3">
      <c r="C5173" s="21" t="s">
        <v>24</v>
      </c>
      <c r="D5173" s="22"/>
      <c r="E5173" s="22"/>
      <c r="F5173" s="54"/>
      <c r="G5173" s="24"/>
      <c r="H5173" s="19">
        <f>SUM(H5169:H5172)</f>
        <v>738400</v>
      </c>
      <c r="I5173" s="25"/>
    </row>
    <row r="5174" spans="3:9" x14ac:dyDescent="0.25">
      <c r="C5174" s="12" t="s">
        <v>25</v>
      </c>
      <c r="D5174" s="13" t="s">
        <v>26</v>
      </c>
      <c r="E5174" s="14"/>
      <c r="F5174" s="55"/>
      <c r="G5174" s="14"/>
      <c r="H5174" s="14"/>
    </row>
    <row r="5175" spans="3:9" ht="27.6" x14ac:dyDescent="0.25">
      <c r="C5175" s="12">
        <v>1</v>
      </c>
      <c r="D5175" s="13" t="s">
        <v>1006</v>
      </c>
      <c r="E5175" s="53" t="s">
        <v>949</v>
      </c>
      <c r="F5175" s="115">
        <v>1</v>
      </c>
      <c r="G5175" s="19">
        <f>VLOOKUP(D5175,upahbahan,3,FALSE)</f>
        <v>829900</v>
      </c>
      <c r="H5175" s="19">
        <f>F5175*G5175</f>
        <v>829900</v>
      </c>
    </row>
    <row r="5176" spans="3:9" x14ac:dyDescent="0.25">
      <c r="C5176" s="12">
        <v>2</v>
      </c>
      <c r="D5176" s="13" t="s">
        <v>1007</v>
      </c>
      <c r="E5176" s="53" t="s">
        <v>949</v>
      </c>
      <c r="F5176" s="115">
        <v>1</v>
      </c>
      <c r="G5176" s="19">
        <f t="shared" ref="G5176:G5182" si="565">VLOOKUP(D5176,upahbahan,3,FALSE)</f>
        <v>135000</v>
      </c>
      <c r="H5176" s="19">
        <f t="shared" ref="H5176:H5182" si="566">F5176*G5176</f>
        <v>135000</v>
      </c>
    </row>
    <row r="5177" spans="3:9" ht="27.6" x14ac:dyDescent="0.25">
      <c r="C5177" s="12">
        <v>3</v>
      </c>
      <c r="D5177" s="13" t="s">
        <v>1008</v>
      </c>
      <c r="E5177" s="53" t="s">
        <v>1009</v>
      </c>
      <c r="F5177" s="115">
        <v>6</v>
      </c>
      <c r="G5177" s="19">
        <f t="shared" si="565"/>
        <v>1135000</v>
      </c>
      <c r="H5177" s="19">
        <f t="shared" si="566"/>
        <v>6810000</v>
      </c>
    </row>
    <row r="5178" spans="3:9" x14ac:dyDescent="0.25">
      <c r="C5178" s="12">
        <v>4</v>
      </c>
      <c r="D5178" s="13" t="s">
        <v>1010</v>
      </c>
      <c r="E5178" s="53" t="s">
        <v>1011</v>
      </c>
      <c r="F5178" s="115">
        <v>1</v>
      </c>
      <c r="G5178" s="19">
        <f t="shared" si="565"/>
        <v>245000</v>
      </c>
      <c r="H5178" s="19">
        <f t="shared" si="566"/>
        <v>245000</v>
      </c>
    </row>
    <row r="5179" spans="3:9" x14ac:dyDescent="0.25">
      <c r="C5179" s="12">
        <v>5</v>
      </c>
      <c r="D5179" s="13" t="s">
        <v>1012</v>
      </c>
      <c r="E5179" s="53" t="s">
        <v>974</v>
      </c>
      <c r="F5179" s="115">
        <v>26.4</v>
      </c>
      <c r="G5179" s="19">
        <f t="shared" si="565"/>
        <v>145000</v>
      </c>
      <c r="H5179" s="19">
        <f t="shared" si="566"/>
        <v>3828000</v>
      </c>
    </row>
    <row r="5180" spans="3:9" x14ac:dyDescent="0.25">
      <c r="C5180" s="12">
        <v>6</v>
      </c>
      <c r="D5180" s="13" t="s">
        <v>1013</v>
      </c>
      <c r="E5180" s="53" t="s">
        <v>974</v>
      </c>
      <c r="F5180" s="115">
        <v>4.4000000000000004</v>
      </c>
      <c r="G5180" s="19">
        <f t="shared" si="565"/>
        <v>26400</v>
      </c>
      <c r="H5180" s="19">
        <f t="shared" si="566"/>
        <v>116160.00000000001</v>
      </c>
    </row>
    <row r="5181" spans="3:9" x14ac:dyDescent="0.25">
      <c r="C5181" s="12">
        <v>7</v>
      </c>
      <c r="D5181" s="13" t="s">
        <v>1014</v>
      </c>
      <c r="E5181" s="53" t="s">
        <v>949</v>
      </c>
      <c r="F5181" s="115">
        <v>6</v>
      </c>
      <c r="G5181" s="19">
        <f t="shared" si="565"/>
        <v>130000</v>
      </c>
      <c r="H5181" s="19">
        <f t="shared" si="566"/>
        <v>780000</v>
      </c>
    </row>
    <row r="5182" spans="3:9" x14ac:dyDescent="0.25">
      <c r="C5182" s="12">
        <v>8</v>
      </c>
      <c r="D5182" s="13" t="s">
        <v>1015</v>
      </c>
      <c r="E5182" s="53" t="s">
        <v>1016</v>
      </c>
      <c r="F5182" s="115">
        <v>1</v>
      </c>
      <c r="G5182" s="19">
        <f t="shared" si="565"/>
        <v>50000</v>
      </c>
      <c r="H5182" s="19">
        <f t="shared" si="566"/>
        <v>50000</v>
      </c>
    </row>
    <row r="5183" spans="3:9" x14ac:dyDescent="0.3">
      <c r="C5183" s="21" t="s">
        <v>29</v>
      </c>
      <c r="D5183" s="22"/>
      <c r="E5183" s="22"/>
      <c r="F5183" s="22"/>
      <c r="G5183" s="28"/>
      <c r="H5183" s="19">
        <f>SUM(H5175:H5182)</f>
        <v>12794060</v>
      </c>
    </row>
    <row r="5184" spans="3:9" x14ac:dyDescent="0.25">
      <c r="C5184" s="12" t="s">
        <v>30</v>
      </c>
      <c r="D5184" s="13" t="s">
        <v>31</v>
      </c>
      <c r="E5184" s="14"/>
      <c r="F5184" s="14"/>
      <c r="G5184" s="14"/>
      <c r="H5184" s="14"/>
    </row>
    <row r="5185" spans="3:11" x14ac:dyDescent="0.3">
      <c r="C5185" s="21" t="s">
        <v>32</v>
      </c>
      <c r="D5185" s="77"/>
      <c r="E5185" s="77"/>
      <c r="F5185" s="77"/>
      <c r="G5185" s="28"/>
      <c r="H5185" s="29">
        <f>SUM(H5184)</f>
        <v>0</v>
      </c>
    </row>
    <row r="5186" spans="3:11" x14ac:dyDescent="0.3">
      <c r="C5186" s="30" t="s">
        <v>33</v>
      </c>
      <c r="D5186" s="31" t="s">
        <v>34</v>
      </c>
      <c r="E5186" s="32"/>
      <c r="F5186" s="32"/>
      <c r="G5186" s="33"/>
      <c r="H5186" s="46">
        <f>H5185+H5183+H5173</f>
        <v>13532460</v>
      </c>
      <c r="I5186" s="47"/>
    </row>
    <row r="5187" spans="3:11" x14ac:dyDescent="0.3">
      <c r="C5187" s="30" t="s">
        <v>35</v>
      </c>
      <c r="D5187" s="31" t="s">
        <v>36</v>
      </c>
      <c r="E5187" s="32"/>
      <c r="F5187" s="33"/>
      <c r="G5187" s="34">
        <f>$M$9</f>
        <v>0.1</v>
      </c>
      <c r="H5187" s="19">
        <f>H5186*G5187</f>
        <v>1353246</v>
      </c>
      <c r="I5187" s="47"/>
    </row>
    <row r="5188" spans="3:11" x14ac:dyDescent="0.3">
      <c r="C5188" s="30" t="s">
        <v>37</v>
      </c>
      <c r="D5188" s="31" t="s">
        <v>38</v>
      </c>
      <c r="E5188" s="32"/>
      <c r="F5188" s="32"/>
      <c r="G5188" s="33"/>
      <c r="H5188" s="48">
        <f>SUM(H5186:H5187)</f>
        <v>14885706</v>
      </c>
      <c r="I5188" s="47"/>
    </row>
    <row r="5190" spans="3:11" x14ac:dyDescent="0.3">
      <c r="C5190" s="40" t="s">
        <v>1017</v>
      </c>
      <c r="D5190" s="68" t="s">
        <v>1018</v>
      </c>
      <c r="E5190" s="44"/>
      <c r="F5190" s="44"/>
      <c r="G5190" s="44"/>
      <c r="H5190" s="44"/>
      <c r="I5190" s="10">
        <f>ROUNDDOWN(H5212,0)</f>
        <v>18390306</v>
      </c>
      <c r="J5190" s="15"/>
      <c r="K5190" s="39"/>
    </row>
    <row r="5191" spans="3:11" ht="27.6" x14ac:dyDescent="0.3">
      <c r="C5191" s="11" t="s">
        <v>9</v>
      </c>
      <c r="D5191" s="11" t="s">
        <v>10</v>
      </c>
      <c r="E5191" s="11" t="s">
        <v>11</v>
      </c>
      <c r="F5191" s="11" t="s">
        <v>12</v>
      </c>
      <c r="G5191" s="11" t="s">
        <v>13</v>
      </c>
      <c r="H5191" s="11" t="s">
        <v>14</v>
      </c>
    </row>
    <row r="5192" spans="3:11" x14ac:dyDescent="0.25">
      <c r="C5192" s="12" t="s">
        <v>15</v>
      </c>
      <c r="D5192" s="13" t="s">
        <v>16</v>
      </c>
      <c r="E5192" s="14"/>
      <c r="F5192" s="14"/>
      <c r="G5192" s="14"/>
      <c r="H5192" s="14"/>
    </row>
    <row r="5193" spans="3:11" x14ac:dyDescent="0.3">
      <c r="C5193" s="16">
        <v>1</v>
      </c>
      <c r="D5193" s="13" t="s">
        <v>18</v>
      </c>
      <c r="E5193" s="17" t="s">
        <v>19</v>
      </c>
      <c r="F5193" s="18">
        <v>4</v>
      </c>
      <c r="G5193" s="19">
        <f>VLOOKUP(D5193,upahbahan,3,FALSE)</f>
        <v>100000</v>
      </c>
      <c r="H5193" s="19">
        <f t="shared" ref="H5193:H5196" si="567">F5193*G5193</f>
        <v>400000</v>
      </c>
    </row>
    <row r="5194" spans="3:11" x14ac:dyDescent="0.3">
      <c r="C5194" s="16">
        <v>2</v>
      </c>
      <c r="D5194" s="13" t="s">
        <v>214</v>
      </c>
      <c r="E5194" s="17" t="s">
        <v>19</v>
      </c>
      <c r="F5194" s="18">
        <v>2</v>
      </c>
      <c r="G5194" s="19">
        <f>VLOOKUP(D5194,upahbahan,3,FALSE)</f>
        <v>145000</v>
      </c>
      <c r="H5194" s="19">
        <f t="shared" si="567"/>
        <v>290000</v>
      </c>
    </row>
    <row r="5195" spans="3:11" x14ac:dyDescent="0.3">
      <c r="C5195" s="16">
        <v>3</v>
      </c>
      <c r="D5195" s="13" t="s">
        <v>22</v>
      </c>
      <c r="E5195" s="17" t="s">
        <v>19</v>
      </c>
      <c r="F5195" s="18">
        <v>0.2</v>
      </c>
      <c r="G5195" s="19">
        <f>VLOOKUP(D5195,upahbahan,3,FALSE)</f>
        <v>175000</v>
      </c>
      <c r="H5195" s="19">
        <f t="shared" si="567"/>
        <v>35000</v>
      </c>
    </row>
    <row r="5196" spans="3:11" x14ac:dyDescent="0.3">
      <c r="C5196" s="16">
        <v>4</v>
      </c>
      <c r="D5196" s="13" t="s">
        <v>23</v>
      </c>
      <c r="E5196" s="17" t="s">
        <v>19</v>
      </c>
      <c r="F5196" s="18">
        <v>6.7000000000000004E-2</v>
      </c>
      <c r="G5196" s="19">
        <f>VLOOKUP(D5196,upahbahan,3,FALSE)</f>
        <v>200000</v>
      </c>
      <c r="H5196" s="19">
        <f t="shared" si="567"/>
        <v>13400</v>
      </c>
    </row>
    <row r="5197" spans="3:11" x14ac:dyDescent="0.3">
      <c r="C5197" s="21" t="s">
        <v>24</v>
      </c>
      <c r="D5197" s="22"/>
      <c r="E5197" s="22"/>
      <c r="F5197" s="54"/>
      <c r="G5197" s="24"/>
      <c r="H5197" s="19">
        <f>SUM(H5193:H5196)</f>
        <v>738400</v>
      </c>
      <c r="I5197" s="25"/>
    </row>
    <row r="5198" spans="3:11" x14ac:dyDescent="0.25">
      <c r="C5198" s="12" t="s">
        <v>25</v>
      </c>
      <c r="D5198" s="13" t="s">
        <v>26</v>
      </c>
      <c r="E5198" s="14"/>
      <c r="F5198" s="55"/>
      <c r="G5198" s="14"/>
      <c r="H5198" s="14"/>
    </row>
    <row r="5199" spans="3:11" ht="27.6" x14ac:dyDescent="0.25">
      <c r="C5199" s="12">
        <v>1</v>
      </c>
      <c r="D5199" s="13" t="s">
        <v>1006</v>
      </c>
      <c r="E5199" s="53" t="s">
        <v>949</v>
      </c>
      <c r="F5199" s="115">
        <v>1</v>
      </c>
      <c r="G5199" s="19">
        <f>VLOOKUP(D5199,upahbahan,3,FALSE)</f>
        <v>829900</v>
      </c>
      <c r="H5199" s="19">
        <f>F5199*G5199</f>
        <v>829900</v>
      </c>
    </row>
    <row r="5200" spans="3:11" x14ac:dyDescent="0.25">
      <c r="C5200" s="12">
        <v>2</v>
      </c>
      <c r="D5200" s="13" t="s">
        <v>1007</v>
      </c>
      <c r="E5200" s="53" t="s">
        <v>949</v>
      </c>
      <c r="F5200" s="115">
        <v>1</v>
      </c>
      <c r="G5200" s="19">
        <f t="shared" ref="G5200:G5206" si="568">VLOOKUP(D5200,upahbahan,3,FALSE)</f>
        <v>135000</v>
      </c>
      <c r="H5200" s="19">
        <f t="shared" ref="H5200:H5206" si="569">F5200*G5200</f>
        <v>135000</v>
      </c>
    </row>
    <row r="5201" spans="3:11" ht="27.6" x14ac:dyDescent="0.25">
      <c r="C5201" s="12">
        <v>3</v>
      </c>
      <c r="D5201" s="13" t="s">
        <v>1019</v>
      </c>
      <c r="E5201" s="53" t="s">
        <v>1009</v>
      </c>
      <c r="F5201" s="115">
        <v>6</v>
      </c>
      <c r="G5201" s="19">
        <f t="shared" si="568"/>
        <v>1666000</v>
      </c>
      <c r="H5201" s="19">
        <f t="shared" si="569"/>
        <v>9996000</v>
      </c>
    </row>
    <row r="5202" spans="3:11" x14ac:dyDescent="0.25">
      <c r="C5202" s="12">
        <v>4</v>
      </c>
      <c r="D5202" s="13" t="s">
        <v>1010</v>
      </c>
      <c r="E5202" s="53" t="s">
        <v>1011</v>
      </c>
      <c r="F5202" s="115">
        <v>1</v>
      </c>
      <c r="G5202" s="19">
        <f t="shared" si="568"/>
        <v>245000</v>
      </c>
      <c r="H5202" s="19">
        <f t="shared" si="569"/>
        <v>245000</v>
      </c>
    </row>
    <row r="5203" spans="3:11" x14ac:dyDescent="0.25">
      <c r="C5203" s="12">
        <v>5</v>
      </c>
      <c r="D5203" s="13" t="s">
        <v>1012</v>
      </c>
      <c r="E5203" s="53" t="s">
        <v>974</v>
      </c>
      <c r="F5203" s="115">
        <v>26.4</v>
      </c>
      <c r="G5203" s="19">
        <f t="shared" si="568"/>
        <v>145000</v>
      </c>
      <c r="H5203" s="19">
        <f t="shared" si="569"/>
        <v>3828000</v>
      </c>
    </row>
    <row r="5204" spans="3:11" x14ac:dyDescent="0.25">
      <c r="C5204" s="12">
        <v>6</v>
      </c>
      <c r="D5204" s="13" t="s">
        <v>1013</v>
      </c>
      <c r="E5204" s="53" t="s">
        <v>974</v>
      </c>
      <c r="F5204" s="115">
        <v>4.4000000000000004</v>
      </c>
      <c r="G5204" s="19">
        <f t="shared" si="568"/>
        <v>26400</v>
      </c>
      <c r="H5204" s="19">
        <f t="shared" si="569"/>
        <v>116160.00000000001</v>
      </c>
    </row>
    <row r="5205" spans="3:11" x14ac:dyDescent="0.25">
      <c r="C5205" s="12">
        <v>7</v>
      </c>
      <c r="D5205" s="13" t="s">
        <v>1014</v>
      </c>
      <c r="E5205" s="53" t="s">
        <v>949</v>
      </c>
      <c r="F5205" s="115">
        <v>6</v>
      </c>
      <c r="G5205" s="19">
        <f t="shared" si="568"/>
        <v>130000</v>
      </c>
      <c r="H5205" s="19">
        <f t="shared" si="569"/>
        <v>780000</v>
      </c>
    </row>
    <row r="5206" spans="3:11" x14ac:dyDescent="0.25">
      <c r="C5206" s="12">
        <v>8</v>
      </c>
      <c r="D5206" s="13" t="s">
        <v>1015</v>
      </c>
      <c r="E5206" s="53" t="s">
        <v>1016</v>
      </c>
      <c r="F5206" s="115">
        <v>1</v>
      </c>
      <c r="G5206" s="19">
        <f t="shared" si="568"/>
        <v>50000</v>
      </c>
      <c r="H5206" s="19">
        <f t="shared" si="569"/>
        <v>50000</v>
      </c>
    </row>
    <row r="5207" spans="3:11" x14ac:dyDescent="0.3">
      <c r="C5207" s="21" t="s">
        <v>29</v>
      </c>
      <c r="D5207" s="22"/>
      <c r="E5207" s="22"/>
      <c r="F5207" s="22"/>
      <c r="G5207" s="28"/>
      <c r="H5207" s="19">
        <f>SUM(H5199:H5206)</f>
        <v>15980060</v>
      </c>
    </row>
    <row r="5208" spans="3:11" x14ac:dyDescent="0.25">
      <c r="C5208" s="12" t="s">
        <v>30</v>
      </c>
      <c r="D5208" s="13" t="s">
        <v>31</v>
      </c>
      <c r="E5208" s="14"/>
      <c r="F5208" s="14"/>
      <c r="G5208" s="14"/>
      <c r="H5208" s="14"/>
    </row>
    <row r="5209" spans="3:11" x14ac:dyDescent="0.3">
      <c r="C5209" s="21" t="s">
        <v>32</v>
      </c>
      <c r="D5209" s="77"/>
      <c r="E5209" s="77"/>
      <c r="F5209" s="77"/>
      <c r="G5209" s="28"/>
      <c r="H5209" s="29">
        <f>SUM(H5208)</f>
        <v>0</v>
      </c>
    </row>
    <row r="5210" spans="3:11" x14ac:dyDescent="0.3">
      <c r="C5210" s="30" t="s">
        <v>33</v>
      </c>
      <c r="D5210" s="31" t="s">
        <v>34</v>
      </c>
      <c r="E5210" s="32"/>
      <c r="F5210" s="32"/>
      <c r="G5210" s="33"/>
      <c r="H5210" s="46">
        <f>H5209+H5207+H5197</f>
        <v>16718460</v>
      </c>
      <c r="I5210" s="47"/>
    </row>
    <row r="5211" spans="3:11" x14ac:dyDescent="0.3">
      <c r="C5211" s="30" t="s">
        <v>35</v>
      </c>
      <c r="D5211" s="31" t="s">
        <v>36</v>
      </c>
      <c r="E5211" s="32"/>
      <c r="F5211" s="33"/>
      <c r="G5211" s="34">
        <f>$M$9</f>
        <v>0.1</v>
      </c>
      <c r="H5211" s="19">
        <f>H5210*G5211</f>
        <v>1671846</v>
      </c>
      <c r="I5211" s="47"/>
    </row>
    <row r="5212" spans="3:11" x14ac:dyDescent="0.3">
      <c r="C5212" s="30" t="s">
        <v>37</v>
      </c>
      <c r="D5212" s="31" t="s">
        <v>38</v>
      </c>
      <c r="E5212" s="32"/>
      <c r="F5212" s="32"/>
      <c r="G5212" s="33"/>
      <c r="H5212" s="48">
        <f>SUM(H5210:H5211)</f>
        <v>18390306</v>
      </c>
      <c r="I5212" s="47"/>
    </row>
    <row r="5214" spans="3:11" x14ac:dyDescent="0.3">
      <c r="C5214" s="2" t="s">
        <v>1020</v>
      </c>
      <c r="D5214" s="2" t="s">
        <v>1021</v>
      </c>
    </row>
    <row r="5215" spans="3:11" x14ac:dyDescent="0.3">
      <c r="C5215" s="40" t="s">
        <v>1022</v>
      </c>
      <c r="D5215" s="68" t="s">
        <v>1023</v>
      </c>
      <c r="E5215" s="44"/>
      <c r="F5215" s="44"/>
      <c r="G5215" s="44"/>
      <c r="H5215" s="44"/>
      <c r="I5215" s="10">
        <f>ROUNDDOWN(H5230,0)</f>
        <v>2057341</v>
      </c>
      <c r="J5215" s="15"/>
      <c r="K5215" s="39"/>
    </row>
    <row r="5216" spans="3:11" ht="27.6" x14ac:dyDescent="0.3">
      <c r="C5216" s="11" t="s">
        <v>9</v>
      </c>
      <c r="D5216" s="11" t="s">
        <v>10</v>
      </c>
      <c r="E5216" s="11" t="s">
        <v>11</v>
      </c>
      <c r="F5216" s="11" t="s">
        <v>12</v>
      </c>
      <c r="G5216" s="11" t="s">
        <v>13</v>
      </c>
      <c r="H5216" s="11" t="s">
        <v>14</v>
      </c>
    </row>
    <row r="5217" spans="3:9" x14ac:dyDescent="0.25">
      <c r="C5217" s="12" t="s">
        <v>15</v>
      </c>
      <c r="D5217" s="13" t="s">
        <v>16</v>
      </c>
      <c r="E5217" s="14"/>
      <c r="F5217" s="14"/>
      <c r="G5217" s="14"/>
      <c r="H5217" s="14"/>
    </row>
    <row r="5218" spans="3:9" x14ac:dyDescent="0.3">
      <c r="C5218" s="16">
        <v>1</v>
      </c>
      <c r="D5218" s="13" t="s">
        <v>18</v>
      </c>
      <c r="E5218" s="17" t="s">
        <v>19</v>
      </c>
      <c r="F5218" s="18">
        <v>0.19</v>
      </c>
      <c r="G5218" s="19">
        <f>VLOOKUP(D5218,upahbahan,3,FALSE)</f>
        <v>100000</v>
      </c>
      <c r="H5218" s="19">
        <f t="shared" ref="H5218:H5221" si="570">F5218*G5218</f>
        <v>19000</v>
      </c>
    </row>
    <row r="5219" spans="3:9" x14ac:dyDescent="0.3">
      <c r="C5219" s="16">
        <v>2</v>
      </c>
      <c r="D5219" s="13" t="s">
        <v>214</v>
      </c>
      <c r="E5219" s="17" t="s">
        <v>19</v>
      </c>
      <c r="F5219" s="18">
        <v>0.318</v>
      </c>
      <c r="G5219" s="19">
        <f>VLOOKUP(D5219,upahbahan,3,FALSE)</f>
        <v>145000</v>
      </c>
      <c r="H5219" s="19">
        <f t="shared" si="570"/>
        <v>46110</v>
      </c>
    </row>
    <row r="5220" spans="3:9" x14ac:dyDescent="0.3">
      <c r="C5220" s="16">
        <v>3</v>
      </c>
      <c r="D5220" s="13" t="s">
        <v>22</v>
      </c>
      <c r="E5220" s="17" t="s">
        <v>19</v>
      </c>
      <c r="F5220" s="18">
        <v>3.2000000000000001E-2</v>
      </c>
      <c r="G5220" s="19">
        <f>VLOOKUP(D5220,upahbahan,3,FALSE)</f>
        <v>175000</v>
      </c>
      <c r="H5220" s="19">
        <f t="shared" si="570"/>
        <v>5600</v>
      </c>
    </row>
    <row r="5221" spans="3:9" x14ac:dyDescent="0.3">
      <c r="C5221" s="16">
        <v>4</v>
      </c>
      <c r="D5221" s="13" t="s">
        <v>23</v>
      </c>
      <c r="E5221" s="17" t="s">
        <v>19</v>
      </c>
      <c r="F5221" s="18">
        <v>1.0999999999999999E-2</v>
      </c>
      <c r="G5221" s="19">
        <f>VLOOKUP(D5221,upahbahan,3,FALSE)</f>
        <v>200000</v>
      </c>
      <c r="H5221" s="19">
        <f t="shared" si="570"/>
        <v>2200</v>
      </c>
    </row>
    <row r="5222" spans="3:9" x14ac:dyDescent="0.3">
      <c r="C5222" s="21" t="s">
        <v>24</v>
      </c>
      <c r="D5222" s="22"/>
      <c r="E5222" s="22"/>
      <c r="F5222" s="54"/>
      <c r="G5222" s="24"/>
      <c r="H5222" s="19">
        <f>SUM(H5218:H5221)</f>
        <v>72910</v>
      </c>
      <c r="I5222" s="25"/>
    </row>
    <row r="5223" spans="3:9" x14ac:dyDescent="0.25">
      <c r="C5223" s="12" t="s">
        <v>25</v>
      </c>
      <c r="D5223" s="13" t="s">
        <v>26</v>
      </c>
      <c r="E5223" s="14"/>
      <c r="F5223" s="55"/>
      <c r="G5223" s="14"/>
      <c r="H5223" s="14"/>
    </row>
    <row r="5224" spans="3:9" x14ac:dyDescent="0.25">
      <c r="C5224" s="12">
        <v>1</v>
      </c>
      <c r="D5224" s="13" t="s">
        <v>1024</v>
      </c>
      <c r="E5224" s="53" t="s">
        <v>617</v>
      </c>
      <c r="F5224" s="115">
        <v>1.1000000000000001</v>
      </c>
      <c r="G5224" s="19">
        <f>VLOOKUP(D5224,upahbahan,3,FALSE)</f>
        <v>1634000</v>
      </c>
      <c r="H5224" s="19">
        <f>F5224*G5224</f>
        <v>1797400.0000000002</v>
      </c>
    </row>
    <row r="5225" spans="3:9" x14ac:dyDescent="0.3">
      <c r="C5225" s="21" t="s">
        <v>29</v>
      </c>
      <c r="D5225" s="22"/>
      <c r="E5225" s="22"/>
      <c r="F5225" s="22"/>
      <c r="G5225" s="28"/>
      <c r="H5225" s="19">
        <f>SUM(H5224:H5224)</f>
        <v>1797400.0000000002</v>
      </c>
    </row>
    <row r="5226" spans="3:9" x14ac:dyDescent="0.25">
      <c r="C5226" s="12" t="s">
        <v>30</v>
      </c>
      <c r="D5226" s="13" t="s">
        <v>31</v>
      </c>
      <c r="E5226" s="14"/>
      <c r="F5226" s="14"/>
      <c r="G5226" s="14"/>
      <c r="H5226" s="14"/>
    </row>
    <row r="5227" spans="3:9" x14ac:dyDescent="0.3">
      <c r="C5227" s="21" t="s">
        <v>32</v>
      </c>
      <c r="D5227" s="77"/>
      <c r="E5227" s="77"/>
      <c r="F5227" s="77"/>
      <c r="G5227" s="28"/>
      <c r="H5227" s="29">
        <f>SUM(H5226)</f>
        <v>0</v>
      </c>
    </row>
    <row r="5228" spans="3:9" x14ac:dyDescent="0.3">
      <c r="C5228" s="30" t="s">
        <v>33</v>
      </c>
      <c r="D5228" s="31" t="s">
        <v>34</v>
      </c>
      <c r="E5228" s="32"/>
      <c r="F5228" s="32"/>
      <c r="G5228" s="33"/>
      <c r="H5228" s="46">
        <f>H5227+H5225+H5222</f>
        <v>1870310.0000000002</v>
      </c>
      <c r="I5228" s="47"/>
    </row>
    <row r="5229" spans="3:9" x14ac:dyDescent="0.3">
      <c r="C5229" s="30" t="s">
        <v>35</v>
      </c>
      <c r="D5229" s="31" t="s">
        <v>36</v>
      </c>
      <c r="E5229" s="32"/>
      <c r="F5229" s="33"/>
      <c r="G5229" s="34">
        <f>$M$9</f>
        <v>0.1</v>
      </c>
      <c r="H5229" s="19">
        <f>H5228*G5229</f>
        <v>187031.00000000003</v>
      </c>
      <c r="I5229" s="47"/>
    </row>
    <row r="5230" spans="3:9" x14ac:dyDescent="0.3">
      <c r="C5230" s="30" t="s">
        <v>37</v>
      </c>
      <c r="D5230" s="31" t="s">
        <v>38</v>
      </c>
      <c r="E5230" s="32"/>
      <c r="F5230" s="32"/>
      <c r="G5230" s="33"/>
      <c r="H5230" s="48">
        <f>SUM(H5228:H5229)</f>
        <v>2057341.0000000002</v>
      </c>
      <c r="I5230" s="47"/>
    </row>
    <row r="5233" spans="3:11" x14ac:dyDescent="0.3">
      <c r="C5233" s="40" t="s">
        <v>1025</v>
      </c>
      <c r="D5233" s="68" t="s">
        <v>1026</v>
      </c>
      <c r="E5233" s="44"/>
      <c r="F5233" s="44"/>
      <c r="G5233" s="44"/>
      <c r="H5233" s="44"/>
      <c r="I5233" s="10">
        <f>ROUNDDOWN(H5248,0)</f>
        <v>791197</v>
      </c>
      <c r="J5233" s="15"/>
      <c r="K5233" s="39"/>
    </row>
    <row r="5234" spans="3:11" ht="27.6" x14ac:dyDescent="0.3">
      <c r="C5234" s="11" t="s">
        <v>9</v>
      </c>
      <c r="D5234" s="11" t="s">
        <v>10</v>
      </c>
      <c r="E5234" s="11" t="s">
        <v>11</v>
      </c>
      <c r="F5234" s="11" t="s">
        <v>12</v>
      </c>
      <c r="G5234" s="11" t="s">
        <v>13</v>
      </c>
      <c r="H5234" s="11" t="s">
        <v>14</v>
      </c>
    </row>
    <row r="5235" spans="3:11" x14ac:dyDescent="0.25">
      <c r="C5235" s="12" t="s">
        <v>15</v>
      </c>
      <c r="D5235" s="13" t="s">
        <v>16</v>
      </c>
      <c r="E5235" s="14"/>
      <c r="F5235" s="14"/>
      <c r="G5235" s="14"/>
      <c r="H5235" s="14"/>
    </row>
    <row r="5236" spans="3:11" x14ac:dyDescent="0.3">
      <c r="C5236" s="16">
        <v>1</v>
      </c>
      <c r="D5236" s="13" t="s">
        <v>18</v>
      </c>
      <c r="E5236" s="17" t="s">
        <v>19</v>
      </c>
      <c r="F5236" s="18">
        <v>0.19</v>
      </c>
      <c r="G5236" s="19">
        <f>VLOOKUP(D5236,upahbahan,3,FALSE)</f>
        <v>100000</v>
      </c>
      <c r="H5236" s="19">
        <f t="shared" ref="H5236:H5239" si="571">F5236*G5236</f>
        <v>19000</v>
      </c>
    </row>
    <row r="5237" spans="3:11" x14ac:dyDescent="0.3">
      <c r="C5237" s="16">
        <v>2</v>
      </c>
      <c r="D5237" s="13" t="s">
        <v>214</v>
      </c>
      <c r="E5237" s="17" t="s">
        <v>19</v>
      </c>
      <c r="F5237" s="18">
        <v>0.318</v>
      </c>
      <c r="G5237" s="19">
        <f>VLOOKUP(D5237,upahbahan,3,FALSE)</f>
        <v>145000</v>
      </c>
      <c r="H5237" s="19">
        <f t="shared" si="571"/>
        <v>46110</v>
      </c>
    </row>
    <row r="5238" spans="3:11" x14ac:dyDescent="0.3">
      <c r="C5238" s="16">
        <v>3</v>
      </c>
      <c r="D5238" s="13" t="s">
        <v>22</v>
      </c>
      <c r="E5238" s="17" t="s">
        <v>19</v>
      </c>
      <c r="F5238" s="18">
        <v>3.2000000000000001E-2</v>
      </c>
      <c r="G5238" s="19">
        <f>VLOOKUP(D5238,upahbahan,3,FALSE)</f>
        <v>175000</v>
      </c>
      <c r="H5238" s="19">
        <f t="shared" si="571"/>
        <v>5600</v>
      </c>
    </row>
    <row r="5239" spans="3:11" x14ac:dyDescent="0.3">
      <c r="C5239" s="16">
        <v>4</v>
      </c>
      <c r="D5239" s="13" t="s">
        <v>23</v>
      </c>
      <c r="E5239" s="17" t="s">
        <v>19</v>
      </c>
      <c r="F5239" s="18">
        <v>1.0999999999999999E-2</v>
      </c>
      <c r="G5239" s="19">
        <f>VLOOKUP(D5239,upahbahan,3,FALSE)</f>
        <v>200000</v>
      </c>
      <c r="H5239" s="19">
        <f t="shared" si="571"/>
        <v>2200</v>
      </c>
    </row>
    <row r="5240" spans="3:11" x14ac:dyDescent="0.3">
      <c r="C5240" s="21" t="s">
        <v>24</v>
      </c>
      <c r="D5240" s="22"/>
      <c r="E5240" s="22"/>
      <c r="F5240" s="54"/>
      <c r="G5240" s="24"/>
      <c r="H5240" s="19">
        <f>SUM(H5236:H5239)</f>
        <v>72910</v>
      </c>
      <c r="I5240" s="25"/>
    </row>
    <row r="5241" spans="3:11" x14ac:dyDescent="0.25">
      <c r="C5241" s="12" t="s">
        <v>25</v>
      </c>
      <c r="D5241" s="13" t="s">
        <v>26</v>
      </c>
      <c r="E5241" s="14"/>
      <c r="F5241" s="55"/>
      <c r="G5241" s="14"/>
      <c r="H5241" s="14"/>
    </row>
    <row r="5242" spans="3:11" x14ac:dyDescent="0.25">
      <c r="C5242" s="12">
        <v>1</v>
      </c>
      <c r="D5242" s="13" t="s">
        <v>1027</v>
      </c>
      <c r="E5242" s="53" t="s">
        <v>617</v>
      </c>
      <c r="F5242" s="115">
        <v>1.1000000000000001</v>
      </c>
      <c r="G5242" s="19">
        <f>VLOOKUP(D5242,upahbahan,3,FALSE)</f>
        <v>587600</v>
      </c>
      <c r="H5242" s="19">
        <f>F5242*G5242</f>
        <v>646360</v>
      </c>
    </row>
    <row r="5243" spans="3:11" x14ac:dyDescent="0.3">
      <c r="C5243" s="21" t="s">
        <v>29</v>
      </c>
      <c r="D5243" s="22"/>
      <c r="E5243" s="22"/>
      <c r="F5243" s="22"/>
      <c r="G5243" s="28"/>
      <c r="H5243" s="19">
        <f>SUM(H5242:H5242)</f>
        <v>646360</v>
      </c>
    </row>
    <row r="5244" spans="3:11" x14ac:dyDescent="0.25">
      <c r="C5244" s="12" t="s">
        <v>30</v>
      </c>
      <c r="D5244" s="13" t="s">
        <v>31</v>
      </c>
      <c r="E5244" s="14"/>
      <c r="F5244" s="14"/>
      <c r="G5244" s="14"/>
      <c r="H5244" s="14"/>
    </row>
    <row r="5245" spans="3:11" x14ac:dyDescent="0.3">
      <c r="C5245" s="21" t="s">
        <v>32</v>
      </c>
      <c r="D5245" s="77"/>
      <c r="E5245" s="77"/>
      <c r="F5245" s="77"/>
      <c r="G5245" s="28"/>
      <c r="H5245" s="29">
        <f>SUM(H5244)</f>
        <v>0</v>
      </c>
    </row>
    <row r="5246" spans="3:11" x14ac:dyDescent="0.3">
      <c r="C5246" s="30" t="s">
        <v>33</v>
      </c>
      <c r="D5246" s="31" t="s">
        <v>34</v>
      </c>
      <c r="E5246" s="32"/>
      <c r="F5246" s="32"/>
      <c r="G5246" s="33"/>
      <c r="H5246" s="46">
        <f>H5245+H5243+H5240</f>
        <v>719270</v>
      </c>
      <c r="I5246" s="47"/>
    </row>
    <row r="5247" spans="3:11" x14ac:dyDescent="0.3">
      <c r="C5247" s="30" t="s">
        <v>35</v>
      </c>
      <c r="D5247" s="31" t="s">
        <v>36</v>
      </c>
      <c r="E5247" s="32"/>
      <c r="F5247" s="33"/>
      <c r="G5247" s="34">
        <f>$M$9</f>
        <v>0.1</v>
      </c>
      <c r="H5247" s="19">
        <f>H5246*G5247</f>
        <v>71927</v>
      </c>
      <c r="I5247" s="47"/>
    </row>
    <row r="5248" spans="3:11" x14ac:dyDescent="0.3">
      <c r="C5248" s="30" t="s">
        <v>37</v>
      </c>
      <c r="D5248" s="31" t="s">
        <v>38</v>
      </c>
      <c r="E5248" s="32"/>
      <c r="F5248" s="32"/>
      <c r="G5248" s="33"/>
      <c r="H5248" s="48">
        <f>SUM(H5246:H5247)</f>
        <v>791197</v>
      </c>
      <c r="I5248" s="47"/>
    </row>
    <row r="5250" spans="3:11" x14ac:dyDescent="0.3">
      <c r="C5250" s="40" t="s">
        <v>1028</v>
      </c>
      <c r="D5250" s="68" t="s">
        <v>1029</v>
      </c>
      <c r="E5250" s="44"/>
      <c r="F5250" s="44"/>
      <c r="G5250" s="44"/>
      <c r="H5250" s="44"/>
      <c r="I5250" s="10">
        <f>ROUNDDOWN(H5265,0)</f>
        <v>96536</v>
      </c>
      <c r="J5250" s="15"/>
      <c r="K5250" s="39"/>
    </row>
    <row r="5251" spans="3:11" ht="27.6" x14ac:dyDescent="0.3">
      <c r="C5251" s="11" t="s">
        <v>9</v>
      </c>
      <c r="D5251" s="11" t="s">
        <v>10</v>
      </c>
      <c r="E5251" s="11" t="s">
        <v>11</v>
      </c>
      <c r="F5251" s="11" t="s">
        <v>12</v>
      </c>
      <c r="G5251" s="11" t="s">
        <v>13</v>
      </c>
      <c r="H5251" s="11" t="s">
        <v>14</v>
      </c>
    </row>
    <row r="5252" spans="3:11" x14ac:dyDescent="0.25">
      <c r="C5252" s="12" t="s">
        <v>15</v>
      </c>
      <c r="D5252" s="13" t="s">
        <v>16</v>
      </c>
      <c r="E5252" s="14"/>
      <c r="F5252" s="14"/>
      <c r="G5252" s="14"/>
      <c r="H5252" s="14"/>
    </row>
    <row r="5253" spans="3:11" x14ac:dyDescent="0.3">
      <c r="C5253" s="16">
        <v>1</v>
      </c>
      <c r="D5253" s="13" t="s">
        <v>18</v>
      </c>
      <c r="E5253" s="17" t="s">
        <v>19</v>
      </c>
      <c r="F5253" s="18">
        <v>0.19</v>
      </c>
      <c r="G5253" s="19">
        <f>VLOOKUP(D5253,upahbahan,3,FALSE)</f>
        <v>100000</v>
      </c>
      <c r="H5253" s="19">
        <f t="shared" ref="H5253:H5256" si="572">F5253*G5253</f>
        <v>19000</v>
      </c>
    </row>
    <row r="5254" spans="3:11" x14ac:dyDescent="0.3">
      <c r="C5254" s="16">
        <v>2</v>
      </c>
      <c r="D5254" s="13" t="s">
        <v>214</v>
      </c>
      <c r="E5254" s="17" t="s">
        <v>19</v>
      </c>
      <c r="F5254" s="18">
        <v>0.318</v>
      </c>
      <c r="G5254" s="19">
        <f>VLOOKUP(D5254,upahbahan,3,FALSE)</f>
        <v>145000</v>
      </c>
      <c r="H5254" s="19">
        <f t="shared" si="572"/>
        <v>46110</v>
      </c>
    </row>
    <row r="5255" spans="3:11" x14ac:dyDescent="0.3">
      <c r="C5255" s="16">
        <v>3</v>
      </c>
      <c r="D5255" s="13" t="s">
        <v>22</v>
      </c>
      <c r="E5255" s="17" t="s">
        <v>19</v>
      </c>
      <c r="F5255" s="18">
        <v>3.2000000000000001E-2</v>
      </c>
      <c r="G5255" s="19">
        <f>VLOOKUP(D5255,upahbahan,3,FALSE)</f>
        <v>175000</v>
      </c>
      <c r="H5255" s="19">
        <f t="shared" si="572"/>
        <v>5600</v>
      </c>
    </row>
    <row r="5256" spans="3:11" x14ac:dyDescent="0.3">
      <c r="C5256" s="16">
        <v>4</v>
      </c>
      <c r="D5256" s="13" t="s">
        <v>23</v>
      </c>
      <c r="E5256" s="17" t="s">
        <v>19</v>
      </c>
      <c r="F5256" s="18">
        <v>1.0999999999999999E-2</v>
      </c>
      <c r="G5256" s="19">
        <f>VLOOKUP(D5256,upahbahan,3,FALSE)</f>
        <v>200000</v>
      </c>
      <c r="H5256" s="19">
        <f t="shared" si="572"/>
        <v>2200</v>
      </c>
    </row>
    <row r="5257" spans="3:11" x14ac:dyDescent="0.3">
      <c r="C5257" s="21" t="s">
        <v>24</v>
      </c>
      <c r="D5257" s="22"/>
      <c r="E5257" s="22"/>
      <c r="F5257" s="54"/>
      <c r="G5257" s="24"/>
      <c r="H5257" s="19">
        <f>SUM(H5253:H5256)</f>
        <v>72910</v>
      </c>
      <c r="I5257" s="25"/>
    </row>
    <row r="5258" spans="3:11" x14ac:dyDescent="0.25">
      <c r="C5258" s="12" t="s">
        <v>25</v>
      </c>
      <c r="D5258" s="13" t="s">
        <v>26</v>
      </c>
      <c r="E5258" s="14"/>
      <c r="F5258" s="55"/>
      <c r="G5258" s="14"/>
      <c r="H5258" s="14"/>
    </row>
    <row r="5259" spans="3:11" x14ac:dyDescent="0.25">
      <c r="C5259" s="12">
        <v>1</v>
      </c>
      <c r="D5259" s="13" t="s">
        <v>1030</v>
      </c>
      <c r="E5259" s="53" t="s">
        <v>617</v>
      </c>
      <c r="F5259" s="115">
        <v>1.1000000000000001</v>
      </c>
      <c r="G5259" s="19">
        <f>VLOOKUP(D5259,upahbahan,3,FALSE)</f>
        <v>13500</v>
      </c>
      <c r="H5259" s="19">
        <f>F5259*G5259</f>
        <v>14850.000000000002</v>
      </c>
    </row>
    <row r="5260" spans="3:11" x14ac:dyDescent="0.3">
      <c r="C5260" s="21" t="s">
        <v>29</v>
      </c>
      <c r="D5260" s="22"/>
      <c r="E5260" s="22"/>
      <c r="F5260" s="22"/>
      <c r="G5260" s="28"/>
      <c r="H5260" s="19">
        <f>SUM(H5259:H5259)</f>
        <v>14850.000000000002</v>
      </c>
    </row>
    <row r="5261" spans="3:11" x14ac:dyDescent="0.25">
      <c r="C5261" s="12" t="s">
        <v>30</v>
      </c>
      <c r="D5261" s="13" t="s">
        <v>31</v>
      </c>
      <c r="E5261" s="14"/>
      <c r="F5261" s="14"/>
      <c r="G5261" s="14"/>
      <c r="H5261" s="14"/>
    </row>
    <row r="5262" spans="3:11" x14ac:dyDescent="0.3">
      <c r="C5262" s="21" t="s">
        <v>32</v>
      </c>
      <c r="D5262" s="77"/>
      <c r="E5262" s="77"/>
      <c r="F5262" s="77"/>
      <c r="G5262" s="28"/>
      <c r="H5262" s="29">
        <f>SUM(H5261)</f>
        <v>0</v>
      </c>
    </row>
    <row r="5263" spans="3:11" x14ac:dyDescent="0.3">
      <c r="C5263" s="30" t="s">
        <v>33</v>
      </c>
      <c r="D5263" s="31" t="s">
        <v>34</v>
      </c>
      <c r="E5263" s="32"/>
      <c r="F5263" s="32"/>
      <c r="G5263" s="33"/>
      <c r="H5263" s="46">
        <f>H5262+H5260+H5257</f>
        <v>87760</v>
      </c>
      <c r="I5263" s="47"/>
    </row>
    <row r="5264" spans="3:11" x14ac:dyDescent="0.3">
      <c r="C5264" s="30" t="s">
        <v>35</v>
      </c>
      <c r="D5264" s="31" t="s">
        <v>36</v>
      </c>
      <c r="E5264" s="32"/>
      <c r="F5264" s="33"/>
      <c r="G5264" s="34">
        <f>$M$9</f>
        <v>0.1</v>
      </c>
      <c r="H5264" s="19">
        <f>H5263*G5264</f>
        <v>8776</v>
      </c>
      <c r="I5264" s="47"/>
    </row>
    <row r="5265" spans="3:11" x14ac:dyDescent="0.3">
      <c r="C5265" s="30" t="s">
        <v>37</v>
      </c>
      <c r="D5265" s="31" t="s">
        <v>38</v>
      </c>
      <c r="E5265" s="32"/>
      <c r="F5265" s="32"/>
      <c r="G5265" s="33"/>
      <c r="H5265" s="48">
        <f>SUM(H5263:H5264)</f>
        <v>96536</v>
      </c>
      <c r="I5265" s="47"/>
    </row>
    <row r="5267" spans="3:11" x14ac:dyDescent="0.3">
      <c r="C5267" s="40" t="s">
        <v>1031</v>
      </c>
      <c r="D5267" s="68" t="s">
        <v>1032</v>
      </c>
      <c r="E5267" s="44"/>
      <c r="F5267" s="44"/>
      <c r="G5267" s="44"/>
      <c r="H5267" s="44"/>
      <c r="I5267" s="10">
        <f>ROUNDDOWN(H5282,0)</f>
        <v>114532</v>
      </c>
      <c r="J5267" s="15"/>
      <c r="K5267" s="39"/>
    </row>
    <row r="5268" spans="3:11" ht="27.6" x14ac:dyDescent="0.3">
      <c r="C5268" s="11" t="s">
        <v>9</v>
      </c>
      <c r="D5268" s="11" t="s">
        <v>10</v>
      </c>
      <c r="E5268" s="11" t="s">
        <v>11</v>
      </c>
      <c r="F5268" s="11" t="s">
        <v>12</v>
      </c>
      <c r="G5268" s="11" t="s">
        <v>13</v>
      </c>
      <c r="H5268" s="11" t="s">
        <v>14</v>
      </c>
    </row>
    <row r="5269" spans="3:11" x14ac:dyDescent="0.25">
      <c r="C5269" s="12" t="s">
        <v>15</v>
      </c>
      <c r="D5269" s="13" t="s">
        <v>16</v>
      </c>
      <c r="E5269" s="14"/>
      <c r="F5269" s="14"/>
      <c r="G5269" s="14"/>
      <c r="H5269" s="14"/>
    </row>
    <row r="5270" spans="3:11" x14ac:dyDescent="0.3">
      <c r="C5270" s="16">
        <v>1</v>
      </c>
      <c r="D5270" s="13" t="s">
        <v>18</v>
      </c>
      <c r="E5270" s="17" t="s">
        <v>19</v>
      </c>
      <c r="F5270" s="18">
        <v>0.114</v>
      </c>
      <c r="G5270" s="19">
        <f>VLOOKUP(D5270,upahbahan,3,FALSE)</f>
        <v>100000</v>
      </c>
      <c r="H5270" s="19">
        <f t="shared" ref="H5270:H5273" si="573">F5270*G5270</f>
        <v>11400</v>
      </c>
    </row>
    <row r="5271" spans="3:11" x14ac:dyDescent="0.3">
      <c r="C5271" s="16">
        <v>2</v>
      </c>
      <c r="D5271" s="13" t="s">
        <v>214</v>
      </c>
      <c r="E5271" s="17" t="s">
        <v>19</v>
      </c>
      <c r="F5271" s="18">
        <v>0.191</v>
      </c>
      <c r="G5271" s="19">
        <f>VLOOKUP(D5271,upahbahan,3,FALSE)</f>
        <v>145000</v>
      </c>
      <c r="H5271" s="19">
        <f t="shared" si="573"/>
        <v>27695</v>
      </c>
    </row>
    <row r="5272" spans="3:11" x14ac:dyDescent="0.3">
      <c r="C5272" s="16">
        <v>3</v>
      </c>
      <c r="D5272" s="13" t="s">
        <v>22</v>
      </c>
      <c r="E5272" s="17" t="s">
        <v>19</v>
      </c>
      <c r="F5272" s="18">
        <v>1.9E-2</v>
      </c>
      <c r="G5272" s="19">
        <f>VLOOKUP(D5272,upahbahan,3,FALSE)</f>
        <v>175000</v>
      </c>
      <c r="H5272" s="19">
        <f t="shared" si="573"/>
        <v>3325</v>
      </c>
    </row>
    <row r="5273" spans="3:11" x14ac:dyDescent="0.3">
      <c r="C5273" s="16">
        <v>4</v>
      </c>
      <c r="D5273" s="13" t="s">
        <v>23</v>
      </c>
      <c r="E5273" s="17" t="s">
        <v>19</v>
      </c>
      <c r="F5273" s="18">
        <v>6.0000000000000001E-3</v>
      </c>
      <c r="G5273" s="19">
        <f>VLOOKUP(D5273,upahbahan,3,FALSE)</f>
        <v>200000</v>
      </c>
      <c r="H5273" s="19">
        <f t="shared" si="573"/>
        <v>1200</v>
      </c>
    </row>
    <row r="5274" spans="3:11" x14ac:dyDescent="0.3">
      <c r="C5274" s="21" t="s">
        <v>24</v>
      </c>
      <c r="D5274" s="22"/>
      <c r="E5274" s="22"/>
      <c r="F5274" s="54"/>
      <c r="G5274" s="24"/>
      <c r="H5274" s="19">
        <f>SUM(H5270:H5273)</f>
        <v>43620</v>
      </c>
      <c r="I5274" s="25"/>
    </row>
    <row r="5275" spans="3:11" x14ac:dyDescent="0.25">
      <c r="C5275" s="12" t="s">
        <v>25</v>
      </c>
      <c r="D5275" s="13" t="s">
        <v>26</v>
      </c>
      <c r="E5275" s="14"/>
      <c r="F5275" s="55"/>
      <c r="G5275" s="14"/>
      <c r="H5275" s="14"/>
    </row>
    <row r="5276" spans="3:11" x14ac:dyDescent="0.25">
      <c r="C5276" s="12">
        <v>1</v>
      </c>
      <c r="D5276" s="13" t="s">
        <v>1033</v>
      </c>
      <c r="E5276" s="53" t="s">
        <v>617</v>
      </c>
      <c r="F5276" s="115">
        <v>1.1000000000000001</v>
      </c>
      <c r="G5276" s="19">
        <f>VLOOKUP(D5276,upahbahan,3,FALSE)</f>
        <v>55000</v>
      </c>
      <c r="H5276" s="19">
        <f>F5276*G5276</f>
        <v>60500.000000000007</v>
      </c>
    </row>
    <row r="5277" spans="3:11" x14ac:dyDescent="0.3">
      <c r="C5277" s="21" t="s">
        <v>29</v>
      </c>
      <c r="D5277" s="22"/>
      <c r="E5277" s="22"/>
      <c r="F5277" s="22"/>
      <c r="G5277" s="28"/>
      <c r="H5277" s="19">
        <f>SUM(H5276:H5276)</f>
        <v>60500.000000000007</v>
      </c>
    </row>
    <row r="5278" spans="3:11" x14ac:dyDescent="0.25">
      <c r="C5278" s="12" t="s">
        <v>30</v>
      </c>
      <c r="D5278" s="13" t="s">
        <v>31</v>
      </c>
      <c r="E5278" s="14"/>
      <c r="F5278" s="14"/>
      <c r="G5278" s="14"/>
      <c r="H5278" s="14"/>
    </row>
    <row r="5279" spans="3:11" x14ac:dyDescent="0.3">
      <c r="C5279" s="21" t="s">
        <v>32</v>
      </c>
      <c r="D5279" s="77"/>
      <c r="E5279" s="77"/>
      <c r="F5279" s="77"/>
      <c r="G5279" s="28"/>
      <c r="H5279" s="29">
        <f>SUM(H5278)</f>
        <v>0</v>
      </c>
    </row>
    <row r="5280" spans="3:11" x14ac:dyDescent="0.3">
      <c r="C5280" s="30" t="s">
        <v>33</v>
      </c>
      <c r="D5280" s="31" t="s">
        <v>34</v>
      </c>
      <c r="E5280" s="32"/>
      <c r="F5280" s="32"/>
      <c r="G5280" s="33"/>
      <c r="H5280" s="46">
        <f>H5279+H5277+H5274</f>
        <v>104120</v>
      </c>
      <c r="I5280" s="47"/>
    </row>
    <row r="5281" spans="3:11" x14ac:dyDescent="0.3">
      <c r="C5281" s="30" t="s">
        <v>35</v>
      </c>
      <c r="D5281" s="31" t="s">
        <v>36</v>
      </c>
      <c r="E5281" s="32"/>
      <c r="F5281" s="33"/>
      <c r="G5281" s="34">
        <f>$M$9</f>
        <v>0.1</v>
      </c>
      <c r="H5281" s="19">
        <f>H5280*G5281</f>
        <v>10412</v>
      </c>
      <c r="I5281" s="47"/>
    </row>
    <row r="5282" spans="3:11" x14ac:dyDescent="0.3">
      <c r="C5282" s="30" t="s">
        <v>37</v>
      </c>
      <c r="D5282" s="31" t="s">
        <v>38</v>
      </c>
      <c r="E5282" s="32"/>
      <c r="F5282" s="32"/>
      <c r="G5282" s="33"/>
      <c r="H5282" s="48">
        <f>SUM(H5280:H5281)</f>
        <v>114532</v>
      </c>
      <c r="I5282" s="47"/>
    </row>
    <row r="5284" spans="3:11" x14ac:dyDescent="0.3">
      <c r="C5284" s="40" t="s">
        <v>1034</v>
      </c>
      <c r="D5284" s="68" t="s">
        <v>1035</v>
      </c>
      <c r="E5284" s="44"/>
      <c r="F5284" s="44"/>
      <c r="G5284" s="44"/>
      <c r="H5284" s="44"/>
      <c r="I5284" s="10">
        <f>ROUNDDOWN(H5299,0)</f>
        <v>90332</v>
      </c>
      <c r="J5284" s="15"/>
      <c r="K5284" s="39"/>
    </row>
    <row r="5285" spans="3:11" ht="27.6" x14ac:dyDescent="0.3">
      <c r="C5285" s="11" t="s">
        <v>9</v>
      </c>
      <c r="D5285" s="11" t="s">
        <v>10</v>
      </c>
      <c r="E5285" s="11" t="s">
        <v>11</v>
      </c>
      <c r="F5285" s="11" t="s">
        <v>12</v>
      </c>
      <c r="G5285" s="11" t="s">
        <v>13</v>
      </c>
      <c r="H5285" s="11" t="s">
        <v>14</v>
      </c>
    </row>
    <row r="5286" spans="3:11" x14ac:dyDescent="0.25">
      <c r="C5286" s="12" t="s">
        <v>15</v>
      </c>
      <c r="D5286" s="13" t="s">
        <v>16</v>
      </c>
      <c r="E5286" s="14"/>
      <c r="F5286" s="14"/>
      <c r="G5286" s="14"/>
      <c r="H5286" s="14"/>
    </row>
    <row r="5287" spans="3:11" x14ac:dyDescent="0.3">
      <c r="C5287" s="16">
        <v>1</v>
      </c>
      <c r="D5287" s="13" t="s">
        <v>18</v>
      </c>
      <c r="E5287" s="17" t="s">
        <v>19</v>
      </c>
      <c r="F5287" s="18">
        <v>0.114</v>
      </c>
      <c r="G5287" s="19">
        <f>VLOOKUP(D5287,upahbahan,3,FALSE)</f>
        <v>100000</v>
      </c>
      <c r="H5287" s="19">
        <f t="shared" ref="H5287:H5290" si="574">F5287*G5287</f>
        <v>11400</v>
      </c>
    </row>
    <row r="5288" spans="3:11" x14ac:dyDescent="0.3">
      <c r="C5288" s="16">
        <v>2</v>
      </c>
      <c r="D5288" s="13" t="s">
        <v>214</v>
      </c>
      <c r="E5288" s="17" t="s">
        <v>19</v>
      </c>
      <c r="F5288" s="18">
        <v>0.191</v>
      </c>
      <c r="G5288" s="19">
        <f>VLOOKUP(D5288,upahbahan,3,FALSE)</f>
        <v>145000</v>
      </c>
      <c r="H5288" s="19">
        <f t="shared" si="574"/>
        <v>27695</v>
      </c>
    </row>
    <row r="5289" spans="3:11" x14ac:dyDescent="0.3">
      <c r="C5289" s="16">
        <v>3</v>
      </c>
      <c r="D5289" s="13" t="s">
        <v>22</v>
      </c>
      <c r="E5289" s="17" t="s">
        <v>19</v>
      </c>
      <c r="F5289" s="18">
        <v>1.9E-2</v>
      </c>
      <c r="G5289" s="19">
        <f>VLOOKUP(D5289,upahbahan,3,FALSE)</f>
        <v>175000</v>
      </c>
      <c r="H5289" s="19">
        <f t="shared" si="574"/>
        <v>3325</v>
      </c>
    </row>
    <row r="5290" spans="3:11" x14ac:dyDescent="0.3">
      <c r="C5290" s="16">
        <v>4</v>
      </c>
      <c r="D5290" s="13" t="s">
        <v>23</v>
      </c>
      <c r="E5290" s="17" t="s">
        <v>19</v>
      </c>
      <c r="F5290" s="18">
        <v>6.0000000000000001E-3</v>
      </c>
      <c r="G5290" s="19">
        <f>VLOOKUP(D5290,upahbahan,3,FALSE)</f>
        <v>200000</v>
      </c>
      <c r="H5290" s="19">
        <f t="shared" si="574"/>
        <v>1200</v>
      </c>
    </row>
    <row r="5291" spans="3:11" x14ac:dyDescent="0.3">
      <c r="C5291" s="21" t="s">
        <v>24</v>
      </c>
      <c r="D5291" s="22"/>
      <c r="E5291" s="22"/>
      <c r="F5291" s="54"/>
      <c r="G5291" s="24"/>
      <c r="H5291" s="19">
        <f>SUM(H5287:H5290)</f>
        <v>43620</v>
      </c>
      <c r="I5291" s="25"/>
    </row>
    <row r="5292" spans="3:11" x14ac:dyDescent="0.25">
      <c r="C5292" s="12" t="s">
        <v>25</v>
      </c>
      <c r="D5292" s="13" t="s">
        <v>26</v>
      </c>
      <c r="E5292" s="14"/>
      <c r="F5292" s="55"/>
      <c r="G5292" s="14"/>
      <c r="H5292" s="14"/>
    </row>
    <row r="5293" spans="3:11" x14ac:dyDescent="0.25">
      <c r="C5293" s="12">
        <v>1</v>
      </c>
      <c r="D5293" s="13" t="s">
        <v>1036</v>
      </c>
      <c r="E5293" s="53" t="s">
        <v>617</v>
      </c>
      <c r="F5293" s="115">
        <v>1.1000000000000001</v>
      </c>
      <c r="G5293" s="19">
        <f>VLOOKUP(D5293,upahbahan,3,FALSE)</f>
        <v>35000</v>
      </c>
      <c r="H5293" s="19">
        <f>F5293*G5293</f>
        <v>38500</v>
      </c>
    </row>
    <row r="5294" spans="3:11" x14ac:dyDescent="0.3">
      <c r="C5294" s="21" t="s">
        <v>29</v>
      </c>
      <c r="D5294" s="22"/>
      <c r="E5294" s="22"/>
      <c r="F5294" s="22"/>
      <c r="G5294" s="28"/>
      <c r="H5294" s="19">
        <f>SUM(H5293:H5293)</f>
        <v>38500</v>
      </c>
    </row>
    <row r="5295" spans="3:11" x14ac:dyDescent="0.25">
      <c r="C5295" s="12" t="s">
        <v>30</v>
      </c>
      <c r="D5295" s="13" t="s">
        <v>31</v>
      </c>
      <c r="E5295" s="14"/>
      <c r="F5295" s="14"/>
      <c r="G5295" s="14"/>
      <c r="H5295" s="14"/>
    </row>
    <row r="5296" spans="3:11" x14ac:dyDescent="0.3">
      <c r="C5296" s="21" t="s">
        <v>32</v>
      </c>
      <c r="D5296" s="77"/>
      <c r="E5296" s="77"/>
      <c r="F5296" s="77"/>
      <c r="G5296" s="28"/>
      <c r="H5296" s="29">
        <f>SUM(H5295)</f>
        <v>0</v>
      </c>
    </row>
    <row r="5297" spans="3:11" x14ac:dyDescent="0.3">
      <c r="C5297" s="30" t="s">
        <v>33</v>
      </c>
      <c r="D5297" s="31" t="s">
        <v>34</v>
      </c>
      <c r="E5297" s="32"/>
      <c r="F5297" s="32"/>
      <c r="G5297" s="33"/>
      <c r="H5297" s="46">
        <f>H5296+H5294+H5291</f>
        <v>82120</v>
      </c>
      <c r="I5297" s="47"/>
    </row>
    <row r="5298" spans="3:11" x14ac:dyDescent="0.3">
      <c r="C5298" s="30" t="s">
        <v>35</v>
      </c>
      <c r="D5298" s="31" t="s">
        <v>36</v>
      </c>
      <c r="E5298" s="32"/>
      <c r="F5298" s="33"/>
      <c r="G5298" s="34">
        <f>$M$9</f>
        <v>0.1</v>
      </c>
      <c r="H5298" s="19">
        <f>H5297*G5298</f>
        <v>8212</v>
      </c>
      <c r="I5298" s="47"/>
    </row>
    <row r="5299" spans="3:11" x14ac:dyDescent="0.3">
      <c r="C5299" s="30" t="s">
        <v>37</v>
      </c>
      <c r="D5299" s="31" t="s">
        <v>38</v>
      </c>
      <c r="E5299" s="32"/>
      <c r="F5299" s="32"/>
      <c r="G5299" s="33"/>
      <c r="H5299" s="48">
        <f>SUM(H5297:H5298)</f>
        <v>90332</v>
      </c>
      <c r="I5299" s="47"/>
    </row>
    <row r="5301" spans="3:11" x14ac:dyDescent="0.3">
      <c r="C5301" s="40" t="s">
        <v>1037</v>
      </c>
      <c r="D5301" s="68" t="s">
        <v>1038</v>
      </c>
      <c r="E5301" s="44"/>
      <c r="F5301" s="44"/>
      <c r="G5301" s="44"/>
      <c r="H5301" s="44"/>
      <c r="I5301" s="10">
        <f>ROUNDDOWN(H5316,0)</f>
        <v>675521</v>
      </c>
      <c r="J5301" s="15"/>
      <c r="K5301" s="39"/>
    </row>
    <row r="5302" spans="3:11" ht="27.6" x14ac:dyDescent="0.3">
      <c r="C5302" s="11" t="s">
        <v>9</v>
      </c>
      <c r="D5302" s="11" t="s">
        <v>10</v>
      </c>
      <c r="E5302" s="11" t="s">
        <v>11</v>
      </c>
      <c r="F5302" s="11" t="s">
        <v>12</v>
      </c>
      <c r="G5302" s="11" t="s">
        <v>13</v>
      </c>
      <c r="H5302" s="11" t="s">
        <v>14</v>
      </c>
    </row>
    <row r="5303" spans="3:11" x14ac:dyDescent="0.25">
      <c r="C5303" s="12" t="s">
        <v>15</v>
      </c>
      <c r="D5303" s="13" t="s">
        <v>16</v>
      </c>
      <c r="E5303" s="14"/>
      <c r="F5303" s="14"/>
      <c r="G5303" s="14"/>
      <c r="H5303" s="14"/>
    </row>
    <row r="5304" spans="3:11" x14ac:dyDescent="0.3">
      <c r="C5304" s="16">
        <v>1</v>
      </c>
      <c r="D5304" s="13" t="s">
        <v>18</v>
      </c>
      <c r="E5304" s="17" t="s">
        <v>19</v>
      </c>
      <c r="F5304" s="18">
        <v>0.19</v>
      </c>
      <c r="G5304" s="19">
        <f>VLOOKUP(D5304,upahbahan,3,FALSE)</f>
        <v>100000</v>
      </c>
      <c r="H5304" s="19">
        <f t="shared" ref="H5304:H5307" si="575">F5304*G5304</f>
        <v>19000</v>
      </c>
    </row>
    <row r="5305" spans="3:11" x14ac:dyDescent="0.3">
      <c r="C5305" s="16">
        <v>2</v>
      </c>
      <c r="D5305" s="13" t="s">
        <v>214</v>
      </c>
      <c r="E5305" s="17" t="s">
        <v>19</v>
      </c>
      <c r="F5305" s="18">
        <v>0.318</v>
      </c>
      <c r="G5305" s="19">
        <f>VLOOKUP(D5305,upahbahan,3,FALSE)</f>
        <v>145000</v>
      </c>
      <c r="H5305" s="19">
        <f t="shared" si="575"/>
        <v>46110</v>
      </c>
    </row>
    <row r="5306" spans="3:11" x14ac:dyDescent="0.3">
      <c r="C5306" s="16">
        <v>3</v>
      </c>
      <c r="D5306" s="13" t="s">
        <v>22</v>
      </c>
      <c r="E5306" s="17" t="s">
        <v>19</v>
      </c>
      <c r="F5306" s="18">
        <v>3.2000000000000001E-2</v>
      </c>
      <c r="G5306" s="19">
        <f>VLOOKUP(D5306,upahbahan,3,FALSE)</f>
        <v>175000</v>
      </c>
      <c r="H5306" s="19">
        <f t="shared" si="575"/>
        <v>5600</v>
      </c>
    </row>
    <row r="5307" spans="3:11" x14ac:dyDescent="0.3">
      <c r="C5307" s="16">
        <v>4</v>
      </c>
      <c r="D5307" s="13" t="s">
        <v>23</v>
      </c>
      <c r="E5307" s="17" t="s">
        <v>19</v>
      </c>
      <c r="F5307" s="18">
        <v>1.0999999999999999E-2</v>
      </c>
      <c r="G5307" s="19">
        <f>VLOOKUP(D5307,upahbahan,3,FALSE)</f>
        <v>200000</v>
      </c>
      <c r="H5307" s="19">
        <f t="shared" si="575"/>
        <v>2200</v>
      </c>
    </row>
    <row r="5308" spans="3:11" x14ac:dyDescent="0.3">
      <c r="C5308" s="21" t="s">
        <v>24</v>
      </c>
      <c r="D5308" s="22"/>
      <c r="E5308" s="22"/>
      <c r="F5308" s="54"/>
      <c r="G5308" s="24"/>
      <c r="H5308" s="19">
        <f>SUM(H5304:H5307)</f>
        <v>72910</v>
      </c>
      <c r="I5308" s="25"/>
    </row>
    <row r="5309" spans="3:11" x14ac:dyDescent="0.25">
      <c r="C5309" s="12" t="s">
        <v>25</v>
      </c>
      <c r="D5309" s="13" t="s">
        <v>26</v>
      </c>
      <c r="E5309" s="14"/>
      <c r="F5309" s="55"/>
      <c r="G5309" s="14"/>
      <c r="H5309" s="14"/>
    </row>
    <row r="5310" spans="3:11" x14ac:dyDescent="0.25">
      <c r="C5310" s="12">
        <v>1</v>
      </c>
      <c r="D5310" s="13" t="s">
        <v>1039</v>
      </c>
      <c r="E5310" s="53" t="s">
        <v>617</v>
      </c>
      <c r="F5310" s="115">
        <v>1.1000000000000001</v>
      </c>
      <c r="G5310" s="19">
        <f>VLOOKUP(D5310,upahbahan,3,FALSE)</f>
        <v>492000</v>
      </c>
      <c r="H5310" s="19">
        <f>F5310*G5310</f>
        <v>541200</v>
      </c>
    </row>
    <row r="5311" spans="3:11" x14ac:dyDescent="0.3">
      <c r="C5311" s="21" t="s">
        <v>29</v>
      </c>
      <c r="D5311" s="22"/>
      <c r="E5311" s="22"/>
      <c r="F5311" s="22"/>
      <c r="G5311" s="28"/>
      <c r="H5311" s="19">
        <f>SUM(H5310:H5310)</f>
        <v>541200</v>
      </c>
    </row>
    <row r="5312" spans="3:11" x14ac:dyDescent="0.25">
      <c r="C5312" s="12" t="s">
        <v>30</v>
      </c>
      <c r="D5312" s="13" t="s">
        <v>31</v>
      </c>
      <c r="E5312" s="14"/>
      <c r="F5312" s="14"/>
      <c r="G5312" s="14"/>
      <c r="H5312" s="14"/>
    </row>
    <row r="5313" spans="3:11" x14ac:dyDescent="0.3">
      <c r="C5313" s="21" t="s">
        <v>32</v>
      </c>
      <c r="D5313" s="77"/>
      <c r="E5313" s="77"/>
      <c r="F5313" s="77"/>
      <c r="G5313" s="28"/>
      <c r="H5313" s="29">
        <f>SUM(H5312)</f>
        <v>0</v>
      </c>
    </row>
    <row r="5314" spans="3:11" x14ac:dyDescent="0.3">
      <c r="C5314" s="30" t="s">
        <v>33</v>
      </c>
      <c r="D5314" s="31" t="s">
        <v>34</v>
      </c>
      <c r="E5314" s="32"/>
      <c r="F5314" s="32"/>
      <c r="G5314" s="33"/>
      <c r="H5314" s="46">
        <f>H5313+H5311+H5308</f>
        <v>614110</v>
      </c>
      <c r="I5314" s="47"/>
    </row>
    <row r="5315" spans="3:11" x14ac:dyDescent="0.3">
      <c r="C5315" s="30" t="s">
        <v>35</v>
      </c>
      <c r="D5315" s="31" t="s">
        <v>36</v>
      </c>
      <c r="E5315" s="32"/>
      <c r="F5315" s="33"/>
      <c r="G5315" s="34">
        <f>$M$9</f>
        <v>0.1</v>
      </c>
      <c r="H5315" s="19">
        <f>H5314*G5315</f>
        <v>61411</v>
      </c>
      <c r="I5315" s="47"/>
    </row>
    <row r="5316" spans="3:11" x14ac:dyDescent="0.3">
      <c r="C5316" s="30" t="s">
        <v>37</v>
      </c>
      <c r="D5316" s="31" t="s">
        <v>38</v>
      </c>
      <c r="E5316" s="32"/>
      <c r="F5316" s="32"/>
      <c r="G5316" s="33"/>
      <c r="H5316" s="48">
        <f>SUM(H5314:H5315)</f>
        <v>675521</v>
      </c>
      <c r="I5316" s="47"/>
    </row>
    <row r="5319" spans="3:11" x14ac:dyDescent="0.3">
      <c r="C5319" s="40" t="s">
        <v>1040</v>
      </c>
      <c r="D5319" s="68" t="s">
        <v>1041</v>
      </c>
      <c r="E5319" s="44"/>
      <c r="F5319" s="44"/>
      <c r="G5319" s="44"/>
      <c r="H5319" s="44"/>
      <c r="I5319" s="10">
        <f>ROUNDDOWN(H5334,0)</f>
        <v>132176</v>
      </c>
      <c r="J5319" s="15" t="s">
        <v>296</v>
      </c>
      <c r="K5319" s="39" t="s">
        <v>1042</v>
      </c>
    </row>
    <row r="5320" spans="3:11" ht="27.6" x14ac:dyDescent="0.3">
      <c r="C5320" s="11" t="s">
        <v>9</v>
      </c>
      <c r="D5320" s="11" t="s">
        <v>10</v>
      </c>
      <c r="E5320" s="11" t="s">
        <v>11</v>
      </c>
      <c r="F5320" s="11" t="s">
        <v>12</v>
      </c>
      <c r="G5320" s="11" t="s">
        <v>13</v>
      </c>
      <c r="H5320" s="11" t="s">
        <v>14</v>
      </c>
    </row>
    <row r="5321" spans="3:11" x14ac:dyDescent="0.25">
      <c r="C5321" s="12" t="s">
        <v>15</v>
      </c>
      <c r="D5321" s="13" t="s">
        <v>16</v>
      </c>
      <c r="E5321" s="14"/>
      <c r="F5321" s="14"/>
      <c r="G5321" s="14"/>
      <c r="H5321" s="14"/>
    </row>
    <row r="5322" spans="3:11" x14ac:dyDescent="0.3">
      <c r="C5322" s="16">
        <v>1</v>
      </c>
      <c r="D5322" s="13" t="s">
        <v>18</v>
      </c>
      <c r="E5322" s="17" t="s">
        <v>19</v>
      </c>
      <c r="F5322" s="18">
        <v>0.19</v>
      </c>
      <c r="G5322" s="19">
        <f>VLOOKUP(D5322,upahbahan,3,FALSE)</f>
        <v>100000</v>
      </c>
      <c r="H5322" s="19">
        <f t="shared" ref="H5322:H5325" si="576">F5322*G5322</f>
        <v>19000</v>
      </c>
    </row>
    <row r="5323" spans="3:11" x14ac:dyDescent="0.3">
      <c r="C5323" s="16">
        <v>2</v>
      </c>
      <c r="D5323" s="13" t="s">
        <v>214</v>
      </c>
      <c r="E5323" s="17" t="s">
        <v>19</v>
      </c>
      <c r="F5323" s="18">
        <v>0.318</v>
      </c>
      <c r="G5323" s="19">
        <f>VLOOKUP(D5323,upahbahan,3,FALSE)</f>
        <v>145000</v>
      </c>
      <c r="H5323" s="19">
        <f t="shared" si="576"/>
        <v>46110</v>
      </c>
    </row>
    <row r="5324" spans="3:11" x14ac:dyDescent="0.3">
      <c r="C5324" s="16">
        <v>3</v>
      </c>
      <c r="D5324" s="13" t="s">
        <v>22</v>
      </c>
      <c r="E5324" s="17" t="s">
        <v>19</v>
      </c>
      <c r="F5324" s="18">
        <v>3.2000000000000001E-2</v>
      </c>
      <c r="G5324" s="19">
        <f>VLOOKUP(D5324,upahbahan,3,FALSE)</f>
        <v>175000</v>
      </c>
      <c r="H5324" s="19">
        <f t="shared" si="576"/>
        <v>5600</v>
      </c>
    </row>
    <row r="5325" spans="3:11" x14ac:dyDescent="0.3">
      <c r="C5325" s="16">
        <v>4</v>
      </c>
      <c r="D5325" s="13" t="s">
        <v>23</v>
      </c>
      <c r="E5325" s="17" t="s">
        <v>19</v>
      </c>
      <c r="F5325" s="18">
        <v>1.0999999999999999E-2</v>
      </c>
      <c r="G5325" s="19">
        <f>VLOOKUP(D5325,upahbahan,3,FALSE)</f>
        <v>200000</v>
      </c>
      <c r="H5325" s="19">
        <f t="shared" si="576"/>
        <v>2200</v>
      </c>
    </row>
    <row r="5326" spans="3:11" x14ac:dyDescent="0.3">
      <c r="C5326" s="21" t="s">
        <v>24</v>
      </c>
      <c r="D5326" s="22"/>
      <c r="E5326" s="22"/>
      <c r="F5326" s="54"/>
      <c r="G5326" s="24"/>
      <c r="H5326" s="19">
        <f>SUM(H5322:H5325)</f>
        <v>72910</v>
      </c>
      <c r="I5326" s="25"/>
    </row>
    <row r="5327" spans="3:11" x14ac:dyDescent="0.25">
      <c r="C5327" s="12" t="s">
        <v>25</v>
      </c>
      <c r="D5327" s="13" t="s">
        <v>26</v>
      </c>
      <c r="E5327" s="14"/>
      <c r="F5327" s="55"/>
      <c r="G5327" s="14"/>
      <c r="H5327" s="14"/>
    </row>
    <row r="5328" spans="3:11" x14ac:dyDescent="0.25">
      <c r="C5328" s="12">
        <v>1</v>
      </c>
      <c r="D5328" s="13" t="s">
        <v>1043</v>
      </c>
      <c r="E5328" s="53" t="s">
        <v>617</v>
      </c>
      <c r="F5328" s="115">
        <v>1.05</v>
      </c>
      <c r="G5328" s="19">
        <f>VLOOKUP(D5328,upahbahan,3,FALSE)</f>
        <v>45000</v>
      </c>
      <c r="H5328" s="19">
        <f>F5328*G5328</f>
        <v>47250</v>
      </c>
    </row>
    <row r="5329" spans="3:11" x14ac:dyDescent="0.3">
      <c r="C5329" s="21" t="s">
        <v>29</v>
      </c>
      <c r="D5329" s="22"/>
      <c r="E5329" s="22"/>
      <c r="F5329" s="22"/>
      <c r="G5329" s="28"/>
      <c r="H5329" s="19">
        <f>SUM(H5328:H5328)</f>
        <v>47250</v>
      </c>
    </row>
    <row r="5330" spans="3:11" x14ac:dyDescent="0.25">
      <c r="C5330" s="12" t="s">
        <v>30</v>
      </c>
      <c r="D5330" s="13" t="s">
        <v>31</v>
      </c>
      <c r="E5330" s="14"/>
      <c r="F5330" s="14"/>
      <c r="G5330" s="14"/>
      <c r="H5330" s="14"/>
    </row>
    <row r="5331" spans="3:11" x14ac:dyDescent="0.3">
      <c r="C5331" s="21" t="s">
        <v>32</v>
      </c>
      <c r="D5331" s="77"/>
      <c r="E5331" s="77"/>
      <c r="F5331" s="77"/>
      <c r="G5331" s="28"/>
      <c r="H5331" s="29">
        <f>SUM(H5330)</f>
        <v>0</v>
      </c>
    </row>
    <row r="5332" spans="3:11" x14ac:dyDescent="0.3">
      <c r="C5332" s="30" t="s">
        <v>33</v>
      </c>
      <c r="D5332" s="31" t="s">
        <v>34</v>
      </c>
      <c r="E5332" s="32"/>
      <c r="F5332" s="32"/>
      <c r="G5332" s="33"/>
      <c r="H5332" s="46">
        <f>H5331+H5329+H5326</f>
        <v>120160</v>
      </c>
      <c r="I5332" s="47"/>
    </row>
    <row r="5333" spans="3:11" x14ac:dyDescent="0.3">
      <c r="C5333" s="30" t="s">
        <v>35</v>
      </c>
      <c r="D5333" s="31" t="s">
        <v>36</v>
      </c>
      <c r="E5333" s="32"/>
      <c r="F5333" s="33"/>
      <c r="G5333" s="34">
        <f>$M$9</f>
        <v>0.1</v>
      </c>
      <c r="H5333" s="19">
        <f>H5332*G5333</f>
        <v>12016</v>
      </c>
      <c r="I5333" s="47"/>
    </row>
    <row r="5334" spans="3:11" x14ac:dyDescent="0.3">
      <c r="C5334" s="30" t="s">
        <v>37</v>
      </c>
      <c r="D5334" s="31" t="s">
        <v>38</v>
      </c>
      <c r="E5334" s="32"/>
      <c r="F5334" s="32"/>
      <c r="G5334" s="33"/>
      <c r="H5334" s="48">
        <f>SUM(H5332:H5333)</f>
        <v>132176</v>
      </c>
      <c r="I5334" s="47"/>
    </row>
    <row r="5336" spans="3:11" x14ac:dyDescent="0.3">
      <c r="C5336" s="40" t="s">
        <v>1044</v>
      </c>
      <c r="D5336" s="68" t="s">
        <v>1045</v>
      </c>
      <c r="E5336" s="44"/>
      <c r="F5336" s="44"/>
      <c r="G5336" s="44"/>
      <c r="H5336" s="44"/>
      <c r="I5336" s="10">
        <f>ROUNDDOWN(H5351,0)</f>
        <v>120670</v>
      </c>
      <c r="J5336" s="15"/>
      <c r="K5336" s="39"/>
    </row>
    <row r="5337" spans="3:11" ht="27.6" x14ac:dyDescent="0.3">
      <c r="C5337" s="11" t="s">
        <v>9</v>
      </c>
      <c r="D5337" s="11" t="s">
        <v>10</v>
      </c>
      <c r="E5337" s="11" t="s">
        <v>11</v>
      </c>
      <c r="F5337" s="11" t="s">
        <v>12</v>
      </c>
      <c r="G5337" s="11" t="s">
        <v>13</v>
      </c>
      <c r="H5337" s="11" t="s">
        <v>14</v>
      </c>
    </row>
    <row r="5338" spans="3:11" x14ac:dyDescent="0.25">
      <c r="C5338" s="12" t="s">
        <v>15</v>
      </c>
      <c r="D5338" s="13" t="s">
        <v>16</v>
      </c>
      <c r="E5338" s="14"/>
      <c r="F5338" s="14"/>
      <c r="G5338" s="14"/>
      <c r="H5338" s="14"/>
    </row>
    <row r="5339" spans="3:11" x14ac:dyDescent="0.3">
      <c r="C5339" s="16">
        <v>1</v>
      </c>
      <c r="D5339" s="13" t="s">
        <v>18</v>
      </c>
      <c r="E5339" s="17" t="s">
        <v>19</v>
      </c>
      <c r="F5339" s="18">
        <v>4.8000000000000001E-2</v>
      </c>
      <c r="G5339" s="19">
        <f>VLOOKUP(D5339,upahbahan,3,FALSE)</f>
        <v>100000</v>
      </c>
      <c r="H5339" s="19">
        <f t="shared" ref="H5339:H5342" si="577">F5339*G5339</f>
        <v>4800</v>
      </c>
    </row>
    <row r="5340" spans="3:11" x14ac:dyDescent="0.3">
      <c r="C5340" s="16">
        <v>2</v>
      </c>
      <c r="D5340" s="13" t="s">
        <v>214</v>
      </c>
      <c r="E5340" s="17" t="s">
        <v>19</v>
      </c>
      <c r="F5340" s="18">
        <v>0.08</v>
      </c>
      <c r="G5340" s="19">
        <f>VLOOKUP(D5340,upahbahan,3,FALSE)</f>
        <v>145000</v>
      </c>
      <c r="H5340" s="19">
        <f t="shared" si="577"/>
        <v>11600</v>
      </c>
    </row>
    <row r="5341" spans="3:11" x14ac:dyDescent="0.3">
      <c r="C5341" s="16">
        <v>3</v>
      </c>
      <c r="D5341" s="13" t="s">
        <v>22</v>
      </c>
      <c r="E5341" s="17" t="s">
        <v>19</v>
      </c>
      <c r="F5341" s="18">
        <v>8.0000000000000002E-3</v>
      </c>
      <c r="G5341" s="19">
        <f>VLOOKUP(D5341,upahbahan,3,FALSE)</f>
        <v>175000</v>
      </c>
      <c r="H5341" s="19">
        <f t="shared" si="577"/>
        <v>1400</v>
      </c>
    </row>
    <row r="5342" spans="3:11" x14ac:dyDescent="0.3">
      <c r="C5342" s="16">
        <v>4</v>
      </c>
      <c r="D5342" s="13" t="s">
        <v>23</v>
      </c>
      <c r="E5342" s="17" t="s">
        <v>19</v>
      </c>
      <c r="F5342" s="18">
        <v>3.0000000000000001E-3</v>
      </c>
      <c r="G5342" s="19">
        <f>VLOOKUP(D5342,upahbahan,3,FALSE)</f>
        <v>200000</v>
      </c>
      <c r="H5342" s="19">
        <f t="shared" si="577"/>
        <v>600</v>
      </c>
    </row>
    <row r="5343" spans="3:11" x14ac:dyDescent="0.3">
      <c r="C5343" s="21" t="s">
        <v>24</v>
      </c>
      <c r="D5343" s="22"/>
      <c r="E5343" s="22"/>
      <c r="F5343" s="54"/>
      <c r="G5343" s="24"/>
      <c r="H5343" s="19">
        <f>SUM(H5339:H5342)</f>
        <v>18400</v>
      </c>
      <c r="I5343" s="25"/>
    </row>
    <row r="5344" spans="3:11" x14ac:dyDescent="0.25">
      <c r="C5344" s="12" t="s">
        <v>25</v>
      </c>
      <c r="D5344" s="13" t="s">
        <v>26</v>
      </c>
      <c r="E5344" s="14"/>
      <c r="F5344" s="55"/>
      <c r="G5344" s="14"/>
      <c r="H5344" s="14"/>
    </row>
    <row r="5345" spans="3:11" x14ac:dyDescent="0.25">
      <c r="C5345" s="12">
        <v>1</v>
      </c>
      <c r="D5345" s="13" t="s">
        <v>1046</v>
      </c>
      <c r="E5345" s="53" t="s">
        <v>617</v>
      </c>
      <c r="F5345" s="115">
        <v>1.1000000000000001</v>
      </c>
      <c r="G5345" s="19">
        <f>VLOOKUP(D5345,upahbahan,3,FALSE)</f>
        <v>83000</v>
      </c>
      <c r="H5345" s="19">
        <f>F5345*G5345</f>
        <v>91300.000000000015</v>
      </c>
    </row>
    <row r="5346" spans="3:11" x14ac:dyDescent="0.3">
      <c r="C5346" s="21" t="s">
        <v>29</v>
      </c>
      <c r="D5346" s="22"/>
      <c r="E5346" s="22"/>
      <c r="F5346" s="22"/>
      <c r="G5346" s="28"/>
      <c r="H5346" s="19">
        <f>SUM(H5345:H5345)</f>
        <v>91300.000000000015</v>
      </c>
    </row>
    <row r="5347" spans="3:11" x14ac:dyDescent="0.25">
      <c r="C5347" s="12" t="s">
        <v>30</v>
      </c>
      <c r="D5347" s="13" t="s">
        <v>31</v>
      </c>
      <c r="E5347" s="14"/>
      <c r="F5347" s="14"/>
      <c r="G5347" s="14"/>
      <c r="H5347" s="14"/>
    </row>
    <row r="5348" spans="3:11" x14ac:dyDescent="0.3">
      <c r="C5348" s="21" t="s">
        <v>32</v>
      </c>
      <c r="D5348" s="77"/>
      <c r="E5348" s="77"/>
      <c r="F5348" s="77"/>
      <c r="G5348" s="28"/>
      <c r="H5348" s="29">
        <f>SUM(H5347)</f>
        <v>0</v>
      </c>
    </row>
    <row r="5349" spans="3:11" x14ac:dyDescent="0.3">
      <c r="C5349" s="30" t="s">
        <v>33</v>
      </c>
      <c r="D5349" s="31" t="s">
        <v>34</v>
      </c>
      <c r="E5349" s="32"/>
      <c r="F5349" s="32"/>
      <c r="G5349" s="33"/>
      <c r="H5349" s="46">
        <f>H5348+H5346+H5343</f>
        <v>109700.00000000001</v>
      </c>
      <c r="I5349" s="47"/>
    </row>
    <row r="5350" spans="3:11" x14ac:dyDescent="0.3">
      <c r="C5350" s="30" t="s">
        <v>35</v>
      </c>
      <c r="D5350" s="31" t="s">
        <v>36</v>
      </c>
      <c r="E5350" s="32"/>
      <c r="F5350" s="33"/>
      <c r="G5350" s="34">
        <f>$M$9</f>
        <v>0.1</v>
      </c>
      <c r="H5350" s="19">
        <f>H5349*G5350</f>
        <v>10970.000000000002</v>
      </c>
      <c r="I5350" s="47"/>
    </row>
    <row r="5351" spans="3:11" x14ac:dyDescent="0.3">
      <c r="C5351" s="30" t="s">
        <v>37</v>
      </c>
      <c r="D5351" s="31" t="s">
        <v>38</v>
      </c>
      <c r="E5351" s="32"/>
      <c r="F5351" s="32"/>
      <c r="G5351" s="33"/>
      <c r="H5351" s="48">
        <f>SUM(H5349:H5350)</f>
        <v>120670.00000000001</v>
      </c>
      <c r="I5351" s="47"/>
    </row>
    <row r="5353" spans="3:11" x14ac:dyDescent="0.3">
      <c r="C5353" s="40" t="s">
        <v>1047</v>
      </c>
      <c r="D5353" s="68" t="s">
        <v>1048</v>
      </c>
      <c r="E5353" s="44"/>
      <c r="F5353" s="44"/>
      <c r="G5353" s="44"/>
      <c r="H5353" s="44"/>
      <c r="I5353" s="10">
        <f>ROUNDDOWN(H5368,0)</f>
        <v>353991</v>
      </c>
      <c r="J5353" s="15"/>
      <c r="K5353" s="39"/>
    </row>
    <row r="5354" spans="3:11" ht="27.6" x14ac:dyDescent="0.3">
      <c r="C5354" s="11" t="s">
        <v>9</v>
      </c>
      <c r="D5354" s="11" t="s">
        <v>10</v>
      </c>
      <c r="E5354" s="11" t="s">
        <v>11</v>
      </c>
      <c r="F5354" s="11" t="s">
        <v>12</v>
      </c>
      <c r="G5354" s="11" t="s">
        <v>13</v>
      </c>
      <c r="H5354" s="11" t="s">
        <v>14</v>
      </c>
    </row>
    <row r="5355" spans="3:11" x14ac:dyDescent="0.25">
      <c r="C5355" s="12" t="s">
        <v>15</v>
      </c>
      <c r="D5355" s="13" t="s">
        <v>16</v>
      </c>
      <c r="E5355" s="14"/>
      <c r="F5355" s="14"/>
      <c r="G5355" s="14"/>
      <c r="H5355" s="14"/>
    </row>
    <row r="5356" spans="3:11" x14ac:dyDescent="0.3">
      <c r="C5356" s="16">
        <v>1</v>
      </c>
      <c r="D5356" s="13" t="s">
        <v>18</v>
      </c>
      <c r="E5356" s="17" t="s">
        <v>19</v>
      </c>
      <c r="F5356" s="18">
        <v>0.114</v>
      </c>
      <c r="G5356" s="19">
        <f>VLOOKUP(D5356,upahbahan,3,FALSE)</f>
        <v>100000</v>
      </c>
      <c r="H5356" s="19">
        <f t="shared" ref="H5356:H5359" si="578">F5356*G5356</f>
        <v>11400</v>
      </c>
    </row>
    <row r="5357" spans="3:11" x14ac:dyDescent="0.3">
      <c r="C5357" s="16">
        <v>2</v>
      </c>
      <c r="D5357" s="13" t="s">
        <v>214</v>
      </c>
      <c r="E5357" s="17" t="s">
        <v>19</v>
      </c>
      <c r="F5357" s="18">
        <v>0.191</v>
      </c>
      <c r="G5357" s="19">
        <f>VLOOKUP(D5357,upahbahan,3,FALSE)</f>
        <v>145000</v>
      </c>
      <c r="H5357" s="19">
        <f t="shared" si="578"/>
        <v>27695</v>
      </c>
    </row>
    <row r="5358" spans="3:11" x14ac:dyDescent="0.3">
      <c r="C5358" s="16">
        <v>3</v>
      </c>
      <c r="D5358" s="13" t="s">
        <v>22</v>
      </c>
      <c r="E5358" s="17" t="s">
        <v>19</v>
      </c>
      <c r="F5358" s="18">
        <v>1.9E-2</v>
      </c>
      <c r="G5358" s="19">
        <f>VLOOKUP(D5358,upahbahan,3,FALSE)</f>
        <v>175000</v>
      </c>
      <c r="H5358" s="19">
        <f t="shared" si="578"/>
        <v>3325</v>
      </c>
    </row>
    <row r="5359" spans="3:11" x14ac:dyDescent="0.3">
      <c r="C5359" s="16">
        <v>4</v>
      </c>
      <c r="D5359" s="13" t="s">
        <v>23</v>
      </c>
      <c r="E5359" s="17" t="s">
        <v>19</v>
      </c>
      <c r="F5359" s="18">
        <v>6.0000000000000001E-3</v>
      </c>
      <c r="G5359" s="19">
        <f>VLOOKUP(D5359,upahbahan,3,FALSE)</f>
        <v>200000</v>
      </c>
      <c r="H5359" s="19">
        <f t="shared" si="578"/>
        <v>1200</v>
      </c>
    </row>
    <row r="5360" spans="3:11" x14ac:dyDescent="0.3">
      <c r="C5360" s="21" t="s">
        <v>24</v>
      </c>
      <c r="D5360" s="22"/>
      <c r="E5360" s="22"/>
      <c r="F5360" s="54"/>
      <c r="G5360" s="24"/>
      <c r="H5360" s="19">
        <f>SUM(H5356:H5359)</f>
        <v>43620</v>
      </c>
      <c r="I5360" s="25"/>
    </row>
    <row r="5361" spans="3:11" x14ac:dyDescent="0.25">
      <c r="C5361" s="12" t="s">
        <v>25</v>
      </c>
      <c r="D5361" s="13" t="s">
        <v>26</v>
      </c>
      <c r="E5361" s="14"/>
      <c r="F5361" s="55"/>
      <c r="G5361" s="14"/>
      <c r="H5361" s="14"/>
    </row>
    <row r="5362" spans="3:11" x14ac:dyDescent="0.25">
      <c r="C5362" s="12">
        <v>1</v>
      </c>
      <c r="D5362" s="13" t="s">
        <v>1049</v>
      </c>
      <c r="E5362" s="53" t="s">
        <v>617</v>
      </c>
      <c r="F5362" s="115">
        <v>1.1000000000000001</v>
      </c>
      <c r="G5362" s="19">
        <f>VLOOKUP(D5362,upahbahan,3,FALSE)</f>
        <v>252900</v>
      </c>
      <c r="H5362" s="19">
        <f>F5362*G5362</f>
        <v>278190</v>
      </c>
    </row>
    <row r="5363" spans="3:11" x14ac:dyDescent="0.3">
      <c r="C5363" s="21" t="s">
        <v>29</v>
      </c>
      <c r="D5363" s="22"/>
      <c r="E5363" s="22"/>
      <c r="F5363" s="22"/>
      <c r="G5363" s="28"/>
      <c r="H5363" s="19">
        <f>SUM(H5362:H5362)</f>
        <v>278190</v>
      </c>
    </row>
    <row r="5364" spans="3:11" x14ac:dyDescent="0.25">
      <c r="C5364" s="12" t="s">
        <v>30</v>
      </c>
      <c r="D5364" s="13" t="s">
        <v>31</v>
      </c>
      <c r="E5364" s="14"/>
      <c r="F5364" s="14"/>
      <c r="G5364" s="14"/>
      <c r="H5364" s="14"/>
    </row>
    <row r="5365" spans="3:11" x14ac:dyDescent="0.3">
      <c r="C5365" s="21" t="s">
        <v>32</v>
      </c>
      <c r="D5365" s="77"/>
      <c r="E5365" s="77"/>
      <c r="F5365" s="77"/>
      <c r="G5365" s="28"/>
      <c r="H5365" s="29">
        <f>SUM(H5364)</f>
        <v>0</v>
      </c>
    </row>
    <row r="5366" spans="3:11" x14ac:dyDescent="0.3">
      <c r="C5366" s="30" t="s">
        <v>33</v>
      </c>
      <c r="D5366" s="31" t="s">
        <v>34</v>
      </c>
      <c r="E5366" s="32"/>
      <c r="F5366" s="32"/>
      <c r="G5366" s="33"/>
      <c r="H5366" s="46">
        <f>H5365+H5363+H5360</f>
        <v>321810</v>
      </c>
      <c r="I5366" s="47"/>
    </row>
    <row r="5367" spans="3:11" x14ac:dyDescent="0.3">
      <c r="C5367" s="30" t="s">
        <v>35</v>
      </c>
      <c r="D5367" s="31" t="s">
        <v>36</v>
      </c>
      <c r="E5367" s="32"/>
      <c r="F5367" s="33"/>
      <c r="G5367" s="34">
        <f>$M$9</f>
        <v>0.1</v>
      </c>
      <c r="H5367" s="19">
        <f>H5366*G5367</f>
        <v>32181</v>
      </c>
      <c r="I5367" s="47"/>
    </row>
    <row r="5368" spans="3:11" x14ac:dyDescent="0.3">
      <c r="C5368" s="30" t="s">
        <v>37</v>
      </c>
      <c r="D5368" s="31" t="s">
        <v>38</v>
      </c>
      <c r="E5368" s="32"/>
      <c r="F5368" s="32"/>
      <c r="G5368" s="33"/>
      <c r="H5368" s="48">
        <f>SUM(H5366:H5367)</f>
        <v>353991</v>
      </c>
      <c r="I5368" s="47"/>
    </row>
    <row r="5370" spans="3:11" x14ac:dyDescent="0.3">
      <c r="C5370" s="40" t="s">
        <v>1050</v>
      </c>
      <c r="D5370" s="68" t="s">
        <v>1051</v>
      </c>
      <c r="E5370" s="44"/>
      <c r="F5370" s="44"/>
      <c r="G5370" s="44"/>
      <c r="H5370" s="44"/>
      <c r="I5370" s="10">
        <f>ROUNDDOWN(H5385,0)</f>
        <v>721501</v>
      </c>
      <c r="J5370" s="15"/>
      <c r="K5370" s="39"/>
    </row>
    <row r="5371" spans="3:11" ht="27.6" x14ac:dyDescent="0.3">
      <c r="C5371" s="11" t="s">
        <v>9</v>
      </c>
      <c r="D5371" s="11" t="s">
        <v>10</v>
      </c>
      <c r="E5371" s="11" t="s">
        <v>11</v>
      </c>
      <c r="F5371" s="11" t="s">
        <v>12</v>
      </c>
      <c r="G5371" s="11" t="s">
        <v>13</v>
      </c>
      <c r="H5371" s="11" t="s">
        <v>14</v>
      </c>
    </row>
    <row r="5372" spans="3:11" x14ac:dyDescent="0.25">
      <c r="C5372" s="12" t="s">
        <v>15</v>
      </c>
      <c r="D5372" s="13" t="s">
        <v>16</v>
      </c>
      <c r="E5372" s="14"/>
      <c r="F5372" s="14"/>
      <c r="G5372" s="14"/>
      <c r="H5372" s="14"/>
    </row>
    <row r="5373" spans="3:11" x14ac:dyDescent="0.3">
      <c r="C5373" s="16">
        <v>1</v>
      </c>
      <c r="D5373" s="13" t="s">
        <v>18</v>
      </c>
      <c r="E5373" s="17" t="s">
        <v>19</v>
      </c>
      <c r="F5373" s="18">
        <v>0.19</v>
      </c>
      <c r="G5373" s="19">
        <f>VLOOKUP(D5373,upahbahan,3,FALSE)</f>
        <v>100000</v>
      </c>
      <c r="H5373" s="19">
        <f t="shared" ref="H5373:H5376" si="579">F5373*G5373</f>
        <v>19000</v>
      </c>
    </row>
    <row r="5374" spans="3:11" x14ac:dyDescent="0.3">
      <c r="C5374" s="16">
        <v>2</v>
      </c>
      <c r="D5374" s="13" t="s">
        <v>214</v>
      </c>
      <c r="E5374" s="17" t="s">
        <v>19</v>
      </c>
      <c r="F5374" s="18">
        <v>0.318</v>
      </c>
      <c r="G5374" s="19">
        <f>VLOOKUP(D5374,upahbahan,3,FALSE)</f>
        <v>145000</v>
      </c>
      <c r="H5374" s="19">
        <f t="shared" si="579"/>
        <v>46110</v>
      </c>
    </row>
    <row r="5375" spans="3:11" x14ac:dyDescent="0.3">
      <c r="C5375" s="16">
        <v>3</v>
      </c>
      <c r="D5375" s="13" t="s">
        <v>22</v>
      </c>
      <c r="E5375" s="17" t="s">
        <v>19</v>
      </c>
      <c r="F5375" s="18">
        <v>3.2000000000000001E-2</v>
      </c>
      <c r="G5375" s="19">
        <f>VLOOKUP(D5375,upahbahan,3,FALSE)</f>
        <v>175000</v>
      </c>
      <c r="H5375" s="19">
        <f t="shared" si="579"/>
        <v>5600</v>
      </c>
    </row>
    <row r="5376" spans="3:11" x14ac:dyDescent="0.3">
      <c r="C5376" s="16">
        <v>4</v>
      </c>
      <c r="D5376" s="13" t="s">
        <v>23</v>
      </c>
      <c r="E5376" s="17" t="s">
        <v>19</v>
      </c>
      <c r="F5376" s="18">
        <v>1.0999999999999999E-2</v>
      </c>
      <c r="G5376" s="19">
        <f>VLOOKUP(D5376,upahbahan,3,FALSE)</f>
        <v>200000</v>
      </c>
      <c r="H5376" s="19">
        <f t="shared" si="579"/>
        <v>2200</v>
      </c>
    </row>
    <row r="5377" spans="3:11" x14ac:dyDescent="0.3">
      <c r="C5377" s="21" t="s">
        <v>24</v>
      </c>
      <c r="D5377" s="22"/>
      <c r="E5377" s="22"/>
      <c r="F5377" s="54"/>
      <c r="G5377" s="24"/>
      <c r="H5377" s="19">
        <f>SUM(H5373:H5376)</f>
        <v>72910</v>
      </c>
      <c r="I5377" s="25"/>
    </row>
    <row r="5378" spans="3:11" x14ac:dyDescent="0.25">
      <c r="C5378" s="12" t="s">
        <v>25</v>
      </c>
      <c r="D5378" s="13" t="s">
        <v>26</v>
      </c>
      <c r="E5378" s="14"/>
      <c r="F5378" s="55"/>
      <c r="G5378" s="14"/>
      <c r="H5378" s="14"/>
    </row>
    <row r="5379" spans="3:11" x14ac:dyDescent="0.25">
      <c r="C5379" s="12">
        <v>1</v>
      </c>
      <c r="D5379" s="13" t="s">
        <v>1052</v>
      </c>
      <c r="E5379" s="53" t="s">
        <v>617</v>
      </c>
      <c r="F5379" s="115">
        <v>1.1000000000000001</v>
      </c>
      <c r="G5379" s="19">
        <f>VLOOKUP(D5379,upahbahan,3,FALSE)</f>
        <v>530000</v>
      </c>
      <c r="H5379" s="19">
        <f>F5379*G5379</f>
        <v>583000</v>
      </c>
    </row>
    <row r="5380" spans="3:11" x14ac:dyDescent="0.3">
      <c r="C5380" s="21" t="s">
        <v>29</v>
      </c>
      <c r="D5380" s="22"/>
      <c r="E5380" s="22"/>
      <c r="F5380" s="22"/>
      <c r="G5380" s="28"/>
      <c r="H5380" s="19">
        <f>SUM(H5379:H5379)</f>
        <v>583000</v>
      </c>
    </row>
    <row r="5381" spans="3:11" x14ac:dyDescent="0.25">
      <c r="C5381" s="12" t="s">
        <v>30</v>
      </c>
      <c r="D5381" s="13" t="s">
        <v>31</v>
      </c>
      <c r="E5381" s="14"/>
      <c r="F5381" s="14"/>
      <c r="G5381" s="14"/>
      <c r="H5381" s="14"/>
    </row>
    <row r="5382" spans="3:11" x14ac:dyDescent="0.3">
      <c r="C5382" s="21" t="s">
        <v>32</v>
      </c>
      <c r="D5382" s="77"/>
      <c r="E5382" s="77"/>
      <c r="F5382" s="77"/>
      <c r="G5382" s="28"/>
      <c r="H5382" s="29">
        <f>SUM(H5381)</f>
        <v>0</v>
      </c>
    </row>
    <row r="5383" spans="3:11" x14ac:dyDescent="0.3">
      <c r="C5383" s="30" t="s">
        <v>33</v>
      </c>
      <c r="D5383" s="31" t="s">
        <v>34</v>
      </c>
      <c r="E5383" s="32"/>
      <c r="F5383" s="32"/>
      <c r="G5383" s="33"/>
      <c r="H5383" s="46">
        <f>H5382+H5380+H5377</f>
        <v>655910</v>
      </c>
      <c r="I5383" s="47"/>
    </row>
    <row r="5384" spans="3:11" x14ac:dyDescent="0.3">
      <c r="C5384" s="30" t="s">
        <v>35</v>
      </c>
      <c r="D5384" s="31" t="s">
        <v>36</v>
      </c>
      <c r="E5384" s="32"/>
      <c r="F5384" s="33"/>
      <c r="G5384" s="34">
        <f>$M$9</f>
        <v>0.1</v>
      </c>
      <c r="H5384" s="19">
        <f>H5383*G5384</f>
        <v>65591</v>
      </c>
      <c r="I5384" s="47"/>
    </row>
    <row r="5385" spans="3:11" x14ac:dyDescent="0.3">
      <c r="C5385" s="30" t="s">
        <v>37</v>
      </c>
      <c r="D5385" s="31" t="s">
        <v>38</v>
      </c>
      <c r="E5385" s="32"/>
      <c r="F5385" s="32"/>
      <c r="G5385" s="33"/>
      <c r="H5385" s="48">
        <f>SUM(H5383:H5384)</f>
        <v>721501</v>
      </c>
      <c r="I5385" s="47"/>
    </row>
    <row r="5387" spans="3:11" x14ac:dyDescent="0.3">
      <c r="C5387" s="40" t="s">
        <v>1053</v>
      </c>
      <c r="D5387" s="68" t="s">
        <v>1054</v>
      </c>
      <c r="E5387" s="44"/>
      <c r="F5387" s="44"/>
      <c r="G5387" s="44"/>
      <c r="H5387" s="44"/>
      <c r="I5387" s="10">
        <f>ROUNDDOWN(H5402,0)</f>
        <v>2707925</v>
      </c>
      <c r="J5387" s="15"/>
      <c r="K5387" s="39"/>
    </row>
    <row r="5388" spans="3:11" ht="27.6" x14ac:dyDescent="0.3">
      <c r="C5388" s="11" t="s">
        <v>9</v>
      </c>
      <c r="D5388" s="11" t="s">
        <v>10</v>
      </c>
      <c r="E5388" s="11" t="s">
        <v>11</v>
      </c>
      <c r="F5388" s="11" t="s">
        <v>12</v>
      </c>
      <c r="G5388" s="11" t="s">
        <v>13</v>
      </c>
      <c r="H5388" s="11" t="s">
        <v>14</v>
      </c>
    </row>
    <row r="5389" spans="3:11" x14ac:dyDescent="0.25">
      <c r="C5389" s="12" t="s">
        <v>15</v>
      </c>
      <c r="D5389" s="13" t="s">
        <v>16</v>
      </c>
      <c r="E5389" s="14"/>
      <c r="F5389" s="14"/>
      <c r="G5389" s="14"/>
      <c r="H5389" s="14"/>
    </row>
    <row r="5390" spans="3:11" x14ac:dyDescent="0.3">
      <c r="C5390" s="16">
        <v>1</v>
      </c>
      <c r="D5390" s="13" t="s">
        <v>18</v>
      </c>
      <c r="E5390" s="17" t="s">
        <v>19</v>
      </c>
      <c r="F5390" s="18">
        <v>3.5999999999999997E-2</v>
      </c>
      <c r="G5390" s="19">
        <f>VLOOKUP(D5390,upahbahan,3,FALSE)</f>
        <v>100000</v>
      </c>
      <c r="H5390" s="19">
        <f t="shared" ref="H5390:H5393" si="580">F5390*G5390</f>
        <v>3599.9999999999995</v>
      </c>
    </row>
    <row r="5391" spans="3:11" x14ac:dyDescent="0.3">
      <c r="C5391" s="16">
        <v>2</v>
      </c>
      <c r="D5391" s="13" t="s">
        <v>214</v>
      </c>
      <c r="E5391" s="17" t="s">
        <v>19</v>
      </c>
      <c r="F5391" s="18">
        <v>0.06</v>
      </c>
      <c r="G5391" s="19">
        <f>VLOOKUP(D5391,upahbahan,3,FALSE)</f>
        <v>145000</v>
      </c>
      <c r="H5391" s="19">
        <f t="shared" si="580"/>
        <v>8700</v>
      </c>
    </row>
    <row r="5392" spans="3:11" x14ac:dyDescent="0.3">
      <c r="C5392" s="16">
        <v>3</v>
      </c>
      <c r="D5392" s="13" t="s">
        <v>22</v>
      </c>
      <c r="E5392" s="17" t="s">
        <v>19</v>
      </c>
      <c r="F5392" s="18">
        <v>6.0000000000000001E-3</v>
      </c>
      <c r="G5392" s="19">
        <f>VLOOKUP(D5392,upahbahan,3,FALSE)</f>
        <v>175000</v>
      </c>
      <c r="H5392" s="19">
        <f t="shared" si="580"/>
        <v>1050</v>
      </c>
    </row>
    <row r="5393" spans="3:11" x14ac:dyDescent="0.3">
      <c r="C5393" s="16">
        <v>4</v>
      </c>
      <c r="D5393" s="13" t="s">
        <v>23</v>
      </c>
      <c r="E5393" s="17" t="s">
        <v>19</v>
      </c>
      <c r="F5393" s="18">
        <v>2E-3</v>
      </c>
      <c r="G5393" s="19">
        <f>VLOOKUP(D5393,upahbahan,3,FALSE)</f>
        <v>200000</v>
      </c>
      <c r="H5393" s="19">
        <f t="shared" si="580"/>
        <v>400</v>
      </c>
    </row>
    <row r="5394" spans="3:11" x14ac:dyDescent="0.3">
      <c r="C5394" s="21" t="s">
        <v>24</v>
      </c>
      <c r="D5394" s="22"/>
      <c r="E5394" s="22"/>
      <c r="F5394" s="54"/>
      <c r="G5394" s="24"/>
      <c r="H5394" s="19">
        <f>SUM(H5390:H5393)</f>
        <v>13750</v>
      </c>
      <c r="I5394" s="25"/>
    </row>
    <row r="5395" spans="3:11" x14ac:dyDescent="0.25">
      <c r="C5395" s="12" t="s">
        <v>25</v>
      </c>
      <c r="D5395" s="13" t="s">
        <v>26</v>
      </c>
      <c r="E5395" s="14"/>
      <c r="F5395" s="55"/>
      <c r="G5395" s="14"/>
      <c r="H5395" s="14"/>
    </row>
    <row r="5396" spans="3:11" x14ac:dyDescent="0.25">
      <c r="C5396" s="12">
        <v>1</v>
      </c>
      <c r="D5396" s="13" t="s">
        <v>1055</v>
      </c>
      <c r="E5396" s="53" t="s">
        <v>617</v>
      </c>
      <c r="F5396" s="115">
        <v>1.2</v>
      </c>
      <c r="G5396" s="19">
        <f>VLOOKUP(D5396,upahbahan,3,FALSE)</f>
        <v>2040000</v>
      </c>
      <c r="H5396" s="19">
        <f>F5396*G5396</f>
        <v>2448000</v>
      </c>
    </row>
    <row r="5397" spans="3:11" x14ac:dyDescent="0.3">
      <c r="C5397" s="21" t="s">
        <v>29</v>
      </c>
      <c r="D5397" s="22"/>
      <c r="E5397" s="22"/>
      <c r="F5397" s="22"/>
      <c r="G5397" s="28"/>
      <c r="H5397" s="19">
        <f>SUM(H5396:H5396)</f>
        <v>2448000</v>
      </c>
    </row>
    <row r="5398" spans="3:11" x14ac:dyDescent="0.25">
      <c r="C5398" s="12" t="s">
        <v>30</v>
      </c>
      <c r="D5398" s="13" t="s">
        <v>31</v>
      </c>
      <c r="E5398" s="14"/>
      <c r="F5398" s="14"/>
      <c r="G5398" s="14"/>
      <c r="H5398" s="14"/>
    </row>
    <row r="5399" spans="3:11" x14ac:dyDescent="0.3">
      <c r="C5399" s="21" t="s">
        <v>32</v>
      </c>
      <c r="D5399" s="77"/>
      <c r="E5399" s="77"/>
      <c r="F5399" s="77"/>
      <c r="G5399" s="28"/>
      <c r="H5399" s="29">
        <f>SUM(H5398)</f>
        <v>0</v>
      </c>
    </row>
    <row r="5400" spans="3:11" x14ac:dyDescent="0.3">
      <c r="C5400" s="30" t="s">
        <v>33</v>
      </c>
      <c r="D5400" s="31" t="s">
        <v>34</v>
      </c>
      <c r="E5400" s="32"/>
      <c r="F5400" s="32"/>
      <c r="G5400" s="33"/>
      <c r="H5400" s="46">
        <f>H5399+H5397+H5394</f>
        <v>2461750</v>
      </c>
      <c r="I5400" s="47"/>
    </row>
    <row r="5401" spans="3:11" x14ac:dyDescent="0.3">
      <c r="C5401" s="30" t="s">
        <v>35</v>
      </c>
      <c r="D5401" s="31" t="s">
        <v>36</v>
      </c>
      <c r="E5401" s="32"/>
      <c r="F5401" s="33"/>
      <c r="G5401" s="34">
        <f>$M$9</f>
        <v>0.1</v>
      </c>
      <c r="H5401" s="19">
        <f>H5400*G5401</f>
        <v>246175</v>
      </c>
      <c r="I5401" s="47"/>
    </row>
    <row r="5402" spans="3:11" x14ac:dyDescent="0.3">
      <c r="C5402" s="30" t="s">
        <v>37</v>
      </c>
      <c r="D5402" s="31" t="s">
        <v>38</v>
      </c>
      <c r="E5402" s="32"/>
      <c r="F5402" s="32"/>
      <c r="G5402" s="33"/>
      <c r="H5402" s="48">
        <f>SUM(H5400:H5401)</f>
        <v>2707925</v>
      </c>
      <c r="I5402" s="47"/>
    </row>
    <row r="5404" spans="3:11" x14ac:dyDescent="0.3">
      <c r="C5404" s="40" t="s">
        <v>1056</v>
      </c>
      <c r="D5404" s="68" t="s">
        <v>1057</v>
      </c>
      <c r="E5404" s="44"/>
      <c r="F5404" s="44"/>
      <c r="G5404" s="44"/>
      <c r="H5404" s="44"/>
      <c r="I5404" s="10">
        <f>ROUNDDOWN(H5419,0)</f>
        <v>45980</v>
      </c>
      <c r="J5404" s="15"/>
      <c r="K5404" s="39"/>
    </row>
    <row r="5405" spans="3:11" ht="27.6" x14ac:dyDescent="0.3">
      <c r="C5405" s="11" t="s">
        <v>9</v>
      </c>
      <c r="D5405" s="11" t="s">
        <v>10</v>
      </c>
      <c r="E5405" s="11" t="s">
        <v>11</v>
      </c>
      <c r="F5405" s="11" t="s">
        <v>12</v>
      </c>
      <c r="G5405" s="11" t="s">
        <v>13</v>
      </c>
      <c r="H5405" s="11" t="s">
        <v>14</v>
      </c>
    </row>
    <row r="5406" spans="3:11" x14ac:dyDescent="0.25">
      <c r="C5406" s="12" t="s">
        <v>15</v>
      </c>
      <c r="D5406" s="13" t="s">
        <v>16</v>
      </c>
      <c r="E5406" s="14"/>
      <c r="F5406" s="14"/>
      <c r="G5406" s="14"/>
      <c r="H5406" s="14"/>
    </row>
    <row r="5407" spans="3:11" x14ac:dyDescent="0.3">
      <c r="C5407" s="16">
        <v>1</v>
      </c>
      <c r="D5407" s="13" t="s">
        <v>18</v>
      </c>
      <c r="E5407" s="17" t="s">
        <v>19</v>
      </c>
      <c r="F5407" s="18">
        <v>3.5999999999999997E-2</v>
      </c>
      <c r="G5407" s="19">
        <f>VLOOKUP(D5407,upahbahan,3,FALSE)</f>
        <v>100000</v>
      </c>
      <c r="H5407" s="19">
        <f t="shared" ref="H5407:H5410" si="581">F5407*G5407</f>
        <v>3599.9999999999995</v>
      </c>
    </row>
    <row r="5408" spans="3:11" x14ac:dyDescent="0.3">
      <c r="C5408" s="16">
        <v>2</v>
      </c>
      <c r="D5408" s="13" t="s">
        <v>214</v>
      </c>
      <c r="E5408" s="17" t="s">
        <v>19</v>
      </c>
      <c r="F5408" s="18">
        <v>0.06</v>
      </c>
      <c r="G5408" s="19">
        <f>VLOOKUP(D5408,upahbahan,3,FALSE)</f>
        <v>145000</v>
      </c>
      <c r="H5408" s="19">
        <f t="shared" si="581"/>
        <v>8700</v>
      </c>
    </row>
    <row r="5409" spans="3:11" x14ac:dyDescent="0.3">
      <c r="C5409" s="16">
        <v>3</v>
      </c>
      <c r="D5409" s="13" t="s">
        <v>22</v>
      </c>
      <c r="E5409" s="17" t="s">
        <v>19</v>
      </c>
      <c r="F5409" s="18">
        <v>6.0000000000000001E-3</v>
      </c>
      <c r="G5409" s="19">
        <f>VLOOKUP(D5409,upahbahan,3,FALSE)</f>
        <v>175000</v>
      </c>
      <c r="H5409" s="19">
        <f t="shared" si="581"/>
        <v>1050</v>
      </c>
    </row>
    <row r="5410" spans="3:11" x14ac:dyDescent="0.3">
      <c r="C5410" s="16">
        <v>4</v>
      </c>
      <c r="D5410" s="13" t="s">
        <v>23</v>
      </c>
      <c r="E5410" s="17" t="s">
        <v>19</v>
      </c>
      <c r="F5410" s="18">
        <v>2E-3</v>
      </c>
      <c r="G5410" s="19">
        <f>VLOOKUP(D5410,upahbahan,3,FALSE)</f>
        <v>200000</v>
      </c>
      <c r="H5410" s="19">
        <f t="shared" si="581"/>
        <v>400</v>
      </c>
    </row>
    <row r="5411" spans="3:11" x14ac:dyDescent="0.3">
      <c r="C5411" s="21" t="s">
        <v>24</v>
      </c>
      <c r="D5411" s="22"/>
      <c r="E5411" s="22"/>
      <c r="F5411" s="54"/>
      <c r="G5411" s="24"/>
      <c r="H5411" s="19">
        <f>SUM(H5407:H5410)</f>
        <v>13750</v>
      </c>
      <c r="I5411" s="25"/>
    </row>
    <row r="5412" spans="3:11" x14ac:dyDescent="0.25">
      <c r="C5412" s="12" t="s">
        <v>25</v>
      </c>
      <c r="D5412" s="13" t="s">
        <v>26</v>
      </c>
      <c r="E5412" s="14"/>
      <c r="F5412" s="55"/>
      <c r="G5412" s="14"/>
      <c r="H5412" s="14"/>
    </row>
    <row r="5413" spans="3:11" x14ac:dyDescent="0.25">
      <c r="C5413" s="12">
        <v>1</v>
      </c>
      <c r="D5413" s="13" t="s">
        <v>1058</v>
      </c>
      <c r="E5413" s="53" t="s">
        <v>617</v>
      </c>
      <c r="F5413" s="115">
        <v>1.1000000000000001</v>
      </c>
      <c r="G5413" s="19">
        <f>VLOOKUP(D5413,upahbahan,3,FALSE)</f>
        <v>25500</v>
      </c>
      <c r="H5413" s="19">
        <f>F5413*G5413</f>
        <v>28050.000000000004</v>
      </c>
    </row>
    <row r="5414" spans="3:11" x14ac:dyDescent="0.3">
      <c r="C5414" s="21" t="s">
        <v>29</v>
      </c>
      <c r="D5414" s="22"/>
      <c r="E5414" s="22"/>
      <c r="F5414" s="22"/>
      <c r="G5414" s="28"/>
      <c r="H5414" s="19">
        <f>SUM(H5413:H5413)</f>
        <v>28050.000000000004</v>
      </c>
    </row>
    <row r="5415" spans="3:11" x14ac:dyDescent="0.25">
      <c r="C5415" s="12" t="s">
        <v>30</v>
      </c>
      <c r="D5415" s="13" t="s">
        <v>31</v>
      </c>
      <c r="E5415" s="14"/>
      <c r="F5415" s="14"/>
      <c r="G5415" s="14"/>
      <c r="H5415" s="14"/>
    </row>
    <row r="5416" spans="3:11" x14ac:dyDescent="0.3">
      <c r="C5416" s="21" t="s">
        <v>32</v>
      </c>
      <c r="D5416" s="77"/>
      <c r="E5416" s="77"/>
      <c r="F5416" s="77"/>
      <c r="G5416" s="28"/>
      <c r="H5416" s="29">
        <f>SUM(H5415)</f>
        <v>0</v>
      </c>
    </row>
    <row r="5417" spans="3:11" x14ac:dyDescent="0.3">
      <c r="C5417" s="30" t="s">
        <v>33</v>
      </c>
      <c r="D5417" s="31" t="s">
        <v>34</v>
      </c>
      <c r="E5417" s="32"/>
      <c r="F5417" s="32"/>
      <c r="G5417" s="33"/>
      <c r="H5417" s="46">
        <f>H5416+H5414+H5411</f>
        <v>41800</v>
      </c>
      <c r="I5417" s="47"/>
    </row>
    <row r="5418" spans="3:11" x14ac:dyDescent="0.3">
      <c r="C5418" s="30" t="s">
        <v>35</v>
      </c>
      <c r="D5418" s="31" t="s">
        <v>36</v>
      </c>
      <c r="E5418" s="32"/>
      <c r="F5418" s="33"/>
      <c r="G5418" s="34">
        <f>$M$9</f>
        <v>0.1</v>
      </c>
      <c r="H5418" s="19">
        <f>H5417*G5418</f>
        <v>4180</v>
      </c>
      <c r="I5418" s="47"/>
    </row>
    <row r="5419" spans="3:11" x14ac:dyDescent="0.3">
      <c r="C5419" s="30" t="s">
        <v>37</v>
      </c>
      <c r="D5419" s="31" t="s">
        <v>38</v>
      </c>
      <c r="E5419" s="32"/>
      <c r="F5419" s="32"/>
      <c r="G5419" s="33"/>
      <c r="H5419" s="48">
        <f>SUM(H5417:H5418)</f>
        <v>45980</v>
      </c>
      <c r="I5419" s="47"/>
    </row>
    <row r="5421" spans="3:11" x14ac:dyDescent="0.3">
      <c r="C5421" s="40" t="s">
        <v>1059</v>
      </c>
      <c r="D5421" s="68" t="s">
        <v>1060</v>
      </c>
      <c r="E5421" s="44"/>
      <c r="F5421" s="44"/>
      <c r="G5421" s="44"/>
      <c r="H5421" s="44"/>
      <c r="I5421" s="10">
        <f>ROUNDDOWN(H5436,0)</f>
        <v>7095</v>
      </c>
      <c r="J5421" s="15"/>
      <c r="K5421" s="39"/>
    </row>
    <row r="5422" spans="3:11" ht="27.6" x14ac:dyDescent="0.3">
      <c r="C5422" s="11" t="s">
        <v>9</v>
      </c>
      <c r="D5422" s="11" t="s">
        <v>10</v>
      </c>
      <c r="E5422" s="11" t="s">
        <v>11</v>
      </c>
      <c r="F5422" s="11" t="s">
        <v>12</v>
      </c>
      <c r="G5422" s="11" t="s">
        <v>13</v>
      </c>
      <c r="H5422" s="11" t="s">
        <v>14</v>
      </c>
    </row>
    <row r="5423" spans="3:11" x14ac:dyDescent="0.25">
      <c r="C5423" s="12" t="s">
        <v>15</v>
      </c>
      <c r="D5423" s="13" t="s">
        <v>16</v>
      </c>
      <c r="E5423" s="14"/>
      <c r="F5423" s="14"/>
      <c r="G5423" s="14"/>
      <c r="H5423" s="14"/>
    </row>
    <row r="5424" spans="3:11" x14ac:dyDescent="0.3">
      <c r="C5424" s="16">
        <v>1</v>
      </c>
      <c r="D5424" s="13" t="s">
        <v>18</v>
      </c>
      <c r="E5424" s="17" t="s">
        <v>19</v>
      </c>
      <c r="F5424" s="18">
        <v>1.2E-2</v>
      </c>
      <c r="G5424" s="19">
        <f>VLOOKUP(D5424,upahbahan,3,FALSE)</f>
        <v>100000</v>
      </c>
      <c r="H5424" s="19">
        <f t="shared" ref="H5424:H5427" si="582">F5424*G5424</f>
        <v>1200</v>
      </c>
    </row>
    <row r="5425" spans="3:11" x14ac:dyDescent="0.3">
      <c r="C5425" s="16">
        <v>2</v>
      </c>
      <c r="D5425" s="13" t="s">
        <v>214</v>
      </c>
      <c r="E5425" s="17" t="s">
        <v>19</v>
      </c>
      <c r="F5425" s="18">
        <v>0.02</v>
      </c>
      <c r="G5425" s="19">
        <f>VLOOKUP(D5425,upahbahan,3,FALSE)</f>
        <v>145000</v>
      </c>
      <c r="H5425" s="19">
        <f t="shared" si="582"/>
        <v>2900</v>
      </c>
    </row>
    <row r="5426" spans="3:11" x14ac:dyDescent="0.3">
      <c r="C5426" s="16">
        <v>3</v>
      </c>
      <c r="D5426" s="13" t="s">
        <v>22</v>
      </c>
      <c r="E5426" s="17" t="s">
        <v>19</v>
      </c>
      <c r="F5426" s="18">
        <v>2E-3</v>
      </c>
      <c r="G5426" s="19">
        <f>VLOOKUP(D5426,upahbahan,3,FALSE)</f>
        <v>175000</v>
      </c>
      <c r="H5426" s="19">
        <f t="shared" si="582"/>
        <v>350</v>
      </c>
    </row>
    <row r="5427" spans="3:11" x14ac:dyDescent="0.3">
      <c r="C5427" s="16">
        <v>4</v>
      </c>
      <c r="D5427" s="13" t="s">
        <v>23</v>
      </c>
      <c r="E5427" s="17" t="s">
        <v>19</v>
      </c>
      <c r="F5427" s="18">
        <v>1E-3</v>
      </c>
      <c r="G5427" s="19">
        <f>VLOOKUP(D5427,upahbahan,3,FALSE)</f>
        <v>200000</v>
      </c>
      <c r="H5427" s="19">
        <f t="shared" si="582"/>
        <v>200</v>
      </c>
    </row>
    <row r="5428" spans="3:11" x14ac:dyDescent="0.3">
      <c r="C5428" s="21" t="s">
        <v>24</v>
      </c>
      <c r="D5428" s="22"/>
      <c r="E5428" s="22"/>
      <c r="F5428" s="54"/>
      <c r="G5428" s="24"/>
      <c r="H5428" s="19">
        <f>SUM(H5424:H5427)</f>
        <v>4650</v>
      </c>
      <c r="I5428" s="25"/>
    </row>
    <row r="5429" spans="3:11" x14ac:dyDescent="0.25">
      <c r="C5429" s="12" t="s">
        <v>25</v>
      </c>
      <c r="D5429" s="13" t="s">
        <v>26</v>
      </c>
      <c r="E5429" s="14"/>
      <c r="F5429" s="55"/>
      <c r="G5429" s="14"/>
      <c r="H5429" s="14"/>
    </row>
    <row r="5430" spans="3:11" x14ac:dyDescent="0.25">
      <c r="C5430" s="12">
        <v>1</v>
      </c>
      <c r="D5430" s="13" t="s">
        <v>1061</v>
      </c>
      <c r="E5430" s="53" t="s">
        <v>617</v>
      </c>
      <c r="F5430" s="115">
        <v>1.2</v>
      </c>
      <c r="G5430" s="19">
        <f>VLOOKUP(D5430,upahbahan,3,FALSE)</f>
        <v>1500</v>
      </c>
      <c r="H5430" s="19">
        <f>F5430*G5430</f>
        <v>1800</v>
      </c>
    </row>
    <row r="5431" spans="3:11" x14ac:dyDescent="0.3">
      <c r="C5431" s="21" t="s">
        <v>29</v>
      </c>
      <c r="D5431" s="22"/>
      <c r="E5431" s="22"/>
      <c r="F5431" s="22"/>
      <c r="G5431" s="28"/>
      <c r="H5431" s="19">
        <f>SUM(H5430:H5430)</f>
        <v>1800</v>
      </c>
    </row>
    <row r="5432" spans="3:11" x14ac:dyDescent="0.25">
      <c r="C5432" s="12" t="s">
        <v>30</v>
      </c>
      <c r="D5432" s="13" t="s">
        <v>31</v>
      </c>
      <c r="E5432" s="14"/>
      <c r="F5432" s="14"/>
      <c r="G5432" s="14"/>
      <c r="H5432" s="14"/>
    </row>
    <row r="5433" spans="3:11" x14ac:dyDescent="0.3">
      <c r="C5433" s="21" t="s">
        <v>32</v>
      </c>
      <c r="D5433" s="77"/>
      <c r="E5433" s="77"/>
      <c r="F5433" s="77"/>
      <c r="G5433" s="28"/>
      <c r="H5433" s="29">
        <f>SUM(H5432)</f>
        <v>0</v>
      </c>
    </row>
    <row r="5434" spans="3:11" x14ac:dyDescent="0.3">
      <c r="C5434" s="30" t="s">
        <v>33</v>
      </c>
      <c r="D5434" s="31" t="s">
        <v>34</v>
      </c>
      <c r="E5434" s="32"/>
      <c r="F5434" s="32"/>
      <c r="G5434" s="33"/>
      <c r="H5434" s="46">
        <f>H5433+H5431+H5428</f>
        <v>6450</v>
      </c>
      <c r="I5434" s="47"/>
    </row>
    <row r="5435" spans="3:11" x14ac:dyDescent="0.3">
      <c r="C5435" s="30" t="s">
        <v>35</v>
      </c>
      <c r="D5435" s="31" t="s">
        <v>36</v>
      </c>
      <c r="E5435" s="32"/>
      <c r="F5435" s="33"/>
      <c r="G5435" s="34">
        <f>$M$9</f>
        <v>0.1</v>
      </c>
      <c r="H5435" s="19">
        <f>H5434*G5435</f>
        <v>645</v>
      </c>
      <c r="I5435" s="47"/>
    </row>
    <row r="5436" spans="3:11" x14ac:dyDescent="0.3">
      <c r="C5436" s="30" t="s">
        <v>37</v>
      </c>
      <c r="D5436" s="31" t="s">
        <v>38</v>
      </c>
      <c r="E5436" s="32"/>
      <c r="F5436" s="32"/>
      <c r="G5436" s="33"/>
      <c r="H5436" s="48">
        <f>SUM(H5434:H5435)</f>
        <v>7095</v>
      </c>
      <c r="I5436" s="47"/>
    </row>
    <row r="5438" spans="3:11" x14ac:dyDescent="0.3">
      <c r="C5438" s="40" t="s">
        <v>1062</v>
      </c>
      <c r="D5438" s="68" t="s">
        <v>1063</v>
      </c>
      <c r="E5438" s="44"/>
      <c r="F5438" s="44"/>
      <c r="G5438" s="44"/>
      <c r="H5438" s="44"/>
      <c r="I5438" s="10">
        <f>ROUNDDOWN(H5453,0)</f>
        <v>319869</v>
      </c>
      <c r="J5438" s="15"/>
      <c r="K5438" s="39"/>
    </row>
    <row r="5439" spans="3:11" ht="27.6" x14ac:dyDescent="0.3">
      <c r="C5439" s="11" t="s">
        <v>9</v>
      </c>
      <c r="D5439" s="11" t="s">
        <v>10</v>
      </c>
      <c r="E5439" s="11" t="s">
        <v>11</v>
      </c>
      <c r="F5439" s="11" t="s">
        <v>12</v>
      </c>
      <c r="G5439" s="11" t="s">
        <v>13</v>
      </c>
      <c r="H5439" s="11" t="s">
        <v>14</v>
      </c>
    </row>
    <row r="5440" spans="3:11" x14ac:dyDescent="0.25">
      <c r="C5440" s="12" t="s">
        <v>15</v>
      </c>
      <c r="D5440" s="13" t="s">
        <v>16</v>
      </c>
      <c r="E5440" s="14"/>
      <c r="F5440" s="14"/>
      <c r="G5440" s="14"/>
      <c r="H5440" s="14"/>
    </row>
    <row r="5441" spans="3:11" x14ac:dyDescent="0.3">
      <c r="C5441" s="16">
        <v>1</v>
      </c>
      <c r="D5441" s="13" t="s">
        <v>18</v>
      </c>
      <c r="E5441" s="17" t="s">
        <v>19</v>
      </c>
      <c r="F5441" s="18">
        <v>0.217</v>
      </c>
      <c r="G5441" s="19">
        <f>VLOOKUP(D5441,upahbahan,3,FALSE)</f>
        <v>100000</v>
      </c>
      <c r="H5441" s="19">
        <f t="shared" ref="H5441:H5444" si="583">F5441*G5441</f>
        <v>21700</v>
      </c>
    </row>
    <row r="5442" spans="3:11" x14ac:dyDescent="0.3">
      <c r="C5442" s="16">
        <v>2</v>
      </c>
      <c r="D5442" s="13" t="s">
        <v>214</v>
      </c>
      <c r="E5442" s="17" t="s">
        <v>19</v>
      </c>
      <c r="F5442" s="18">
        <v>0.36199999999999999</v>
      </c>
      <c r="G5442" s="19">
        <f>VLOOKUP(D5442,upahbahan,3,FALSE)</f>
        <v>145000</v>
      </c>
      <c r="H5442" s="19">
        <f t="shared" si="583"/>
        <v>52490</v>
      </c>
    </row>
    <row r="5443" spans="3:11" x14ac:dyDescent="0.3">
      <c r="C5443" s="16">
        <v>3</v>
      </c>
      <c r="D5443" s="13" t="s">
        <v>22</v>
      </c>
      <c r="E5443" s="17" t="s">
        <v>19</v>
      </c>
      <c r="F5443" s="18">
        <v>3.5999999999999997E-2</v>
      </c>
      <c r="G5443" s="19">
        <f>VLOOKUP(D5443,upahbahan,3,FALSE)</f>
        <v>175000</v>
      </c>
      <c r="H5443" s="19">
        <f t="shared" si="583"/>
        <v>6299.9999999999991</v>
      </c>
    </row>
    <row r="5444" spans="3:11" x14ac:dyDescent="0.3">
      <c r="C5444" s="16">
        <v>4</v>
      </c>
      <c r="D5444" s="13" t="s">
        <v>23</v>
      </c>
      <c r="E5444" s="17" t="s">
        <v>19</v>
      </c>
      <c r="F5444" s="18">
        <v>1.2E-2</v>
      </c>
      <c r="G5444" s="19">
        <f>VLOOKUP(D5444,upahbahan,3,FALSE)</f>
        <v>200000</v>
      </c>
      <c r="H5444" s="19">
        <f t="shared" si="583"/>
        <v>2400</v>
      </c>
    </row>
    <row r="5445" spans="3:11" x14ac:dyDescent="0.3">
      <c r="C5445" s="21" t="s">
        <v>24</v>
      </c>
      <c r="D5445" s="22"/>
      <c r="E5445" s="22"/>
      <c r="F5445" s="54"/>
      <c r="G5445" s="24"/>
      <c r="H5445" s="19">
        <f>SUM(H5441:H5444)</f>
        <v>82890</v>
      </c>
      <c r="I5445" s="25"/>
    </row>
    <row r="5446" spans="3:11" x14ac:dyDescent="0.25">
      <c r="C5446" s="12" t="s">
        <v>25</v>
      </c>
      <c r="D5446" s="13" t="s">
        <v>26</v>
      </c>
      <c r="E5446" s="14"/>
      <c r="F5446" s="55"/>
      <c r="G5446" s="14"/>
      <c r="H5446" s="14"/>
    </row>
    <row r="5447" spans="3:11" x14ac:dyDescent="0.25">
      <c r="C5447" s="12">
        <v>1</v>
      </c>
      <c r="D5447" s="13" t="s">
        <v>1064</v>
      </c>
      <c r="E5447" s="53" t="s">
        <v>617</v>
      </c>
      <c r="F5447" s="115">
        <v>1.1000000000000001</v>
      </c>
      <c r="G5447" s="19">
        <f>VLOOKUP(D5447,upahbahan,3,FALSE)</f>
        <v>189000</v>
      </c>
      <c r="H5447" s="19">
        <f>F5447*G5447</f>
        <v>207900.00000000003</v>
      </c>
    </row>
    <row r="5448" spans="3:11" x14ac:dyDescent="0.3">
      <c r="C5448" s="21" t="s">
        <v>29</v>
      </c>
      <c r="D5448" s="22"/>
      <c r="E5448" s="22"/>
      <c r="F5448" s="22"/>
      <c r="G5448" s="28"/>
      <c r="H5448" s="19">
        <f>SUM(H5447:H5447)</f>
        <v>207900.00000000003</v>
      </c>
    </row>
    <row r="5449" spans="3:11" x14ac:dyDescent="0.25">
      <c r="C5449" s="12" t="s">
        <v>30</v>
      </c>
      <c r="D5449" s="13" t="s">
        <v>31</v>
      </c>
      <c r="E5449" s="14"/>
      <c r="F5449" s="14"/>
      <c r="G5449" s="14"/>
      <c r="H5449" s="14"/>
    </row>
    <row r="5450" spans="3:11" x14ac:dyDescent="0.3">
      <c r="C5450" s="21" t="s">
        <v>32</v>
      </c>
      <c r="D5450" s="77"/>
      <c r="E5450" s="77"/>
      <c r="F5450" s="77"/>
      <c r="G5450" s="28"/>
      <c r="H5450" s="29">
        <f>SUM(H5449)</f>
        <v>0</v>
      </c>
    </row>
    <row r="5451" spans="3:11" x14ac:dyDescent="0.3">
      <c r="C5451" s="30" t="s">
        <v>33</v>
      </c>
      <c r="D5451" s="31" t="s">
        <v>34</v>
      </c>
      <c r="E5451" s="32"/>
      <c r="F5451" s="32"/>
      <c r="G5451" s="33"/>
      <c r="H5451" s="46">
        <f>H5450+H5448+H5445</f>
        <v>290790</v>
      </c>
      <c r="I5451" s="47"/>
    </row>
    <row r="5452" spans="3:11" x14ac:dyDescent="0.3">
      <c r="C5452" s="30" t="s">
        <v>35</v>
      </c>
      <c r="D5452" s="31" t="s">
        <v>36</v>
      </c>
      <c r="E5452" s="32"/>
      <c r="F5452" s="33"/>
      <c r="G5452" s="34">
        <f>$M$9</f>
        <v>0.1</v>
      </c>
      <c r="H5452" s="19">
        <f>H5451*G5452</f>
        <v>29079</v>
      </c>
      <c r="I5452" s="47"/>
    </row>
    <row r="5453" spans="3:11" x14ac:dyDescent="0.3">
      <c r="C5453" s="30" t="s">
        <v>37</v>
      </c>
      <c r="D5453" s="31" t="s">
        <v>38</v>
      </c>
      <c r="E5453" s="32"/>
      <c r="F5453" s="32"/>
      <c r="G5453" s="33"/>
      <c r="H5453" s="48">
        <f>SUM(H5451:H5452)</f>
        <v>319869</v>
      </c>
      <c r="I5453" s="47"/>
    </row>
    <row r="5455" spans="3:11" x14ac:dyDescent="0.3">
      <c r="C5455" s="40" t="s">
        <v>1065</v>
      </c>
      <c r="D5455" s="68" t="s">
        <v>1066</v>
      </c>
      <c r="E5455" s="44"/>
      <c r="F5455" s="44"/>
      <c r="G5455" s="44"/>
      <c r="H5455" s="44"/>
      <c r="I5455" s="10">
        <f>ROUNDDOWN(H5470,0)</f>
        <v>273801</v>
      </c>
      <c r="J5455" s="15"/>
      <c r="K5455" s="39"/>
    </row>
    <row r="5456" spans="3:11" ht="27.6" x14ac:dyDescent="0.3">
      <c r="C5456" s="11" t="s">
        <v>9</v>
      </c>
      <c r="D5456" s="11" t="s">
        <v>10</v>
      </c>
      <c r="E5456" s="11" t="s">
        <v>11</v>
      </c>
      <c r="F5456" s="11" t="s">
        <v>12</v>
      </c>
      <c r="G5456" s="11" t="s">
        <v>13</v>
      </c>
      <c r="H5456" s="11" t="s">
        <v>14</v>
      </c>
    </row>
    <row r="5457" spans="3:11" x14ac:dyDescent="0.25">
      <c r="C5457" s="12" t="s">
        <v>15</v>
      </c>
      <c r="D5457" s="13" t="s">
        <v>16</v>
      </c>
      <c r="E5457" s="14"/>
      <c r="F5457" s="14"/>
      <c r="G5457" s="14"/>
      <c r="H5457" s="14"/>
    </row>
    <row r="5458" spans="3:11" x14ac:dyDescent="0.3">
      <c r="C5458" s="16">
        <v>1</v>
      </c>
      <c r="D5458" s="13" t="s">
        <v>18</v>
      </c>
      <c r="E5458" s="17" t="s">
        <v>19</v>
      </c>
      <c r="F5458" s="18">
        <v>0.19</v>
      </c>
      <c r="G5458" s="19">
        <f>VLOOKUP(D5458,upahbahan,3,FALSE)</f>
        <v>100000</v>
      </c>
      <c r="H5458" s="19">
        <f t="shared" ref="H5458:H5461" si="584">F5458*G5458</f>
        <v>19000</v>
      </c>
    </row>
    <row r="5459" spans="3:11" x14ac:dyDescent="0.3">
      <c r="C5459" s="16">
        <v>2</v>
      </c>
      <c r="D5459" s="13" t="s">
        <v>214</v>
      </c>
      <c r="E5459" s="17" t="s">
        <v>19</v>
      </c>
      <c r="F5459" s="18">
        <v>0.318</v>
      </c>
      <c r="G5459" s="19">
        <f>VLOOKUP(D5459,upahbahan,3,FALSE)</f>
        <v>145000</v>
      </c>
      <c r="H5459" s="19">
        <f t="shared" si="584"/>
        <v>46110</v>
      </c>
    </row>
    <row r="5460" spans="3:11" x14ac:dyDescent="0.3">
      <c r="C5460" s="16">
        <v>3</v>
      </c>
      <c r="D5460" s="13" t="s">
        <v>22</v>
      </c>
      <c r="E5460" s="17" t="s">
        <v>19</v>
      </c>
      <c r="F5460" s="18">
        <v>3.2000000000000001E-2</v>
      </c>
      <c r="G5460" s="19">
        <f>VLOOKUP(D5460,upahbahan,3,FALSE)</f>
        <v>175000</v>
      </c>
      <c r="H5460" s="19">
        <f t="shared" si="584"/>
        <v>5600</v>
      </c>
    </row>
    <row r="5461" spans="3:11" x14ac:dyDescent="0.3">
      <c r="C5461" s="16">
        <v>4</v>
      </c>
      <c r="D5461" s="13" t="s">
        <v>23</v>
      </c>
      <c r="E5461" s="17" t="s">
        <v>19</v>
      </c>
      <c r="F5461" s="18">
        <v>1.0999999999999999E-2</v>
      </c>
      <c r="G5461" s="19">
        <f>VLOOKUP(D5461,upahbahan,3,FALSE)</f>
        <v>200000</v>
      </c>
      <c r="H5461" s="19">
        <f t="shared" si="584"/>
        <v>2200</v>
      </c>
    </row>
    <row r="5462" spans="3:11" x14ac:dyDescent="0.3">
      <c r="C5462" s="21" t="s">
        <v>24</v>
      </c>
      <c r="D5462" s="22"/>
      <c r="E5462" s="22"/>
      <c r="F5462" s="54"/>
      <c r="G5462" s="24"/>
      <c r="H5462" s="19">
        <f>SUM(H5458:H5461)</f>
        <v>72910</v>
      </c>
      <c r="I5462" s="25"/>
    </row>
    <row r="5463" spans="3:11" x14ac:dyDescent="0.25">
      <c r="C5463" s="12" t="s">
        <v>25</v>
      </c>
      <c r="D5463" s="13" t="s">
        <v>26</v>
      </c>
      <c r="E5463" s="14"/>
      <c r="F5463" s="55"/>
      <c r="G5463" s="14"/>
      <c r="H5463" s="14"/>
    </row>
    <row r="5464" spans="3:11" x14ac:dyDescent="0.25">
      <c r="C5464" s="12">
        <v>1</v>
      </c>
      <c r="D5464" s="13" t="s">
        <v>1067</v>
      </c>
      <c r="E5464" s="53" t="s">
        <v>617</v>
      </c>
      <c r="F5464" s="115">
        <v>1.1000000000000001</v>
      </c>
      <c r="G5464" s="19">
        <f>VLOOKUP(D5464,upahbahan,3,FALSE)</f>
        <v>160000</v>
      </c>
      <c r="H5464" s="19">
        <f>F5464*G5464</f>
        <v>176000</v>
      </c>
    </row>
    <row r="5465" spans="3:11" x14ac:dyDescent="0.3">
      <c r="C5465" s="21" t="s">
        <v>29</v>
      </c>
      <c r="D5465" s="22"/>
      <c r="E5465" s="22"/>
      <c r="F5465" s="22"/>
      <c r="G5465" s="28"/>
      <c r="H5465" s="19">
        <f>SUM(H5464:H5464)</f>
        <v>176000</v>
      </c>
    </row>
    <row r="5466" spans="3:11" x14ac:dyDescent="0.25">
      <c r="C5466" s="12" t="s">
        <v>30</v>
      </c>
      <c r="D5466" s="13" t="s">
        <v>31</v>
      </c>
      <c r="E5466" s="14"/>
      <c r="F5466" s="14"/>
      <c r="G5466" s="14"/>
      <c r="H5466" s="14"/>
    </row>
    <row r="5467" spans="3:11" x14ac:dyDescent="0.3">
      <c r="C5467" s="21" t="s">
        <v>32</v>
      </c>
      <c r="D5467" s="77"/>
      <c r="E5467" s="77"/>
      <c r="F5467" s="77"/>
      <c r="G5467" s="28"/>
      <c r="H5467" s="29">
        <f>SUM(H5466)</f>
        <v>0</v>
      </c>
    </row>
    <row r="5468" spans="3:11" x14ac:dyDescent="0.3">
      <c r="C5468" s="30" t="s">
        <v>33</v>
      </c>
      <c r="D5468" s="31" t="s">
        <v>34</v>
      </c>
      <c r="E5468" s="32"/>
      <c r="F5468" s="32"/>
      <c r="G5468" s="33"/>
      <c r="H5468" s="46">
        <f>H5467+H5465+H5462</f>
        <v>248910</v>
      </c>
      <c r="I5468" s="47"/>
    </row>
    <row r="5469" spans="3:11" x14ac:dyDescent="0.3">
      <c r="C5469" s="30" t="s">
        <v>35</v>
      </c>
      <c r="D5469" s="31" t="s">
        <v>36</v>
      </c>
      <c r="E5469" s="32"/>
      <c r="F5469" s="33"/>
      <c r="G5469" s="34">
        <f>$M$9</f>
        <v>0.1</v>
      </c>
      <c r="H5469" s="19">
        <f>H5468*G5469</f>
        <v>24891</v>
      </c>
      <c r="I5469" s="47"/>
    </row>
    <row r="5470" spans="3:11" x14ac:dyDescent="0.3">
      <c r="C5470" s="30" t="s">
        <v>37</v>
      </c>
      <c r="D5470" s="31" t="s">
        <v>38</v>
      </c>
      <c r="E5470" s="32"/>
      <c r="F5470" s="32"/>
      <c r="G5470" s="33"/>
      <c r="H5470" s="48">
        <f>SUM(H5468:H5469)</f>
        <v>273801</v>
      </c>
      <c r="I5470" s="47"/>
    </row>
    <row r="5472" spans="3:11" x14ac:dyDescent="0.3">
      <c r="C5472" s="40" t="s">
        <v>1068</v>
      </c>
      <c r="D5472" s="68" t="s">
        <v>1069</v>
      </c>
      <c r="E5472" s="44"/>
      <c r="F5472" s="44"/>
      <c r="G5472" s="44"/>
      <c r="H5472" s="44"/>
      <c r="I5472" s="10">
        <f>ROUNDDOWN(H5487,0)</f>
        <v>784421</v>
      </c>
      <c r="J5472" s="15"/>
      <c r="K5472" s="39"/>
    </row>
    <row r="5473" spans="3:9" ht="27.6" x14ac:dyDescent="0.3">
      <c r="C5473" s="11" t="s">
        <v>9</v>
      </c>
      <c r="D5473" s="11" t="s">
        <v>10</v>
      </c>
      <c r="E5473" s="11" t="s">
        <v>11</v>
      </c>
      <c r="F5473" s="11" t="s">
        <v>12</v>
      </c>
      <c r="G5473" s="11" t="s">
        <v>13</v>
      </c>
      <c r="H5473" s="11" t="s">
        <v>14</v>
      </c>
    </row>
    <row r="5474" spans="3:9" x14ac:dyDescent="0.25">
      <c r="C5474" s="12" t="s">
        <v>15</v>
      </c>
      <c r="D5474" s="13" t="s">
        <v>16</v>
      </c>
      <c r="E5474" s="14"/>
      <c r="F5474" s="14"/>
      <c r="G5474" s="14"/>
      <c r="H5474" s="14"/>
    </row>
    <row r="5475" spans="3:9" x14ac:dyDescent="0.3">
      <c r="C5475" s="16">
        <v>1</v>
      </c>
      <c r="D5475" s="13" t="s">
        <v>18</v>
      </c>
      <c r="E5475" s="17" t="s">
        <v>19</v>
      </c>
      <c r="F5475" s="18">
        <v>0.19</v>
      </c>
      <c r="G5475" s="19">
        <f>VLOOKUP(D5475,upahbahan,3,FALSE)</f>
        <v>100000</v>
      </c>
      <c r="H5475" s="19">
        <f t="shared" ref="H5475:H5478" si="585">F5475*G5475</f>
        <v>19000</v>
      </c>
    </row>
    <row r="5476" spans="3:9" x14ac:dyDescent="0.3">
      <c r="C5476" s="16">
        <v>2</v>
      </c>
      <c r="D5476" s="13" t="s">
        <v>214</v>
      </c>
      <c r="E5476" s="17" t="s">
        <v>19</v>
      </c>
      <c r="F5476" s="18">
        <v>0.318</v>
      </c>
      <c r="G5476" s="19">
        <f>VLOOKUP(D5476,upahbahan,3,FALSE)</f>
        <v>145000</v>
      </c>
      <c r="H5476" s="19">
        <f t="shared" si="585"/>
        <v>46110</v>
      </c>
    </row>
    <row r="5477" spans="3:9" x14ac:dyDescent="0.3">
      <c r="C5477" s="16">
        <v>3</v>
      </c>
      <c r="D5477" s="13" t="s">
        <v>22</v>
      </c>
      <c r="E5477" s="17" t="s">
        <v>19</v>
      </c>
      <c r="F5477" s="18">
        <v>3.2000000000000001E-2</v>
      </c>
      <c r="G5477" s="19">
        <f>VLOOKUP(D5477,upahbahan,3,FALSE)</f>
        <v>175000</v>
      </c>
      <c r="H5477" s="19">
        <f t="shared" si="585"/>
        <v>5600</v>
      </c>
    </row>
    <row r="5478" spans="3:9" x14ac:dyDescent="0.3">
      <c r="C5478" s="16">
        <v>4</v>
      </c>
      <c r="D5478" s="13" t="s">
        <v>23</v>
      </c>
      <c r="E5478" s="17" t="s">
        <v>19</v>
      </c>
      <c r="F5478" s="18">
        <v>1.0999999999999999E-2</v>
      </c>
      <c r="G5478" s="19">
        <f>VLOOKUP(D5478,upahbahan,3,FALSE)</f>
        <v>200000</v>
      </c>
      <c r="H5478" s="19">
        <f t="shared" si="585"/>
        <v>2200</v>
      </c>
    </row>
    <row r="5479" spans="3:9" x14ac:dyDescent="0.3">
      <c r="C5479" s="21" t="s">
        <v>24</v>
      </c>
      <c r="D5479" s="22"/>
      <c r="E5479" s="22"/>
      <c r="F5479" s="54"/>
      <c r="G5479" s="24"/>
      <c r="H5479" s="19">
        <f>SUM(H5475:H5478)</f>
        <v>72910</v>
      </c>
      <c r="I5479" s="25"/>
    </row>
    <row r="5480" spans="3:9" x14ac:dyDescent="0.25">
      <c r="C5480" s="12" t="s">
        <v>25</v>
      </c>
      <c r="D5480" s="13" t="s">
        <v>26</v>
      </c>
      <c r="E5480" s="14"/>
      <c r="F5480" s="55"/>
      <c r="G5480" s="14"/>
      <c r="H5480" s="14"/>
    </row>
    <row r="5481" spans="3:9" x14ac:dyDescent="0.25">
      <c r="C5481" s="12">
        <v>1</v>
      </c>
      <c r="D5481" s="13" t="s">
        <v>1070</v>
      </c>
      <c r="E5481" s="53" t="s">
        <v>617</v>
      </c>
      <c r="F5481" s="115">
        <v>1.1000000000000001</v>
      </c>
      <c r="G5481" s="19">
        <f>VLOOKUP(D5481,upahbahan,3,FALSE)</f>
        <v>582000</v>
      </c>
      <c r="H5481" s="19">
        <f>F5481*G5481</f>
        <v>640200</v>
      </c>
    </row>
    <row r="5482" spans="3:9" x14ac:dyDescent="0.3">
      <c r="C5482" s="21" t="s">
        <v>29</v>
      </c>
      <c r="D5482" s="22"/>
      <c r="E5482" s="22"/>
      <c r="F5482" s="22"/>
      <c r="G5482" s="28"/>
      <c r="H5482" s="19">
        <f>SUM(H5481:H5481)</f>
        <v>640200</v>
      </c>
    </row>
    <row r="5483" spans="3:9" x14ac:dyDescent="0.25">
      <c r="C5483" s="12" t="s">
        <v>30</v>
      </c>
      <c r="D5483" s="13" t="s">
        <v>31</v>
      </c>
      <c r="E5483" s="14"/>
      <c r="F5483" s="14"/>
      <c r="G5483" s="14"/>
      <c r="H5483" s="14"/>
    </row>
    <row r="5484" spans="3:9" x14ac:dyDescent="0.3">
      <c r="C5484" s="21" t="s">
        <v>32</v>
      </c>
      <c r="D5484" s="77"/>
      <c r="E5484" s="77"/>
      <c r="F5484" s="77"/>
      <c r="G5484" s="28"/>
      <c r="H5484" s="29">
        <f>SUM(H5483)</f>
        <v>0</v>
      </c>
    </row>
    <row r="5485" spans="3:9" x14ac:dyDescent="0.3">
      <c r="C5485" s="30" t="s">
        <v>33</v>
      </c>
      <c r="D5485" s="31" t="s">
        <v>34</v>
      </c>
      <c r="E5485" s="32"/>
      <c r="F5485" s="32"/>
      <c r="G5485" s="33"/>
      <c r="H5485" s="46">
        <f>H5484+H5482+H5479</f>
        <v>713110</v>
      </c>
      <c r="I5485" s="47"/>
    </row>
    <row r="5486" spans="3:9" x14ac:dyDescent="0.3">
      <c r="C5486" s="30" t="s">
        <v>35</v>
      </c>
      <c r="D5486" s="31" t="s">
        <v>36</v>
      </c>
      <c r="E5486" s="32"/>
      <c r="F5486" s="33"/>
      <c r="G5486" s="34">
        <f>$M$9</f>
        <v>0.1</v>
      </c>
      <c r="H5486" s="19">
        <f>H5485*G5486</f>
        <v>71311</v>
      </c>
      <c r="I5486" s="47"/>
    </row>
    <row r="5487" spans="3:9" x14ac:dyDescent="0.3">
      <c r="C5487" s="30" t="s">
        <v>37</v>
      </c>
      <c r="D5487" s="31" t="s">
        <v>38</v>
      </c>
      <c r="E5487" s="32"/>
      <c r="F5487" s="32"/>
      <c r="G5487" s="33"/>
      <c r="H5487" s="48">
        <f>SUM(H5485:H5486)</f>
        <v>784421</v>
      </c>
      <c r="I5487" s="47"/>
    </row>
    <row r="5489" spans="3:11" x14ac:dyDescent="0.3">
      <c r="C5489" s="40" t="s">
        <v>1071</v>
      </c>
      <c r="D5489" s="68" t="s">
        <v>1072</v>
      </c>
      <c r="E5489" s="44"/>
      <c r="F5489" s="44"/>
      <c r="G5489" s="44"/>
      <c r="H5489" s="44"/>
      <c r="I5489" s="10">
        <f>ROUNDDOWN(H5504,0)</f>
        <v>151131</v>
      </c>
      <c r="J5489" s="15"/>
      <c r="K5489" s="39"/>
    </row>
    <row r="5490" spans="3:11" ht="27.6" x14ac:dyDescent="0.3">
      <c r="C5490" s="11" t="s">
        <v>9</v>
      </c>
      <c r="D5490" s="11" t="s">
        <v>10</v>
      </c>
      <c r="E5490" s="11" t="s">
        <v>11</v>
      </c>
      <c r="F5490" s="11" t="s">
        <v>12</v>
      </c>
      <c r="G5490" s="11" t="s">
        <v>13</v>
      </c>
      <c r="H5490" s="11" t="s">
        <v>14</v>
      </c>
    </row>
    <row r="5491" spans="3:11" x14ac:dyDescent="0.25">
      <c r="C5491" s="12" t="s">
        <v>15</v>
      </c>
      <c r="D5491" s="13" t="s">
        <v>16</v>
      </c>
      <c r="E5491" s="14"/>
      <c r="F5491" s="14"/>
      <c r="G5491" s="14"/>
      <c r="H5491" s="14"/>
    </row>
    <row r="5492" spans="3:11" x14ac:dyDescent="0.3">
      <c r="C5492" s="16">
        <v>1</v>
      </c>
      <c r="D5492" s="13" t="s">
        <v>18</v>
      </c>
      <c r="E5492" s="17" t="s">
        <v>19</v>
      </c>
      <c r="F5492" s="18">
        <v>0.19</v>
      </c>
      <c r="G5492" s="19">
        <f>VLOOKUP(D5492,upahbahan,3,FALSE)</f>
        <v>100000</v>
      </c>
      <c r="H5492" s="19">
        <f t="shared" ref="H5492:H5495" si="586">F5492*G5492</f>
        <v>19000</v>
      </c>
    </row>
    <row r="5493" spans="3:11" x14ac:dyDescent="0.3">
      <c r="C5493" s="16">
        <v>2</v>
      </c>
      <c r="D5493" s="13" t="s">
        <v>214</v>
      </c>
      <c r="E5493" s="17" t="s">
        <v>19</v>
      </c>
      <c r="F5493" s="18">
        <v>0.318</v>
      </c>
      <c r="G5493" s="19">
        <f>VLOOKUP(D5493,upahbahan,3,FALSE)</f>
        <v>145000</v>
      </c>
      <c r="H5493" s="19">
        <f t="shared" si="586"/>
        <v>46110</v>
      </c>
    </row>
    <row r="5494" spans="3:11" x14ac:dyDescent="0.3">
      <c r="C5494" s="16">
        <v>3</v>
      </c>
      <c r="D5494" s="13" t="s">
        <v>22</v>
      </c>
      <c r="E5494" s="17" t="s">
        <v>19</v>
      </c>
      <c r="F5494" s="18">
        <v>3.2000000000000001E-2</v>
      </c>
      <c r="G5494" s="19">
        <f>VLOOKUP(D5494,upahbahan,3,FALSE)</f>
        <v>175000</v>
      </c>
      <c r="H5494" s="19">
        <f t="shared" si="586"/>
        <v>5600</v>
      </c>
    </row>
    <row r="5495" spans="3:11" x14ac:dyDescent="0.3">
      <c r="C5495" s="16">
        <v>4</v>
      </c>
      <c r="D5495" s="13" t="s">
        <v>23</v>
      </c>
      <c r="E5495" s="17" t="s">
        <v>19</v>
      </c>
      <c r="F5495" s="18">
        <v>1.0999999999999999E-2</v>
      </c>
      <c r="G5495" s="19">
        <f>VLOOKUP(D5495,upahbahan,3,FALSE)</f>
        <v>200000</v>
      </c>
      <c r="H5495" s="19">
        <f t="shared" si="586"/>
        <v>2200</v>
      </c>
    </row>
    <row r="5496" spans="3:11" x14ac:dyDescent="0.3">
      <c r="C5496" s="21" t="s">
        <v>24</v>
      </c>
      <c r="D5496" s="22"/>
      <c r="E5496" s="22"/>
      <c r="F5496" s="54"/>
      <c r="G5496" s="24"/>
      <c r="H5496" s="19">
        <f>SUM(H5492:H5495)</f>
        <v>72910</v>
      </c>
      <c r="I5496" s="25"/>
    </row>
    <row r="5497" spans="3:11" x14ac:dyDescent="0.25">
      <c r="C5497" s="12" t="s">
        <v>25</v>
      </c>
      <c r="D5497" s="13" t="s">
        <v>26</v>
      </c>
      <c r="E5497" s="14"/>
      <c r="F5497" s="55"/>
      <c r="G5497" s="14"/>
      <c r="H5497" s="14"/>
    </row>
    <row r="5498" spans="3:11" x14ac:dyDescent="0.25">
      <c r="C5498" s="12">
        <v>1</v>
      </c>
      <c r="D5498" s="13" t="s">
        <v>1073</v>
      </c>
      <c r="E5498" s="53" t="s">
        <v>617</v>
      </c>
      <c r="F5498" s="115">
        <v>1.1000000000000001</v>
      </c>
      <c r="G5498" s="19">
        <f>VLOOKUP(D5498,upahbahan,3,FALSE)</f>
        <v>58620</v>
      </c>
      <c r="H5498" s="19">
        <f>F5498*G5498</f>
        <v>64482.000000000007</v>
      </c>
    </row>
    <row r="5499" spans="3:11" x14ac:dyDescent="0.3">
      <c r="C5499" s="21" t="s">
        <v>29</v>
      </c>
      <c r="D5499" s="22"/>
      <c r="E5499" s="22"/>
      <c r="F5499" s="22"/>
      <c r="G5499" s="28"/>
      <c r="H5499" s="19">
        <f>SUM(H5498:H5498)</f>
        <v>64482.000000000007</v>
      </c>
    </row>
    <row r="5500" spans="3:11" x14ac:dyDescent="0.25">
      <c r="C5500" s="12" t="s">
        <v>30</v>
      </c>
      <c r="D5500" s="13" t="s">
        <v>31</v>
      </c>
      <c r="E5500" s="14"/>
      <c r="F5500" s="14"/>
      <c r="G5500" s="14"/>
      <c r="H5500" s="14"/>
    </row>
    <row r="5501" spans="3:11" x14ac:dyDescent="0.3">
      <c r="C5501" s="21" t="s">
        <v>32</v>
      </c>
      <c r="D5501" s="77"/>
      <c r="E5501" s="77"/>
      <c r="F5501" s="77"/>
      <c r="G5501" s="28"/>
      <c r="H5501" s="29">
        <f>SUM(H5500)</f>
        <v>0</v>
      </c>
    </row>
    <row r="5502" spans="3:11" x14ac:dyDescent="0.3">
      <c r="C5502" s="30" t="s">
        <v>33</v>
      </c>
      <c r="D5502" s="31" t="s">
        <v>34</v>
      </c>
      <c r="E5502" s="32"/>
      <c r="F5502" s="32"/>
      <c r="G5502" s="33"/>
      <c r="H5502" s="46">
        <f>H5501+H5499+H5496</f>
        <v>137392</v>
      </c>
      <c r="I5502" s="47"/>
    </row>
    <row r="5503" spans="3:11" x14ac:dyDescent="0.3">
      <c r="C5503" s="30" t="s">
        <v>35</v>
      </c>
      <c r="D5503" s="31" t="s">
        <v>36</v>
      </c>
      <c r="E5503" s="32"/>
      <c r="F5503" s="33"/>
      <c r="G5503" s="34">
        <f>$M$9</f>
        <v>0.1</v>
      </c>
      <c r="H5503" s="19">
        <f>H5502*G5503</f>
        <v>13739.2</v>
      </c>
      <c r="I5503" s="47"/>
    </row>
    <row r="5504" spans="3:11" x14ac:dyDescent="0.3">
      <c r="C5504" s="30" t="s">
        <v>37</v>
      </c>
      <c r="D5504" s="31" t="s">
        <v>38</v>
      </c>
      <c r="E5504" s="32"/>
      <c r="F5504" s="32"/>
      <c r="G5504" s="33"/>
      <c r="H5504" s="48">
        <f>SUM(H5502:H5503)</f>
        <v>151131.20000000001</v>
      </c>
      <c r="I5504" s="47"/>
    </row>
    <row r="5507" spans="3:11" x14ac:dyDescent="0.3">
      <c r="C5507" s="40" t="s">
        <v>1074</v>
      </c>
      <c r="D5507" s="68" t="s">
        <v>1075</v>
      </c>
      <c r="E5507" s="44"/>
      <c r="F5507" s="44"/>
      <c r="G5507" s="44"/>
      <c r="H5507" s="44"/>
      <c r="I5507" s="10">
        <f>ROUNDDOWN(H5522,0)</f>
        <v>680361</v>
      </c>
      <c r="J5507" s="15"/>
      <c r="K5507" s="39"/>
    </row>
    <row r="5508" spans="3:11" ht="27.6" x14ac:dyDescent="0.3">
      <c r="C5508" s="11" t="s">
        <v>9</v>
      </c>
      <c r="D5508" s="11" t="s">
        <v>10</v>
      </c>
      <c r="E5508" s="11" t="s">
        <v>11</v>
      </c>
      <c r="F5508" s="11" t="s">
        <v>12</v>
      </c>
      <c r="G5508" s="11" t="s">
        <v>13</v>
      </c>
      <c r="H5508" s="11" t="s">
        <v>14</v>
      </c>
    </row>
    <row r="5509" spans="3:11" x14ac:dyDescent="0.25">
      <c r="C5509" s="12" t="s">
        <v>15</v>
      </c>
      <c r="D5509" s="13" t="s">
        <v>16</v>
      </c>
      <c r="E5509" s="14"/>
      <c r="F5509" s="14"/>
      <c r="G5509" s="14"/>
      <c r="H5509" s="14"/>
    </row>
    <row r="5510" spans="3:11" x14ac:dyDescent="0.3">
      <c r="C5510" s="16">
        <v>1</v>
      </c>
      <c r="D5510" s="13" t="s">
        <v>18</v>
      </c>
      <c r="E5510" s="17" t="s">
        <v>19</v>
      </c>
      <c r="F5510" s="18">
        <v>0.19</v>
      </c>
      <c r="G5510" s="19">
        <f>VLOOKUP(D5510,upahbahan,3,FALSE)</f>
        <v>100000</v>
      </c>
      <c r="H5510" s="19">
        <f t="shared" ref="H5510:H5513" si="587">F5510*G5510</f>
        <v>19000</v>
      </c>
    </row>
    <row r="5511" spans="3:11" x14ac:dyDescent="0.3">
      <c r="C5511" s="16">
        <v>2</v>
      </c>
      <c r="D5511" s="13" t="s">
        <v>214</v>
      </c>
      <c r="E5511" s="17" t="s">
        <v>19</v>
      </c>
      <c r="F5511" s="18">
        <v>0.318</v>
      </c>
      <c r="G5511" s="19">
        <f>VLOOKUP(D5511,upahbahan,3,FALSE)</f>
        <v>145000</v>
      </c>
      <c r="H5511" s="19">
        <f t="shared" si="587"/>
        <v>46110</v>
      </c>
    </row>
    <row r="5512" spans="3:11" x14ac:dyDescent="0.3">
      <c r="C5512" s="16">
        <v>3</v>
      </c>
      <c r="D5512" s="13" t="s">
        <v>22</v>
      </c>
      <c r="E5512" s="17" t="s">
        <v>19</v>
      </c>
      <c r="F5512" s="18">
        <v>3.2000000000000001E-2</v>
      </c>
      <c r="G5512" s="19">
        <f>VLOOKUP(D5512,upahbahan,3,FALSE)</f>
        <v>175000</v>
      </c>
      <c r="H5512" s="19">
        <f t="shared" si="587"/>
        <v>5600</v>
      </c>
    </row>
    <row r="5513" spans="3:11" x14ac:dyDescent="0.3">
      <c r="C5513" s="16">
        <v>4</v>
      </c>
      <c r="D5513" s="13" t="s">
        <v>23</v>
      </c>
      <c r="E5513" s="17" t="s">
        <v>19</v>
      </c>
      <c r="F5513" s="18">
        <v>1.0999999999999999E-2</v>
      </c>
      <c r="G5513" s="19">
        <f>VLOOKUP(D5513,upahbahan,3,FALSE)</f>
        <v>200000</v>
      </c>
      <c r="H5513" s="19">
        <f t="shared" si="587"/>
        <v>2200</v>
      </c>
    </row>
    <row r="5514" spans="3:11" x14ac:dyDescent="0.3">
      <c r="C5514" s="21" t="s">
        <v>24</v>
      </c>
      <c r="D5514" s="22"/>
      <c r="E5514" s="22"/>
      <c r="F5514" s="54"/>
      <c r="G5514" s="24"/>
      <c r="H5514" s="19">
        <f>SUM(H5510:H5513)</f>
        <v>72910</v>
      </c>
      <c r="I5514" s="25"/>
    </row>
    <row r="5515" spans="3:11" x14ac:dyDescent="0.25">
      <c r="C5515" s="12" t="s">
        <v>25</v>
      </c>
      <c r="D5515" s="13" t="s">
        <v>26</v>
      </c>
      <c r="E5515" s="14"/>
      <c r="F5515" s="55"/>
      <c r="G5515" s="14"/>
      <c r="H5515" s="14"/>
    </row>
    <row r="5516" spans="3:11" x14ac:dyDescent="0.25">
      <c r="C5516" s="12">
        <v>1</v>
      </c>
      <c r="D5516" s="13" t="s">
        <v>1076</v>
      </c>
      <c r="E5516" s="53" t="s">
        <v>617</v>
      </c>
      <c r="F5516" s="115">
        <v>1.1000000000000001</v>
      </c>
      <c r="G5516" s="19">
        <f>VLOOKUP(D5516,upahbahan,3,FALSE)</f>
        <v>496000</v>
      </c>
      <c r="H5516" s="19">
        <f>F5516*G5516</f>
        <v>545600</v>
      </c>
    </row>
    <row r="5517" spans="3:11" x14ac:dyDescent="0.3">
      <c r="C5517" s="21" t="s">
        <v>29</v>
      </c>
      <c r="D5517" s="22"/>
      <c r="E5517" s="22"/>
      <c r="F5517" s="22"/>
      <c r="G5517" s="28"/>
      <c r="H5517" s="19">
        <f>SUM(H5516:H5516)</f>
        <v>545600</v>
      </c>
    </row>
    <row r="5518" spans="3:11" x14ac:dyDescent="0.25">
      <c r="C5518" s="12" t="s">
        <v>30</v>
      </c>
      <c r="D5518" s="13" t="s">
        <v>31</v>
      </c>
      <c r="E5518" s="14"/>
      <c r="F5518" s="14"/>
      <c r="G5518" s="14"/>
      <c r="H5518" s="14"/>
    </row>
    <row r="5519" spans="3:11" x14ac:dyDescent="0.3">
      <c r="C5519" s="21" t="s">
        <v>32</v>
      </c>
      <c r="D5519" s="77"/>
      <c r="E5519" s="77"/>
      <c r="F5519" s="77"/>
      <c r="G5519" s="28"/>
      <c r="H5519" s="29">
        <f>SUM(H5518)</f>
        <v>0</v>
      </c>
    </row>
    <row r="5520" spans="3:11" x14ac:dyDescent="0.3">
      <c r="C5520" s="30" t="s">
        <v>33</v>
      </c>
      <c r="D5520" s="31" t="s">
        <v>34</v>
      </c>
      <c r="E5520" s="32"/>
      <c r="F5520" s="32"/>
      <c r="G5520" s="33"/>
      <c r="H5520" s="46">
        <f>H5519+H5517+H5514</f>
        <v>618510</v>
      </c>
      <c r="I5520" s="47"/>
    </row>
    <row r="5521" spans="3:11" x14ac:dyDescent="0.3">
      <c r="C5521" s="30" t="s">
        <v>35</v>
      </c>
      <c r="D5521" s="31" t="s">
        <v>36</v>
      </c>
      <c r="E5521" s="32"/>
      <c r="F5521" s="33"/>
      <c r="G5521" s="34">
        <f>$M$9</f>
        <v>0.1</v>
      </c>
      <c r="H5521" s="19">
        <f>H5520*G5521</f>
        <v>61851</v>
      </c>
      <c r="I5521" s="47"/>
    </row>
    <row r="5522" spans="3:11" x14ac:dyDescent="0.3">
      <c r="C5522" s="30" t="s">
        <v>37</v>
      </c>
      <c r="D5522" s="31" t="s">
        <v>38</v>
      </c>
      <c r="E5522" s="32"/>
      <c r="F5522" s="32"/>
      <c r="G5522" s="33"/>
      <c r="H5522" s="48">
        <f>SUM(H5520:H5521)</f>
        <v>680361</v>
      </c>
      <c r="I5522" s="47"/>
    </row>
    <row r="5524" spans="3:11" x14ac:dyDescent="0.3">
      <c r="C5524" s="40" t="s">
        <v>1077</v>
      </c>
      <c r="D5524" s="68" t="s">
        <v>1078</v>
      </c>
      <c r="E5524" s="44"/>
      <c r="F5524" s="44"/>
      <c r="G5524" s="44"/>
      <c r="H5524" s="44"/>
      <c r="I5524" s="10">
        <f>ROUNDDOWN(H5539,0)</f>
        <v>304051</v>
      </c>
      <c r="J5524" s="15"/>
      <c r="K5524" s="39"/>
    </row>
    <row r="5525" spans="3:11" ht="27.6" x14ac:dyDescent="0.3">
      <c r="C5525" s="11" t="s">
        <v>9</v>
      </c>
      <c r="D5525" s="11" t="s">
        <v>10</v>
      </c>
      <c r="E5525" s="11" t="s">
        <v>11</v>
      </c>
      <c r="F5525" s="11" t="s">
        <v>12</v>
      </c>
      <c r="G5525" s="11" t="s">
        <v>13</v>
      </c>
      <c r="H5525" s="11" t="s">
        <v>14</v>
      </c>
    </row>
    <row r="5526" spans="3:11" x14ac:dyDescent="0.25">
      <c r="C5526" s="12" t="s">
        <v>15</v>
      </c>
      <c r="D5526" s="13" t="s">
        <v>16</v>
      </c>
      <c r="E5526" s="14"/>
      <c r="F5526" s="14"/>
      <c r="G5526" s="14"/>
      <c r="H5526" s="14"/>
    </row>
    <row r="5527" spans="3:11" x14ac:dyDescent="0.3">
      <c r="C5527" s="16">
        <v>1</v>
      </c>
      <c r="D5527" s="13" t="s">
        <v>18</v>
      </c>
      <c r="E5527" s="17" t="s">
        <v>19</v>
      </c>
      <c r="F5527" s="18">
        <v>0.19</v>
      </c>
      <c r="G5527" s="19">
        <f>VLOOKUP(D5527,upahbahan,3,FALSE)</f>
        <v>100000</v>
      </c>
      <c r="H5527" s="19">
        <f t="shared" ref="H5527:H5530" si="588">F5527*G5527</f>
        <v>19000</v>
      </c>
    </row>
    <row r="5528" spans="3:11" x14ac:dyDescent="0.3">
      <c r="C5528" s="16">
        <v>2</v>
      </c>
      <c r="D5528" s="13" t="s">
        <v>214</v>
      </c>
      <c r="E5528" s="17" t="s">
        <v>19</v>
      </c>
      <c r="F5528" s="18">
        <v>0.318</v>
      </c>
      <c r="G5528" s="19">
        <f>VLOOKUP(D5528,upahbahan,3,FALSE)</f>
        <v>145000</v>
      </c>
      <c r="H5528" s="19">
        <f t="shared" si="588"/>
        <v>46110</v>
      </c>
    </row>
    <row r="5529" spans="3:11" x14ac:dyDescent="0.3">
      <c r="C5529" s="16">
        <v>3</v>
      </c>
      <c r="D5529" s="13" t="s">
        <v>22</v>
      </c>
      <c r="E5529" s="17" t="s">
        <v>19</v>
      </c>
      <c r="F5529" s="18">
        <v>3.2000000000000001E-2</v>
      </c>
      <c r="G5529" s="19">
        <f>VLOOKUP(D5529,upahbahan,3,FALSE)</f>
        <v>175000</v>
      </c>
      <c r="H5529" s="19">
        <f t="shared" si="588"/>
        <v>5600</v>
      </c>
    </row>
    <row r="5530" spans="3:11" x14ac:dyDescent="0.3">
      <c r="C5530" s="16">
        <v>4</v>
      </c>
      <c r="D5530" s="13" t="s">
        <v>23</v>
      </c>
      <c r="E5530" s="17" t="s">
        <v>19</v>
      </c>
      <c r="F5530" s="18">
        <v>1.0999999999999999E-2</v>
      </c>
      <c r="G5530" s="19">
        <f>VLOOKUP(D5530,upahbahan,3,FALSE)</f>
        <v>200000</v>
      </c>
      <c r="H5530" s="19">
        <f t="shared" si="588"/>
        <v>2200</v>
      </c>
    </row>
    <row r="5531" spans="3:11" x14ac:dyDescent="0.3">
      <c r="C5531" s="21" t="s">
        <v>24</v>
      </c>
      <c r="D5531" s="22"/>
      <c r="E5531" s="22"/>
      <c r="F5531" s="54"/>
      <c r="G5531" s="24"/>
      <c r="H5531" s="19">
        <f>SUM(H5527:H5530)</f>
        <v>72910</v>
      </c>
      <c r="I5531" s="25"/>
    </row>
    <row r="5532" spans="3:11" x14ac:dyDescent="0.25">
      <c r="C5532" s="12" t="s">
        <v>25</v>
      </c>
      <c r="D5532" s="13" t="s">
        <v>26</v>
      </c>
      <c r="E5532" s="14"/>
      <c r="F5532" s="55"/>
      <c r="G5532" s="14"/>
      <c r="H5532" s="14"/>
    </row>
    <row r="5533" spans="3:11" x14ac:dyDescent="0.25">
      <c r="C5533" s="12">
        <v>1</v>
      </c>
      <c r="D5533" s="13" t="s">
        <v>1079</v>
      </c>
      <c r="E5533" s="53" t="s">
        <v>617</v>
      </c>
      <c r="F5533" s="115">
        <v>1.1000000000000001</v>
      </c>
      <c r="G5533" s="19">
        <f>VLOOKUP(D5533,upahbahan,3,FALSE)</f>
        <v>185000</v>
      </c>
      <c r="H5533" s="19">
        <f>F5533*G5533</f>
        <v>203500.00000000003</v>
      </c>
    </row>
    <row r="5534" spans="3:11" x14ac:dyDescent="0.3">
      <c r="C5534" s="21" t="s">
        <v>29</v>
      </c>
      <c r="D5534" s="22"/>
      <c r="E5534" s="22"/>
      <c r="F5534" s="22"/>
      <c r="G5534" s="28"/>
      <c r="H5534" s="19">
        <f>SUM(H5533:H5533)</f>
        <v>203500.00000000003</v>
      </c>
    </row>
    <row r="5535" spans="3:11" x14ac:dyDescent="0.25">
      <c r="C5535" s="12" t="s">
        <v>30</v>
      </c>
      <c r="D5535" s="13" t="s">
        <v>31</v>
      </c>
      <c r="E5535" s="14"/>
      <c r="F5535" s="14"/>
      <c r="G5535" s="14"/>
      <c r="H5535" s="14"/>
    </row>
    <row r="5536" spans="3:11" x14ac:dyDescent="0.3">
      <c r="C5536" s="21" t="s">
        <v>32</v>
      </c>
      <c r="D5536" s="77"/>
      <c r="E5536" s="77"/>
      <c r="F5536" s="77"/>
      <c r="G5536" s="28"/>
      <c r="H5536" s="29">
        <f>SUM(H5535)</f>
        <v>0</v>
      </c>
    </row>
    <row r="5537" spans="3:11" x14ac:dyDescent="0.3">
      <c r="C5537" s="30" t="s">
        <v>33</v>
      </c>
      <c r="D5537" s="31" t="s">
        <v>34</v>
      </c>
      <c r="E5537" s="32"/>
      <c r="F5537" s="32"/>
      <c r="G5537" s="33"/>
      <c r="H5537" s="46">
        <f>H5536+H5534+H5531</f>
        <v>276410</v>
      </c>
      <c r="I5537" s="47"/>
    </row>
    <row r="5538" spans="3:11" x14ac:dyDescent="0.3">
      <c r="C5538" s="30" t="s">
        <v>35</v>
      </c>
      <c r="D5538" s="31" t="s">
        <v>36</v>
      </c>
      <c r="E5538" s="32"/>
      <c r="F5538" s="33"/>
      <c r="G5538" s="34">
        <f>$M$9</f>
        <v>0.1</v>
      </c>
      <c r="H5538" s="19">
        <f>H5537*G5538</f>
        <v>27641</v>
      </c>
      <c r="I5538" s="47"/>
    </row>
    <row r="5539" spans="3:11" x14ac:dyDescent="0.3">
      <c r="C5539" s="30" t="s">
        <v>37</v>
      </c>
      <c r="D5539" s="31" t="s">
        <v>38</v>
      </c>
      <c r="E5539" s="32"/>
      <c r="F5539" s="32"/>
      <c r="G5539" s="33"/>
      <c r="H5539" s="48">
        <f>SUM(H5537:H5538)</f>
        <v>304051</v>
      </c>
      <c r="I5539" s="47"/>
    </row>
    <row r="5542" spans="3:11" x14ac:dyDescent="0.3">
      <c r="C5542" s="40" t="s">
        <v>1080</v>
      </c>
      <c r="D5542" s="68" t="s">
        <v>1081</v>
      </c>
      <c r="E5542" s="44"/>
      <c r="F5542" s="44"/>
      <c r="G5542" s="44"/>
      <c r="H5542" s="44"/>
      <c r="I5542" s="10">
        <f>ROUNDDOWN(H5557,0)</f>
        <v>244788</v>
      </c>
      <c r="J5542" s="15"/>
      <c r="K5542" s="39"/>
    </row>
    <row r="5543" spans="3:11" ht="27.6" x14ac:dyDescent="0.3">
      <c r="C5543" s="11" t="s">
        <v>9</v>
      </c>
      <c r="D5543" s="11" t="s">
        <v>10</v>
      </c>
      <c r="E5543" s="11" t="s">
        <v>11</v>
      </c>
      <c r="F5543" s="11" t="s">
        <v>12</v>
      </c>
      <c r="G5543" s="11" t="s">
        <v>13</v>
      </c>
      <c r="H5543" s="11" t="s">
        <v>14</v>
      </c>
    </row>
    <row r="5544" spans="3:11" x14ac:dyDescent="0.25">
      <c r="C5544" s="12" t="s">
        <v>15</v>
      </c>
      <c r="D5544" s="13" t="s">
        <v>16</v>
      </c>
      <c r="E5544" s="14"/>
      <c r="F5544" s="14"/>
      <c r="G5544" s="14"/>
      <c r="H5544" s="14"/>
    </row>
    <row r="5545" spans="3:11" x14ac:dyDescent="0.3">
      <c r="C5545" s="16">
        <v>1</v>
      </c>
      <c r="D5545" s="13" t="s">
        <v>18</v>
      </c>
      <c r="E5545" s="17" t="s">
        <v>19</v>
      </c>
      <c r="F5545" s="18">
        <v>0.19</v>
      </c>
      <c r="G5545" s="19">
        <f>VLOOKUP(D5545,upahbahan,3,FALSE)</f>
        <v>100000</v>
      </c>
      <c r="H5545" s="19">
        <f t="shared" ref="H5545:H5548" si="589">F5545*G5545</f>
        <v>19000</v>
      </c>
    </row>
    <row r="5546" spans="3:11" x14ac:dyDescent="0.3">
      <c r="C5546" s="16">
        <v>2</v>
      </c>
      <c r="D5546" s="13" t="s">
        <v>214</v>
      </c>
      <c r="E5546" s="17" t="s">
        <v>19</v>
      </c>
      <c r="F5546" s="18">
        <v>0.318</v>
      </c>
      <c r="G5546" s="19">
        <f>VLOOKUP(D5546,upahbahan,3,FALSE)</f>
        <v>145000</v>
      </c>
      <c r="H5546" s="19">
        <f t="shared" si="589"/>
        <v>46110</v>
      </c>
    </row>
    <row r="5547" spans="3:11" x14ac:dyDescent="0.3">
      <c r="C5547" s="16">
        <v>3</v>
      </c>
      <c r="D5547" s="13" t="s">
        <v>22</v>
      </c>
      <c r="E5547" s="17" t="s">
        <v>19</v>
      </c>
      <c r="F5547" s="18">
        <v>3.2000000000000001E-2</v>
      </c>
      <c r="G5547" s="19">
        <f>VLOOKUP(D5547,upahbahan,3,FALSE)</f>
        <v>175000</v>
      </c>
      <c r="H5547" s="19">
        <f t="shared" si="589"/>
        <v>5600</v>
      </c>
    </row>
    <row r="5548" spans="3:11" x14ac:dyDescent="0.3">
      <c r="C5548" s="16">
        <v>4</v>
      </c>
      <c r="D5548" s="13" t="s">
        <v>23</v>
      </c>
      <c r="E5548" s="17" t="s">
        <v>19</v>
      </c>
      <c r="F5548" s="18">
        <v>1.0999999999999999E-2</v>
      </c>
      <c r="G5548" s="19">
        <f>VLOOKUP(D5548,upahbahan,3,FALSE)</f>
        <v>200000</v>
      </c>
      <c r="H5548" s="19">
        <f t="shared" si="589"/>
        <v>2200</v>
      </c>
    </row>
    <row r="5549" spans="3:11" x14ac:dyDescent="0.3">
      <c r="C5549" s="21" t="s">
        <v>24</v>
      </c>
      <c r="D5549" s="22"/>
      <c r="E5549" s="22"/>
      <c r="F5549" s="54"/>
      <c r="G5549" s="24"/>
      <c r="H5549" s="19">
        <f>SUM(H5545:H5548)</f>
        <v>72910</v>
      </c>
      <c r="I5549" s="25"/>
    </row>
    <row r="5550" spans="3:11" x14ac:dyDescent="0.25">
      <c r="C5550" s="12" t="s">
        <v>25</v>
      </c>
      <c r="D5550" s="13" t="s">
        <v>26</v>
      </c>
      <c r="E5550" s="14"/>
      <c r="F5550" s="55"/>
      <c r="G5550" s="14"/>
      <c r="H5550" s="14"/>
    </row>
    <row r="5551" spans="3:11" x14ac:dyDescent="0.25">
      <c r="C5551" s="12">
        <v>1</v>
      </c>
      <c r="D5551" s="13" t="s">
        <v>1082</v>
      </c>
      <c r="E5551" s="53" t="s">
        <v>617</v>
      </c>
      <c r="F5551" s="115">
        <v>1.05</v>
      </c>
      <c r="G5551" s="19">
        <f>VLOOKUP(D5551,upahbahan,3,FALSE)</f>
        <v>142500</v>
      </c>
      <c r="H5551" s="19">
        <f>F5551*G5551</f>
        <v>149625</v>
      </c>
    </row>
    <row r="5552" spans="3:11" x14ac:dyDescent="0.3">
      <c r="C5552" s="21" t="s">
        <v>29</v>
      </c>
      <c r="D5552" s="22"/>
      <c r="E5552" s="22"/>
      <c r="F5552" s="22"/>
      <c r="G5552" s="28"/>
      <c r="H5552" s="19">
        <f>SUM(H5551:H5551)</f>
        <v>149625</v>
      </c>
    </row>
    <row r="5553" spans="3:11" x14ac:dyDescent="0.25">
      <c r="C5553" s="12" t="s">
        <v>30</v>
      </c>
      <c r="D5553" s="13" t="s">
        <v>31</v>
      </c>
      <c r="E5553" s="14"/>
      <c r="F5553" s="14"/>
      <c r="G5553" s="14"/>
      <c r="H5553" s="14"/>
    </row>
    <row r="5554" spans="3:11" x14ac:dyDescent="0.3">
      <c r="C5554" s="21" t="s">
        <v>32</v>
      </c>
      <c r="D5554" s="77"/>
      <c r="E5554" s="77"/>
      <c r="F5554" s="77"/>
      <c r="G5554" s="28"/>
      <c r="H5554" s="29">
        <f>SUM(H5553)</f>
        <v>0</v>
      </c>
    </row>
    <row r="5555" spans="3:11" x14ac:dyDescent="0.3">
      <c r="C5555" s="30" t="s">
        <v>33</v>
      </c>
      <c r="D5555" s="31" t="s">
        <v>34</v>
      </c>
      <c r="E5555" s="32"/>
      <c r="F5555" s="32"/>
      <c r="G5555" s="33"/>
      <c r="H5555" s="46">
        <f>H5554+H5552+H5549</f>
        <v>222535</v>
      </c>
      <c r="I5555" s="47"/>
    </row>
    <row r="5556" spans="3:11" x14ac:dyDescent="0.3">
      <c r="C5556" s="30" t="s">
        <v>35</v>
      </c>
      <c r="D5556" s="31" t="s">
        <v>36</v>
      </c>
      <c r="E5556" s="32"/>
      <c r="F5556" s="33"/>
      <c r="G5556" s="34">
        <f>$M$9</f>
        <v>0.1</v>
      </c>
      <c r="H5556" s="19">
        <f>H5555*G5556</f>
        <v>22253.5</v>
      </c>
      <c r="I5556" s="47"/>
    </row>
    <row r="5557" spans="3:11" x14ac:dyDescent="0.3">
      <c r="C5557" s="30" t="s">
        <v>37</v>
      </c>
      <c r="D5557" s="31" t="s">
        <v>38</v>
      </c>
      <c r="E5557" s="32"/>
      <c r="F5557" s="32"/>
      <c r="G5557" s="33"/>
      <c r="H5557" s="48">
        <f>SUM(H5555:H5556)</f>
        <v>244788.5</v>
      </c>
      <c r="I5557" s="47"/>
    </row>
    <row r="5559" spans="3:11" x14ac:dyDescent="0.3">
      <c r="C5559" s="40" t="s">
        <v>1083</v>
      </c>
      <c r="D5559" s="68" t="s">
        <v>1084</v>
      </c>
      <c r="E5559" s="44"/>
      <c r="F5559" s="44"/>
      <c r="G5559" s="44"/>
      <c r="H5559" s="44"/>
      <c r="I5559" s="10">
        <f>ROUNDDOWN(H5574,0)</f>
        <v>409376</v>
      </c>
      <c r="J5559" s="15"/>
      <c r="K5559" s="39"/>
    </row>
    <row r="5560" spans="3:11" ht="27.6" x14ac:dyDescent="0.3">
      <c r="C5560" s="11" t="s">
        <v>9</v>
      </c>
      <c r="D5560" s="11" t="s">
        <v>10</v>
      </c>
      <c r="E5560" s="11" t="s">
        <v>11</v>
      </c>
      <c r="F5560" s="11" t="s">
        <v>12</v>
      </c>
      <c r="G5560" s="11" t="s">
        <v>13</v>
      </c>
      <c r="H5560" s="11" t="s">
        <v>14</v>
      </c>
    </row>
    <row r="5561" spans="3:11" x14ac:dyDescent="0.25">
      <c r="C5561" s="12" t="s">
        <v>15</v>
      </c>
      <c r="D5561" s="13" t="s">
        <v>16</v>
      </c>
      <c r="E5561" s="14"/>
      <c r="F5561" s="14"/>
      <c r="G5561" s="14"/>
      <c r="H5561" s="14"/>
    </row>
    <row r="5562" spans="3:11" x14ac:dyDescent="0.3">
      <c r="C5562" s="16">
        <v>1</v>
      </c>
      <c r="D5562" s="13" t="s">
        <v>18</v>
      </c>
      <c r="E5562" s="17" t="s">
        <v>19</v>
      </c>
      <c r="F5562" s="18">
        <v>0.19</v>
      </c>
      <c r="G5562" s="19">
        <f>VLOOKUP(D5562,upahbahan,3,FALSE)</f>
        <v>100000</v>
      </c>
      <c r="H5562" s="19">
        <f t="shared" ref="H5562:H5565" si="590">F5562*G5562</f>
        <v>19000</v>
      </c>
    </row>
    <row r="5563" spans="3:11" x14ac:dyDescent="0.3">
      <c r="C5563" s="16">
        <v>2</v>
      </c>
      <c r="D5563" s="13" t="s">
        <v>214</v>
      </c>
      <c r="E5563" s="17" t="s">
        <v>19</v>
      </c>
      <c r="F5563" s="18">
        <v>0.318</v>
      </c>
      <c r="G5563" s="19">
        <f>VLOOKUP(D5563,upahbahan,3,FALSE)</f>
        <v>145000</v>
      </c>
      <c r="H5563" s="19">
        <f t="shared" si="590"/>
        <v>46110</v>
      </c>
    </row>
    <row r="5564" spans="3:11" x14ac:dyDescent="0.3">
      <c r="C5564" s="16">
        <v>3</v>
      </c>
      <c r="D5564" s="13" t="s">
        <v>22</v>
      </c>
      <c r="E5564" s="17" t="s">
        <v>19</v>
      </c>
      <c r="F5564" s="18">
        <v>3.2000000000000001E-2</v>
      </c>
      <c r="G5564" s="19">
        <f>VLOOKUP(D5564,upahbahan,3,FALSE)</f>
        <v>175000</v>
      </c>
      <c r="H5564" s="19">
        <f t="shared" si="590"/>
        <v>5600</v>
      </c>
    </row>
    <row r="5565" spans="3:11" x14ac:dyDescent="0.3">
      <c r="C5565" s="16">
        <v>4</v>
      </c>
      <c r="D5565" s="13" t="s">
        <v>23</v>
      </c>
      <c r="E5565" s="17" t="s">
        <v>19</v>
      </c>
      <c r="F5565" s="18">
        <v>1.0999999999999999E-2</v>
      </c>
      <c r="G5565" s="19">
        <f>VLOOKUP(D5565,upahbahan,3,FALSE)</f>
        <v>200000</v>
      </c>
      <c r="H5565" s="19">
        <f t="shared" si="590"/>
        <v>2200</v>
      </c>
    </row>
    <row r="5566" spans="3:11" x14ac:dyDescent="0.3">
      <c r="C5566" s="21" t="s">
        <v>24</v>
      </c>
      <c r="D5566" s="22"/>
      <c r="E5566" s="22"/>
      <c r="F5566" s="54"/>
      <c r="G5566" s="24"/>
      <c r="H5566" s="19">
        <f>SUM(H5562:H5565)</f>
        <v>72910</v>
      </c>
      <c r="I5566" s="25"/>
    </row>
    <row r="5567" spans="3:11" x14ac:dyDescent="0.25">
      <c r="C5567" s="12" t="s">
        <v>25</v>
      </c>
      <c r="D5567" s="13" t="s">
        <v>26</v>
      </c>
      <c r="E5567" s="14"/>
      <c r="F5567" s="55"/>
      <c r="G5567" s="14"/>
      <c r="H5567" s="14"/>
    </row>
    <row r="5568" spans="3:11" x14ac:dyDescent="0.25">
      <c r="C5568" s="12">
        <v>1</v>
      </c>
      <c r="D5568" s="13" t="s">
        <v>1085</v>
      </c>
      <c r="E5568" s="53" t="s">
        <v>617</v>
      </c>
      <c r="F5568" s="115">
        <v>1.05</v>
      </c>
      <c r="G5568" s="19">
        <f>VLOOKUP(D5568,upahbahan,3,FALSE)</f>
        <v>285000</v>
      </c>
      <c r="H5568" s="19">
        <f>F5568*G5568</f>
        <v>299250</v>
      </c>
    </row>
    <row r="5569" spans="3:11" x14ac:dyDescent="0.3">
      <c r="C5569" s="21" t="s">
        <v>29</v>
      </c>
      <c r="D5569" s="22"/>
      <c r="E5569" s="22"/>
      <c r="F5569" s="22"/>
      <c r="G5569" s="28"/>
      <c r="H5569" s="19">
        <f>SUM(H5568:H5568)</f>
        <v>299250</v>
      </c>
    </row>
    <row r="5570" spans="3:11" x14ac:dyDescent="0.25">
      <c r="C5570" s="12" t="s">
        <v>30</v>
      </c>
      <c r="D5570" s="13" t="s">
        <v>31</v>
      </c>
      <c r="E5570" s="14"/>
      <c r="F5570" s="14"/>
      <c r="G5570" s="14"/>
      <c r="H5570" s="14"/>
    </row>
    <row r="5571" spans="3:11" x14ac:dyDescent="0.3">
      <c r="C5571" s="21" t="s">
        <v>32</v>
      </c>
      <c r="D5571" s="77"/>
      <c r="E5571" s="77"/>
      <c r="F5571" s="77"/>
      <c r="G5571" s="28"/>
      <c r="H5571" s="29">
        <f>SUM(H5570)</f>
        <v>0</v>
      </c>
    </row>
    <row r="5572" spans="3:11" x14ac:dyDescent="0.3">
      <c r="C5572" s="30" t="s">
        <v>33</v>
      </c>
      <c r="D5572" s="31" t="s">
        <v>34</v>
      </c>
      <c r="E5572" s="32"/>
      <c r="F5572" s="32"/>
      <c r="G5572" s="33"/>
      <c r="H5572" s="46">
        <f>H5571+H5569+H5566</f>
        <v>372160</v>
      </c>
      <c r="I5572" s="47"/>
    </row>
    <row r="5573" spans="3:11" x14ac:dyDescent="0.3">
      <c r="C5573" s="30" t="s">
        <v>35</v>
      </c>
      <c r="D5573" s="31" t="s">
        <v>36</v>
      </c>
      <c r="E5573" s="32"/>
      <c r="F5573" s="33"/>
      <c r="G5573" s="34">
        <f>$M$9</f>
        <v>0.1</v>
      </c>
      <c r="H5573" s="19">
        <f>H5572*G5573</f>
        <v>37216</v>
      </c>
      <c r="I5573" s="47"/>
    </row>
    <row r="5574" spans="3:11" x14ac:dyDescent="0.3">
      <c r="C5574" s="30" t="s">
        <v>37</v>
      </c>
      <c r="D5574" s="31" t="s">
        <v>38</v>
      </c>
      <c r="E5574" s="32"/>
      <c r="F5574" s="32"/>
      <c r="G5574" s="33"/>
      <c r="H5574" s="48">
        <f>SUM(H5572:H5573)</f>
        <v>409376</v>
      </c>
      <c r="I5574" s="47"/>
    </row>
    <row r="5576" spans="3:11" x14ac:dyDescent="0.3">
      <c r="C5576" s="40" t="s">
        <v>1086</v>
      </c>
      <c r="D5576" s="68" t="s">
        <v>1087</v>
      </c>
      <c r="E5576" s="44"/>
      <c r="F5576" s="44"/>
      <c r="G5576" s="44"/>
      <c r="H5576" s="44"/>
      <c r="I5576" s="10">
        <f>ROUNDDOWN(H5591,0)</f>
        <v>230351</v>
      </c>
      <c r="J5576" s="15"/>
      <c r="K5576" s="39"/>
    </row>
    <row r="5577" spans="3:11" ht="27.6" x14ac:dyDescent="0.3">
      <c r="C5577" s="11" t="s">
        <v>9</v>
      </c>
      <c r="D5577" s="11" t="s">
        <v>10</v>
      </c>
      <c r="E5577" s="11" t="s">
        <v>11</v>
      </c>
      <c r="F5577" s="11" t="s">
        <v>12</v>
      </c>
      <c r="G5577" s="11" t="s">
        <v>13</v>
      </c>
      <c r="H5577" s="11" t="s">
        <v>14</v>
      </c>
    </row>
    <row r="5578" spans="3:11" x14ac:dyDescent="0.25">
      <c r="C5578" s="12" t="s">
        <v>15</v>
      </c>
      <c r="D5578" s="13" t="s">
        <v>16</v>
      </c>
      <c r="E5578" s="14"/>
      <c r="F5578" s="14"/>
      <c r="G5578" s="14"/>
      <c r="H5578" s="14"/>
    </row>
    <row r="5579" spans="3:11" x14ac:dyDescent="0.3">
      <c r="C5579" s="16">
        <v>1</v>
      </c>
      <c r="D5579" s="13" t="s">
        <v>18</v>
      </c>
      <c r="E5579" s="17" t="s">
        <v>19</v>
      </c>
      <c r="F5579" s="18">
        <v>0.19</v>
      </c>
      <c r="G5579" s="19">
        <f>VLOOKUP(D5579,upahbahan,3,FALSE)</f>
        <v>100000</v>
      </c>
      <c r="H5579" s="19">
        <f t="shared" ref="H5579:H5582" si="591">F5579*G5579</f>
        <v>19000</v>
      </c>
    </row>
    <row r="5580" spans="3:11" x14ac:dyDescent="0.3">
      <c r="C5580" s="16">
        <v>2</v>
      </c>
      <c r="D5580" s="13" t="s">
        <v>214</v>
      </c>
      <c r="E5580" s="17" t="s">
        <v>19</v>
      </c>
      <c r="F5580" s="18">
        <v>0.318</v>
      </c>
      <c r="G5580" s="19">
        <f>VLOOKUP(D5580,upahbahan,3,FALSE)</f>
        <v>145000</v>
      </c>
      <c r="H5580" s="19">
        <f t="shared" si="591"/>
        <v>46110</v>
      </c>
    </row>
    <row r="5581" spans="3:11" x14ac:dyDescent="0.3">
      <c r="C5581" s="16">
        <v>3</v>
      </c>
      <c r="D5581" s="13" t="s">
        <v>22</v>
      </c>
      <c r="E5581" s="17" t="s">
        <v>19</v>
      </c>
      <c r="F5581" s="18">
        <v>3.2000000000000001E-2</v>
      </c>
      <c r="G5581" s="19">
        <f>VLOOKUP(D5581,upahbahan,3,FALSE)</f>
        <v>175000</v>
      </c>
      <c r="H5581" s="19">
        <f t="shared" si="591"/>
        <v>5600</v>
      </c>
    </row>
    <row r="5582" spans="3:11" x14ac:dyDescent="0.3">
      <c r="C5582" s="16">
        <v>4</v>
      </c>
      <c r="D5582" s="13" t="s">
        <v>23</v>
      </c>
      <c r="E5582" s="17" t="s">
        <v>19</v>
      </c>
      <c r="F5582" s="18">
        <v>1.0999999999999999E-2</v>
      </c>
      <c r="G5582" s="19">
        <f>VLOOKUP(D5582,upahbahan,3,FALSE)</f>
        <v>200000</v>
      </c>
      <c r="H5582" s="19">
        <f t="shared" si="591"/>
        <v>2200</v>
      </c>
    </row>
    <row r="5583" spans="3:11" x14ac:dyDescent="0.3">
      <c r="C5583" s="21" t="s">
        <v>24</v>
      </c>
      <c r="D5583" s="22"/>
      <c r="E5583" s="22"/>
      <c r="F5583" s="54"/>
      <c r="G5583" s="24"/>
      <c r="H5583" s="19">
        <f>SUM(H5579:H5582)</f>
        <v>72910</v>
      </c>
      <c r="I5583" s="25"/>
    </row>
    <row r="5584" spans="3:11" x14ac:dyDescent="0.25">
      <c r="C5584" s="12" t="s">
        <v>25</v>
      </c>
      <c r="D5584" s="13" t="s">
        <v>26</v>
      </c>
      <c r="E5584" s="14"/>
      <c r="F5584" s="55"/>
      <c r="G5584" s="14"/>
      <c r="H5584" s="14"/>
    </row>
    <row r="5585" spans="3:11" x14ac:dyDescent="0.25">
      <c r="C5585" s="12">
        <v>1</v>
      </c>
      <c r="D5585" s="13" t="s">
        <v>1014</v>
      </c>
      <c r="E5585" s="53" t="s">
        <v>617</v>
      </c>
      <c r="F5585" s="115">
        <v>1.05</v>
      </c>
      <c r="G5585" s="19">
        <f>VLOOKUP(D5585,upahbahan,3,FALSE)</f>
        <v>130000</v>
      </c>
      <c r="H5585" s="19">
        <f>F5585*G5585</f>
        <v>136500</v>
      </c>
    </row>
    <row r="5586" spans="3:11" x14ac:dyDescent="0.3">
      <c r="C5586" s="21" t="s">
        <v>29</v>
      </c>
      <c r="D5586" s="22"/>
      <c r="E5586" s="22"/>
      <c r="F5586" s="22"/>
      <c r="G5586" s="28"/>
      <c r="H5586" s="19">
        <f>SUM(H5585:H5585)</f>
        <v>136500</v>
      </c>
    </row>
    <row r="5587" spans="3:11" x14ac:dyDescent="0.25">
      <c r="C5587" s="12" t="s">
        <v>30</v>
      </c>
      <c r="D5587" s="13" t="s">
        <v>31</v>
      </c>
      <c r="E5587" s="14"/>
      <c r="F5587" s="14"/>
      <c r="G5587" s="14"/>
      <c r="H5587" s="14"/>
    </row>
    <row r="5588" spans="3:11" x14ac:dyDescent="0.3">
      <c r="C5588" s="21" t="s">
        <v>32</v>
      </c>
      <c r="D5588" s="77"/>
      <c r="E5588" s="77"/>
      <c r="F5588" s="77"/>
      <c r="G5588" s="28"/>
      <c r="H5588" s="29">
        <f>SUM(H5587)</f>
        <v>0</v>
      </c>
    </row>
    <row r="5589" spans="3:11" x14ac:dyDescent="0.3">
      <c r="C5589" s="30" t="s">
        <v>33</v>
      </c>
      <c r="D5589" s="31" t="s">
        <v>34</v>
      </c>
      <c r="E5589" s="32"/>
      <c r="F5589" s="32"/>
      <c r="G5589" s="33"/>
      <c r="H5589" s="46">
        <f>H5588+H5586+H5583</f>
        <v>209410</v>
      </c>
      <c r="I5589" s="47"/>
    </row>
    <row r="5590" spans="3:11" x14ac:dyDescent="0.3">
      <c r="C5590" s="30" t="s">
        <v>35</v>
      </c>
      <c r="D5590" s="31" t="s">
        <v>36</v>
      </c>
      <c r="E5590" s="32"/>
      <c r="F5590" s="33"/>
      <c r="G5590" s="34">
        <f>$M$9</f>
        <v>0.1</v>
      </c>
      <c r="H5590" s="19">
        <f>H5589*G5590</f>
        <v>20941</v>
      </c>
      <c r="I5590" s="47"/>
    </row>
    <row r="5591" spans="3:11" x14ac:dyDescent="0.3">
      <c r="C5591" s="30" t="s">
        <v>37</v>
      </c>
      <c r="D5591" s="31" t="s">
        <v>38</v>
      </c>
      <c r="E5591" s="32"/>
      <c r="F5591" s="32"/>
      <c r="G5591" s="33"/>
      <c r="H5591" s="48">
        <f>SUM(H5589:H5590)</f>
        <v>230351</v>
      </c>
      <c r="I5591" s="47"/>
    </row>
    <row r="5593" spans="3:11" x14ac:dyDescent="0.3">
      <c r="C5593" s="40" t="s">
        <v>1088</v>
      </c>
      <c r="D5593" s="68" t="s">
        <v>1089</v>
      </c>
      <c r="E5593" s="44"/>
      <c r="F5593" s="44"/>
      <c r="G5593" s="44"/>
      <c r="H5593" s="44"/>
      <c r="I5593" s="10">
        <f>ROUNDDOWN(H5608,0)</f>
        <v>279823</v>
      </c>
      <c r="J5593" s="15"/>
      <c r="K5593" s="39"/>
    </row>
    <row r="5594" spans="3:11" ht="27.6" x14ac:dyDescent="0.3">
      <c r="C5594" s="11" t="s">
        <v>9</v>
      </c>
      <c r="D5594" s="11" t="s">
        <v>10</v>
      </c>
      <c r="E5594" s="11" t="s">
        <v>11</v>
      </c>
      <c r="F5594" s="11" t="s">
        <v>12</v>
      </c>
      <c r="G5594" s="11" t="s">
        <v>13</v>
      </c>
      <c r="H5594" s="11" t="s">
        <v>14</v>
      </c>
    </row>
    <row r="5595" spans="3:11" x14ac:dyDescent="0.25">
      <c r="C5595" s="12" t="s">
        <v>15</v>
      </c>
      <c r="D5595" s="13" t="s">
        <v>16</v>
      </c>
      <c r="E5595" s="14"/>
      <c r="F5595" s="14"/>
      <c r="G5595" s="14"/>
      <c r="H5595" s="14"/>
    </row>
    <row r="5596" spans="3:11" x14ac:dyDescent="0.3">
      <c r="C5596" s="16">
        <v>1</v>
      </c>
      <c r="D5596" s="13" t="s">
        <v>18</v>
      </c>
      <c r="E5596" s="17" t="s">
        <v>19</v>
      </c>
      <c r="F5596" s="18">
        <v>0.13300000000000001</v>
      </c>
      <c r="G5596" s="19">
        <f>VLOOKUP(D5596,upahbahan,3,FALSE)</f>
        <v>100000</v>
      </c>
      <c r="H5596" s="19">
        <f t="shared" ref="H5596:H5599" si="592">F5596*G5596</f>
        <v>13300</v>
      </c>
    </row>
    <row r="5597" spans="3:11" x14ac:dyDescent="0.3">
      <c r="C5597" s="16">
        <v>2</v>
      </c>
      <c r="D5597" s="13" t="s">
        <v>214</v>
      </c>
      <c r="E5597" s="17" t="s">
        <v>19</v>
      </c>
      <c r="F5597" s="18">
        <v>0.223</v>
      </c>
      <c r="G5597" s="19">
        <f>VLOOKUP(D5597,upahbahan,3,FALSE)</f>
        <v>145000</v>
      </c>
      <c r="H5597" s="19">
        <f t="shared" si="592"/>
        <v>32335</v>
      </c>
    </row>
    <row r="5598" spans="3:11" x14ac:dyDescent="0.3">
      <c r="C5598" s="16">
        <v>3</v>
      </c>
      <c r="D5598" s="13" t="s">
        <v>22</v>
      </c>
      <c r="E5598" s="17" t="s">
        <v>19</v>
      </c>
      <c r="F5598" s="18">
        <v>2.1999999999999999E-2</v>
      </c>
      <c r="G5598" s="19">
        <f>VLOOKUP(D5598,upahbahan,3,FALSE)</f>
        <v>175000</v>
      </c>
      <c r="H5598" s="19">
        <f t="shared" si="592"/>
        <v>3850</v>
      </c>
    </row>
    <row r="5599" spans="3:11" x14ac:dyDescent="0.3">
      <c r="C5599" s="16">
        <v>4</v>
      </c>
      <c r="D5599" s="13" t="s">
        <v>23</v>
      </c>
      <c r="E5599" s="17" t="s">
        <v>19</v>
      </c>
      <c r="F5599" s="18">
        <v>7.0000000000000001E-3</v>
      </c>
      <c r="G5599" s="19">
        <f>VLOOKUP(D5599,upahbahan,3,FALSE)</f>
        <v>200000</v>
      </c>
      <c r="H5599" s="19">
        <f t="shared" si="592"/>
        <v>1400</v>
      </c>
    </row>
    <row r="5600" spans="3:11" x14ac:dyDescent="0.3">
      <c r="C5600" s="21" t="s">
        <v>24</v>
      </c>
      <c r="D5600" s="22"/>
      <c r="E5600" s="22"/>
      <c r="F5600" s="54"/>
      <c r="G5600" s="24"/>
      <c r="H5600" s="19">
        <f>SUM(H5596:H5599)</f>
        <v>50885</v>
      </c>
      <c r="I5600" s="25"/>
    </row>
    <row r="5601" spans="3:11" x14ac:dyDescent="0.25">
      <c r="C5601" s="12" t="s">
        <v>25</v>
      </c>
      <c r="D5601" s="13" t="s">
        <v>26</v>
      </c>
      <c r="E5601" s="14"/>
      <c r="F5601" s="55"/>
      <c r="G5601" s="14"/>
      <c r="H5601" s="14"/>
    </row>
    <row r="5602" spans="3:11" x14ac:dyDescent="0.25">
      <c r="C5602" s="12">
        <v>1</v>
      </c>
      <c r="D5602" s="13" t="s">
        <v>1090</v>
      </c>
      <c r="E5602" s="53" t="s">
        <v>617</v>
      </c>
      <c r="F5602" s="115">
        <v>1.1000000000000001</v>
      </c>
      <c r="G5602" s="19">
        <f>VLOOKUP(D5602,upahbahan,3,FALSE)</f>
        <v>185000</v>
      </c>
      <c r="H5602" s="19">
        <f>F5602*G5602</f>
        <v>203500.00000000003</v>
      </c>
    </row>
    <row r="5603" spans="3:11" x14ac:dyDescent="0.3">
      <c r="C5603" s="21" t="s">
        <v>29</v>
      </c>
      <c r="D5603" s="22"/>
      <c r="E5603" s="22"/>
      <c r="F5603" s="22"/>
      <c r="G5603" s="28"/>
      <c r="H5603" s="19">
        <f>SUM(H5602:H5602)</f>
        <v>203500.00000000003</v>
      </c>
    </row>
    <row r="5604" spans="3:11" x14ac:dyDescent="0.25">
      <c r="C5604" s="12" t="s">
        <v>30</v>
      </c>
      <c r="D5604" s="13" t="s">
        <v>31</v>
      </c>
      <c r="E5604" s="14"/>
      <c r="F5604" s="14"/>
      <c r="G5604" s="14"/>
      <c r="H5604" s="14"/>
    </row>
    <row r="5605" spans="3:11" x14ac:dyDescent="0.3">
      <c r="C5605" s="21" t="s">
        <v>32</v>
      </c>
      <c r="D5605" s="77"/>
      <c r="E5605" s="77"/>
      <c r="F5605" s="77"/>
      <c r="G5605" s="28"/>
      <c r="H5605" s="29">
        <f>SUM(H5604)</f>
        <v>0</v>
      </c>
    </row>
    <row r="5606" spans="3:11" x14ac:dyDescent="0.3">
      <c r="C5606" s="30" t="s">
        <v>33</v>
      </c>
      <c r="D5606" s="31" t="s">
        <v>34</v>
      </c>
      <c r="E5606" s="32"/>
      <c r="F5606" s="32"/>
      <c r="G5606" s="33"/>
      <c r="H5606" s="46">
        <f>H5605+H5603+H5600</f>
        <v>254385.00000000003</v>
      </c>
      <c r="I5606" s="47"/>
    </row>
    <row r="5607" spans="3:11" x14ac:dyDescent="0.3">
      <c r="C5607" s="30" t="s">
        <v>35</v>
      </c>
      <c r="D5607" s="31" t="s">
        <v>36</v>
      </c>
      <c r="E5607" s="32"/>
      <c r="F5607" s="33"/>
      <c r="G5607" s="34">
        <f>$M$9</f>
        <v>0.1</v>
      </c>
      <c r="H5607" s="19">
        <f>H5606*G5607</f>
        <v>25438.500000000004</v>
      </c>
      <c r="I5607" s="47"/>
    </row>
    <row r="5608" spans="3:11" x14ac:dyDescent="0.3">
      <c r="C5608" s="30" t="s">
        <v>37</v>
      </c>
      <c r="D5608" s="31" t="s">
        <v>38</v>
      </c>
      <c r="E5608" s="32"/>
      <c r="F5608" s="32"/>
      <c r="G5608" s="33"/>
      <c r="H5608" s="48">
        <f>SUM(H5606:H5607)</f>
        <v>279823.50000000006</v>
      </c>
      <c r="I5608" s="47"/>
    </row>
    <row r="5610" spans="3:11" x14ac:dyDescent="0.3">
      <c r="C5610" s="40" t="s">
        <v>1091</v>
      </c>
      <c r="D5610" s="68" t="s">
        <v>1092</v>
      </c>
      <c r="E5610" s="44"/>
      <c r="F5610" s="44"/>
      <c r="G5610" s="44"/>
      <c r="H5610" s="44"/>
      <c r="I5610" s="10">
        <f>ROUNDDOWN(H5625,0)</f>
        <v>910954</v>
      </c>
      <c r="J5610" s="15"/>
      <c r="K5610" s="39"/>
    </row>
    <row r="5611" spans="3:11" ht="27.6" x14ac:dyDescent="0.3">
      <c r="C5611" s="11" t="s">
        <v>9</v>
      </c>
      <c r="D5611" s="11" t="s">
        <v>10</v>
      </c>
      <c r="E5611" s="11" t="s">
        <v>11</v>
      </c>
      <c r="F5611" s="11" t="s">
        <v>12</v>
      </c>
      <c r="G5611" s="11" t="s">
        <v>13</v>
      </c>
      <c r="H5611" s="11" t="s">
        <v>14</v>
      </c>
    </row>
    <row r="5612" spans="3:11" x14ac:dyDescent="0.25">
      <c r="C5612" s="12" t="s">
        <v>15</v>
      </c>
      <c r="D5612" s="13" t="s">
        <v>16</v>
      </c>
      <c r="E5612" s="14"/>
      <c r="F5612" s="14"/>
      <c r="G5612" s="14"/>
      <c r="H5612" s="14"/>
    </row>
    <row r="5613" spans="3:11" x14ac:dyDescent="0.3">
      <c r="C5613" s="16">
        <v>1</v>
      </c>
      <c r="D5613" s="13" t="s">
        <v>18</v>
      </c>
      <c r="E5613" s="17" t="s">
        <v>19</v>
      </c>
      <c r="F5613" s="18">
        <v>0.18099999999999999</v>
      </c>
      <c r="G5613" s="19">
        <f>VLOOKUP(D5613,upahbahan,3,FALSE)</f>
        <v>100000</v>
      </c>
      <c r="H5613" s="19">
        <f t="shared" ref="H5613:H5616" si="593">F5613*G5613</f>
        <v>18100</v>
      </c>
    </row>
    <row r="5614" spans="3:11" x14ac:dyDescent="0.3">
      <c r="C5614" s="16">
        <v>2</v>
      </c>
      <c r="D5614" s="13" t="s">
        <v>214</v>
      </c>
      <c r="E5614" s="17" t="s">
        <v>19</v>
      </c>
      <c r="F5614" s="18">
        <v>0.30199999999999999</v>
      </c>
      <c r="G5614" s="19">
        <f>VLOOKUP(D5614,upahbahan,3,FALSE)</f>
        <v>145000</v>
      </c>
      <c r="H5614" s="19">
        <f t="shared" si="593"/>
        <v>43790</v>
      </c>
    </row>
    <row r="5615" spans="3:11" x14ac:dyDescent="0.3">
      <c r="C5615" s="16">
        <v>3</v>
      </c>
      <c r="D5615" s="13" t="s">
        <v>22</v>
      </c>
      <c r="E5615" s="17" t="s">
        <v>19</v>
      </c>
      <c r="F5615" s="18">
        <v>0.03</v>
      </c>
      <c r="G5615" s="19">
        <f>VLOOKUP(D5615,upahbahan,3,FALSE)</f>
        <v>175000</v>
      </c>
      <c r="H5615" s="19">
        <f t="shared" si="593"/>
        <v>5250</v>
      </c>
    </row>
    <row r="5616" spans="3:11" x14ac:dyDescent="0.3">
      <c r="C5616" s="16">
        <v>4</v>
      </c>
      <c r="D5616" s="13" t="s">
        <v>23</v>
      </c>
      <c r="E5616" s="17" t="s">
        <v>19</v>
      </c>
      <c r="F5616" s="18">
        <v>0.01</v>
      </c>
      <c r="G5616" s="19">
        <f>VLOOKUP(D5616,upahbahan,3,FALSE)</f>
        <v>200000</v>
      </c>
      <c r="H5616" s="19">
        <f t="shared" si="593"/>
        <v>2000</v>
      </c>
    </row>
    <row r="5617" spans="3:11" x14ac:dyDescent="0.3">
      <c r="C5617" s="21" t="s">
        <v>24</v>
      </c>
      <c r="D5617" s="22"/>
      <c r="E5617" s="22"/>
      <c r="F5617" s="54"/>
      <c r="G5617" s="24"/>
      <c r="H5617" s="19">
        <f>SUM(H5613:H5616)</f>
        <v>69140</v>
      </c>
      <c r="I5617" s="25"/>
    </row>
    <row r="5618" spans="3:11" x14ac:dyDescent="0.25">
      <c r="C5618" s="12" t="s">
        <v>25</v>
      </c>
      <c r="D5618" s="13" t="s">
        <v>26</v>
      </c>
      <c r="E5618" s="14"/>
      <c r="F5618" s="55"/>
      <c r="G5618" s="14"/>
      <c r="H5618" s="14"/>
    </row>
    <row r="5619" spans="3:11" x14ac:dyDescent="0.25">
      <c r="C5619" s="12">
        <v>1</v>
      </c>
      <c r="D5619" s="13" t="s">
        <v>1093</v>
      </c>
      <c r="E5619" s="53" t="s">
        <v>617</v>
      </c>
      <c r="F5619" s="115">
        <v>1.1000000000000001</v>
      </c>
      <c r="G5619" s="19">
        <f>VLOOKUP(D5619,upahbahan,3,FALSE)</f>
        <v>690000</v>
      </c>
      <c r="H5619" s="19">
        <f>F5619*G5619</f>
        <v>759000.00000000012</v>
      </c>
    </row>
    <row r="5620" spans="3:11" x14ac:dyDescent="0.3">
      <c r="C5620" s="21" t="s">
        <v>29</v>
      </c>
      <c r="D5620" s="22"/>
      <c r="E5620" s="22"/>
      <c r="F5620" s="22"/>
      <c r="G5620" s="28"/>
      <c r="H5620" s="19">
        <f>SUM(H5619:H5619)</f>
        <v>759000.00000000012</v>
      </c>
    </row>
    <row r="5621" spans="3:11" x14ac:dyDescent="0.25">
      <c r="C5621" s="12" t="s">
        <v>30</v>
      </c>
      <c r="D5621" s="13" t="s">
        <v>31</v>
      </c>
      <c r="E5621" s="14"/>
      <c r="F5621" s="14"/>
      <c r="G5621" s="14"/>
      <c r="H5621" s="14"/>
    </row>
    <row r="5622" spans="3:11" x14ac:dyDescent="0.3">
      <c r="C5622" s="21" t="s">
        <v>32</v>
      </c>
      <c r="D5622" s="77"/>
      <c r="E5622" s="77"/>
      <c r="F5622" s="77"/>
      <c r="G5622" s="28"/>
      <c r="H5622" s="29">
        <f>SUM(H5621)</f>
        <v>0</v>
      </c>
    </row>
    <row r="5623" spans="3:11" x14ac:dyDescent="0.3">
      <c r="C5623" s="30" t="s">
        <v>33</v>
      </c>
      <c r="D5623" s="31" t="s">
        <v>34</v>
      </c>
      <c r="E5623" s="32"/>
      <c r="F5623" s="32"/>
      <c r="G5623" s="33"/>
      <c r="H5623" s="46">
        <f>H5622+H5620+H5617</f>
        <v>828140.00000000012</v>
      </c>
      <c r="I5623" s="47"/>
    </row>
    <row r="5624" spans="3:11" x14ac:dyDescent="0.3">
      <c r="C5624" s="30" t="s">
        <v>35</v>
      </c>
      <c r="D5624" s="31" t="s">
        <v>36</v>
      </c>
      <c r="E5624" s="32"/>
      <c r="F5624" s="33"/>
      <c r="G5624" s="34">
        <f>$M$9</f>
        <v>0.1</v>
      </c>
      <c r="H5624" s="19">
        <f>H5623*G5624</f>
        <v>82814.000000000015</v>
      </c>
      <c r="I5624" s="47"/>
    </row>
    <row r="5625" spans="3:11" x14ac:dyDescent="0.3">
      <c r="C5625" s="30" t="s">
        <v>37</v>
      </c>
      <c r="D5625" s="31" t="s">
        <v>38</v>
      </c>
      <c r="E5625" s="32"/>
      <c r="F5625" s="32"/>
      <c r="G5625" s="33"/>
      <c r="H5625" s="48">
        <f>SUM(H5623:H5624)</f>
        <v>910954.00000000012</v>
      </c>
      <c r="I5625" s="47"/>
    </row>
    <row r="5627" spans="3:11" x14ac:dyDescent="0.3">
      <c r="C5627" s="40" t="s">
        <v>1094</v>
      </c>
      <c r="D5627" s="68" t="s">
        <v>1095</v>
      </c>
      <c r="E5627" s="44"/>
      <c r="F5627" s="44"/>
      <c r="G5627" s="44"/>
      <c r="H5627" s="44"/>
      <c r="I5627" s="10">
        <f>ROUNDDOWN(H5642,0)</f>
        <v>1272073</v>
      </c>
      <c r="J5627" s="15"/>
      <c r="K5627" s="39"/>
    </row>
    <row r="5628" spans="3:11" ht="27.6" x14ac:dyDescent="0.3">
      <c r="C5628" s="11" t="s">
        <v>9</v>
      </c>
      <c r="D5628" s="11" t="s">
        <v>10</v>
      </c>
      <c r="E5628" s="11" t="s">
        <v>11</v>
      </c>
      <c r="F5628" s="11" t="s">
        <v>12</v>
      </c>
      <c r="G5628" s="11" t="s">
        <v>13</v>
      </c>
      <c r="H5628" s="11" t="s">
        <v>14</v>
      </c>
    </row>
    <row r="5629" spans="3:11" x14ac:dyDescent="0.25">
      <c r="C5629" s="12" t="s">
        <v>15</v>
      </c>
      <c r="D5629" s="13" t="s">
        <v>16</v>
      </c>
      <c r="E5629" s="14"/>
      <c r="F5629" s="14"/>
      <c r="G5629" s="14"/>
      <c r="H5629" s="14"/>
    </row>
    <row r="5630" spans="3:11" x14ac:dyDescent="0.3">
      <c r="C5630" s="16">
        <v>1</v>
      </c>
      <c r="D5630" s="13" t="s">
        <v>18</v>
      </c>
      <c r="E5630" s="17" t="s">
        <v>19</v>
      </c>
      <c r="F5630" s="18">
        <v>0.25700000000000001</v>
      </c>
      <c r="G5630" s="19">
        <f>VLOOKUP(D5630,upahbahan,3,FALSE)</f>
        <v>100000</v>
      </c>
      <c r="H5630" s="19">
        <f t="shared" ref="H5630:H5633" si="594">F5630*G5630</f>
        <v>25700</v>
      </c>
    </row>
    <row r="5631" spans="3:11" x14ac:dyDescent="0.3">
      <c r="C5631" s="16">
        <v>2</v>
      </c>
      <c r="D5631" s="13" t="s">
        <v>214</v>
      </c>
      <c r="E5631" s="17" t="s">
        <v>19</v>
      </c>
      <c r="F5631" s="18">
        <v>0.42899999999999999</v>
      </c>
      <c r="G5631" s="19">
        <f>VLOOKUP(D5631,upahbahan,3,FALSE)</f>
        <v>145000</v>
      </c>
      <c r="H5631" s="19">
        <f t="shared" si="594"/>
        <v>62205</v>
      </c>
    </row>
    <row r="5632" spans="3:11" x14ac:dyDescent="0.3">
      <c r="C5632" s="16">
        <v>3</v>
      </c>
      <c r="D5632" s="13" t="s">
        <v>22</v>
      </c>
      <c r="E5632" s="17" t="s">
        <v>19</v>
      </c>
      <c r="F5632" s="18">
        <v>4.2999999999999997E-2</v>
      </c>
      <c r="G5632" s="19">
        <f>VLOOKUP(D5632,upahbahan,3,FALSE)</f>
        <v>175000</v>
      </c>
      <c r="H5632" s="19">
        <f t="shared" si="594"/>
        <v>7524.9999999999991</v>
      </c>
    </row>
    <row r="5633" spans="3:11" x14ac:dyDescent="0.3">
      <c r="C5633" s="16">
        <v>4</v>
      </c>
      <c r="D5633" s="13" t="s">
        <v>23</v>
      </c>
      <c r="E5633" s="17" t="s">
        <v>19</v>
      </c>
      <c r="F5633" s="18">
        <v>1.4E-2</v>
      </c>
      <c r="G5633" s="19">
        <f>VLOOKUP(D5633,upahbahan,3,FALSE)</f>
        <v>200000</v>
      </c>
      <c r="H5633" s="19">
        <f t="shared" si="594"/>
        <v>2800</v>
      </c>
    </row>
    <row r="5634" spans="3:11" x14ac:dyDescent="0.3">
      <c r="C5634" s="21" t="s">
        <v>24</v>
      </c>
      <c r="D5634" s="22"/>
      <c r="E5634" s="22"/>
      <c r="F5634" s="54"/>
      <c r="G5634" s="24"/>
      <c r="H5634" s="19">
        <f>SUM(H5630:H5633)</f>
        <v>98230</v>
      </c>
      <c r="I5634" s="25"/>
    </row>
    <row r="5635" spans="3:11" x14ac:dyDescent="0.25">
      <c r="C5635" s="12" t="s">
        <v>25</v>
      </c>
      <c r="D5635" s="13" t="s">
        <v>26</v>
      </c>
      <c r="E5635" s="14"/>
      <c r="F5635" s="55"/>
      <c r="G5635" s="14"/>
      <c r="H5635" s="14"/>
    </row>
    <row r="5636" spans="3:11" x14ac:dyDescent="0.25">
      <c r="C5636" s="12">
        <v>1</v>
      </c>
      <c r="D5636" s="13" t="s">
        <v>1096</v>
      </c>
      <c r="E5636" s="53" t="s">
        <v>617</v>
      </c>
      <c r="F5636" s="115">
        <v>1.1000000000000001</v>
      </c>
      <c r="G5636" s="19">
        <f>VLOOKUP(D5636,upahbahan,3,FALSE)</f>
        <v>962000</v>
      </c>
      <c r="H5636" s="19">
        <f>F5636*G5636</f>
        <v>1058200</v>
      </c>
    </row>
    <row r="5637" spans="3:11" x14ac:dyDescent="0.3">
      <c r="C5637" s="21" t="s">
        <v>29</v>
      </c>
      <c r="D5637" s="22"/>
      <c r="E5637" s="22"/>
      <c r="F5637" s="22"/>
      <c r="G5637" s="28"/>
      <c r="H5637" s="19">
        <f>SUM(H5636:H5636)</f>
        <v>1058200</v>
      </c>
    </row>
    <row r="5638" spans="3:11" x14ac:dyDescent="0.25">
      <c r="C5638" s="12" t="s">
        <v>30</v>
      </c>
      <c r="D5638" s="13" t="s">
        <v>31</v>
      </c>
      <c r="E5638" s="14"/>
      <c r="F5638" s="14"/>
      <c r="G5638" s="14"/>
      <c r="H5638" s="14"/>
    </row>
    <row r="5639" spans="3:11" x14ac:dyDescent="0.3">
      <c r="C5639" s="21" t="s">
        <v>32</v>
      </c>
      <c r="D5639" s="77"/>
      <c r="E5639" s="77"/>
      <c r="F5639" s="77"/>
      <c r="G5639" s="28"/>
      <c r="H5639" s="29">
        <f>SUM(H5638)</f>
        <v>0</v>
      </c>
    </row>
    <row r="5640" spans="3:11" x14ac:dyDescent="0.3">
      <c r="C5640" s="30" t="s">
        <v>33</v>
      </c>
      <c r="D5640" s="31" t="s">
        <v>34</v>
      </c>
      <c r="E5640" s="32"/>
      <c r="F5640" s="32"/>
      <c r="G5640" s="33"/>
      <c r="H5640" s="46">
        <f>H5639+H5637+H5634</f>
        <v>1156430</v>
      </c>
      <c r="I5640" s="47"/>
    </row>
    <row r="5641" spans="3:11" x14ac:dyDescent="0.3">
      <c r="C5641" s="30" t="s">
        <v>35</v>
      </c>
      <c r="D5641" s="31" t="s">
        <v>36</v>
      </c>
      <c r="E5641" s="32"/>
      <c r="F5641" s="33"/>
      <c r="G5641" s="34">
        <f>$M$9</f>
        <v>0.1</v>
      </c>
      <c r="H5641" s="19">
        <f>H5640*G5641</f>
        <v>115643</v>
      </c>
      <c r="I5641" s="47"/>
    </row>
    <row r="5642" spans="3:11" x14ac:dyDescent="0.3">
      <c r="C5642" s="30" t="s">
        <v>37</v>
      </c>
      <c r="D5642" s="31" t="s">
        <v>38</v>
      </c>
      <c r="E5642" s="32"/>
      <c r="F5642" s="32"/>
      <c r="G5642" s="33"/>
      <c r="H5642" s="48">
        <f>SUM(H5640:H5641)</f>
        <v>1272073</v>
      </c>
      <c r="I5642" s="47"/>
    </row>
    <row r="5644" spans="3:11" x14ac:dyDescent="0.3">
      <c r="C5644" s="2" t="s">
        <v>1097</v>
      </c>
      <c r="D5644" s="2" t="s">
        <v>1098</v>
      </c>
    </row>
    <row r="5645" spans="3:11" x14ac:dyDescent="0.3">
      <c r="C5645" s="2" t="s">
        <v>1099</v>
      </c>
      <c r="D5645" s="2" t="s">
        <v>1100</v>
      </c>
    </row>
    <row r="5646" spans="3:11" x14ac:dyDescent="0.3">
      <c r="C5646" s="56" t="s">
        <v>1101</v>
      </c>
      <c r="D5646" s="69" t="s">
        <v>1102</v>
      </c>
      <c r="E5646" s="58"/>
      <c r="F5646" s="58"/>
      <c r="G5646" s="58"/>
      <c r="H5646" s="58"/>
      <c r="I5646" s="10">
        <f>ROUNDDOWN(H5670,0)</f>
        <v>354750</v>
      </c>
      <c r="J5646" s="15"/>
      <c r="K5646" s="39"/>
    </row>
    <row r="5647" spans="3:11" ht="27.6" x14ac:dyDescent="0.3">
      <c r="C5647" s="11" t="s">
        <v>9</v>
      </c>
      <c r="D5647" s="11" t="s">
        <v>10</v>
      </c>
      <c r="E5647" s="11" t="s">
        <v>11</v>
      </c>
      <c r="F5647" s="11" t="s">
        <v>12</v>
      </c>
      <c r="G5647" s="11" t="s">
        <v>13</v>
      </c>
      <c r="H5647" s="11" t="s">
        <v>14</v>
      </c>
    </row>
    <row r="5648" spans="3:11" x14ac:dyDescent="0.25">
      <c r="C5648" s="12" t="s">
        <v>15</v>
      </c>
      <c r="D5648" s="13" t="s">
        <v>16</v>
      </c>
      <c r="E5648" s="14"/>
      <c r="F5648" s="14"/>
      <c r="G5648" s="14"/>
      <c r="H5648" s="14"/>
    </row>
    <row r="5649" spans="3:9" x14ac:dyDescent="0.3">
      <c r="C5649" s="16">
        <v>1</v>
      </c>
      <c r="D5649" s="13" t="s">
        <v>18</v>
      </c>
      <c r="E5649" s="17" t="s">
        <v>19</v>
      </c>
      <c r="F5649" s="18">
        <v>0.19</v>
      </c>
      <c r="G5649" s="19">
        <f>VLOOKUP(D5649,upahbahan,3,FALSE)</f>
        <v>100000</v>
      </c>
      <c r="H5649" s="19">
        <f t="shared" ref="H5649:H5652" si="595">F5649*G5649</f>
        <v>19000</v>
      </c>
    </row>
    <row r="5650" spans="3:9" x14ac:dyDescent="0.3">
      <c r="C5650" s="16">
        <v>2</v>
      </c>
      <c r="D5650" s="13" t="s">
        <v>214</v>
      </c>
      <c r="E5650" s="17" t="s">
        <v>19</v>
      </c>
      <c r="F5650" s="18">
        <v>0.318</v>
      </c>
      <c r="G5650" s="19">
        <f>VLOOKUP(D5650,upahbahan,3,FALSE)</f>
        <v>145000</v>
      </c>
      <c r="H5650" s="19">
        <f t="shared" si="595"/>
        <v>46110</v>
      </c>
    </row>
    <row r="5651" spans="3:9" x14ac:dyDescent="0.3">
      <c r="C5651" s="16">
        <v>3</v>
      </c>
      <c r="D5651" s="13" t="s">
        <v>22</v>
      </c>
      <c r="E5651" s="17" t="s">
        <v>19</v>
      </c>
      <c r="F5651" s="18">
        <v>3.2000000000000001E-2</v>
      </c>
      <c r="G5651" s="19">
        <f>VLOOKUP(D5651,upahbahan,3,FALSE)</f>
        <v>175000</v>
      </c>
      <c r="H5651" s="19">
        <f t="shared" si="595"/>
        <v>5600</v>
      </c>
    </row>
    <row r="5652" spans="3:9" x14ac:dyDescent="0.3">
      <c r="C5652" s="16">
        <v>4</v>
      </c>
      <c r="D5652" s="13" t="s">
        <v>23</v>
      </c>
      <c r="E5652" s="17" t="s">
        <v>19</v>
      </c>
      <c r="F5652" s="18">
        <v>1.0999999999999999E-2</v>
      </c>
      <c r="G5652" s="19">
        <f>VLOOKUP(D5652,upahbahan,3,FALSE)</f>
        <v>200000</v>
      </c>
      <c r="H5652" s="19">
        <f t="shared" si="595"/>
        <v>2200</v>
      </c>
    </row>
    <row r="5653" spans="3:9" x14ac:dyDescent="0.3">
      <c r="C5653" s="21" t="s">
        <v>24</v>
      </c>
      <c r="D5653" s="22"/>
      <c r="E5653" s="22"/>
      <c r="F5653" s="54"/>
      <c r="G5653" s="24"/>
      <c r="H5653" s="19">
        <f>SUM(H5649:H5652)</f>
        <v>72910</v>
      </c>
      <c r="I5653" s="25"/>
    </row>
    <row r="5654" spans="3:9" x14ac:dyDescent="0.25">
      <c r="C5654" s="12" t="s">
        <v>25</v>
      </c>
      <c r="D5654" s="13" t="s">
        <v>26</v>
      </c>
      <c r="E5654" s="14"/>
      <c r="F5654" s="55"/>
      <c r="G5654" s="14"/>
      <c r="H5654" s="14"/>
    </row>
    <row r="5655" spans="3:9" x14ac:dyDescent="0.25">
      <c r="C5655" s="12">
        <v>1</v>
      </c>
      <c r="D5655" s="13" t="s">
        <v>249</v>
      </c>
      <c r="E5655" s="53" t="s">
        <v>974</v>
      </c>
      <c r="F5655" s="115">
        <v>8.8000000000000007</v>
      </c>
      <c r="G5655" s="19">
        <f t="shared" ref="G5655:G5664" si="596">VLOOKUP(D5655,upahbahan,3,FALSE)</f>
        <v>21300</v>
      </c>
      <c r="H5655" s="19">
        <f t="shared" ref="H5655:H5664" si="597">F5655*G5655</f>
        <v>187440.00000000003</v>
      </c>
    </row>
    <row r="5656" spans="3:9" x14ac:dyDescent="0.25">
      <c r="C5656" s="12">
        <v>2</v>
      </c>
      <c r="D5656" s="13" t="s">
        <v>975</v>
      </c>
      <c r="E5656" s="53" t="s">
        <v>974</v>
      </c>
      <c r="F5656" s="115">
        <v>8.8000000000000007</v>
      </c>
      <c r="G5656" s="19">
        <f t="shared" si="596"/>
        <v>4000</v>
      </c>
      <c r="H5656" s="19">
        <f t="shared" si="597"/>
        <v>35200</v>
      </c>
    </row>
    <row r="5657" spans="3:9" x14ac:dyDescent="0.25">
      <c r="C5657" s="12">
        <v>3</v>
      </c>
      <c r="D5657" s="13" t="s">
        <v>976</v>
      </c>
      <c r="E5657" s="53" t="s">
        <v>506</v>
      </c>
      <c r="F5657" s="115">
        <v>1</v>
      </c>
      <c r="G5657" s="19">
        <f t="shared" si="596"/>
        <v>4000</v>
      </c>
      <c r="H5657" s="19">
        <f t="shared" si="597"/>
        <v>4000</v>
      </c>
    </row>
    <row r="5658" spans="3:9" x14ac:dyDescent="0.25">
      <c r="C5658" s="12">
        <v>4</v>
      </c>
      <c r="D5658" s="13" t="s">
        <v>977</v>
      </c>
      <c r="E5658" s="53" t="s">
        <v>506</v>
      </c>
      <c r="F5658" s="115">
        <v>5</v>
      </c>
      <c r="G5658" s="19">
        <f t="shared" si="596"/>
        <v>700</v>
      </c>
      <c r="H5658" s="19">
        <f t="shared" si="597"/>
        <v>3500</v>
      </c>
    </row>
    <row r="5659" spans="3:9" x14ac:dyDescent="0.25">
      <c r="C5659" s="12">
        <v>5</v>
      </c>
      <c r="D5659" s="13" t="s">
        <v>1103</v>
      </c>
      <c r="E5659" s="53" t="s">
        <v>506</v>
      </c>
      <c r="F5659" s="115">
        <v>10</v>
      </c>
      <c r="G5659" s="19">
        <f t="shared" si="596"/>
        <v>900</v>
      </c>
      <c r="H5659" s="19">
        <f t="shared" si="597"/>
        <v>9000</v>
      </c>
    </row>
    <row r="5660" spans="3:9" x14ac:dyDescent="0.25">
      <c r="C5660" s="12">
        <v>6</v>
      </c>
      <c r="D5660" s="13" t="s">
        <v>979</v>
      </c>
      <c r="E5660" s="53" t="s">
        <v>506</v>
      </c>
      <c r="F5660" s="115">
        <v>15</v>
      </c>
      <c r="G5660" s="19">
        <f t="shared" si="596"/>
        <v>21.5</v>
      </c>
      <c r="H5660" s="19">
        <f t="shared" si="597"/>
        <v>322.5</v>
      </c>
    </row>
    <row r="5661" spans="3:9" x14ac:dyDescent="0.25">
      <c r="C5661" s="12">
        <v>7</v>
      </c>
      <c r="D5661" s="13" t="s">
        <v>1104</v>
      </c>
      <c r="E5661" s="53" t="s">
        <v>974</v>
      </c>
      <c r="F5661" s="115">
        <v>1</v>
      </c>
      <c r="G5661" s="19">
        <f t="shared" si="596"/>
        <v>5400</v>
      </c>
      <c r="H5661" s="19">
        <f t="shared" si="597"/>
        <v>5400</v>
      </c>
    </row>
    <row r="5662" spans="3:9" x14ac:dyDescent="0.25">
      <c r="C5662" s="12">
        <v>8</v>
      </c>
      <c r="D5662" s="13" t="s">
        <v>980</v>
      </c>
      <c r="E5662" s="53" t="s">
        <v>506</v>
      </c>
      <c r="F5662" s="115">
        <v>4</v>
      </c>
      <c r="G5662" s="19">
        <f t="shared" si="596"/>
        <v>550</v>
      </c>
      <c r="H5662" s="19">
        <f t="shared" si="597"/>
        <v>2200</v>
      </c>
    </row>
    <row r="5663" spans="3:9" x14ac:dyDescent="0.25">
      <c r="C5663" s="12">
        <v>9</v>
      </c>
      <c r="D5663" s="13" t="s">
        <v>981</v>
      </c>
      <c r="E5663" s="53" t="s">
        <v>1105</v>
      </c>
      <c r="F5663" s="115">
        <v>0.5</v>
      </c>
      <c r="G5663" s="19">
        <f t="shared" si="596"/>
        <v>416</v>
      </c>
      <c r="H5663" s="19">
        <f t="shared" si="597"/>
        <v>208</v>
      </c>
    </row>
    <row r="5664" spans="3:9" x14ac:dyDescent="0.25">
      <c r="C5664" s="12">
        <v>10</v>
      </c>
      <c r="D5664" s="13" t="s">
        <v>1106</v>
      </c>
      <c r="E5664" s="53" t="s">
        <v>506</v>
      </c>
      <c r="F5664" s="115">
        <v>4</v>
      </c>
      <c r="G5664" s="19">
        <f t="shared" si="596"/>
        <v>580</v>
      </c>
      <c r="H5664" s="19">
        <f t="shared" si="597"/>
        <v>2320</v>
      </c>
    </row>
    <row r="5665" spans="3:11" x14ac:dyDescent="0.3">
      <c r="C5665" s="21" t="s">
        <v>29</v>
      </c>
      <c r="D5665" s="22"/>
      <c r="E5665" s="22"/>
      <c r="F5665" s="22"/>
      <c r="G5665" s="28"/>
      <c r="H5665" s="19">
        <f>SUM(H5655:H5664)</f>
        <v>249590.50000000003</v>
      </c>
    </row>
    <row r="5666" spans="3:11" x14ac:dyDescent="0.25">
      <c r="C5666" s="12" t="s">
        <v>30</v>
      </c>
      <c r="D5666" s="13" t="s">
        <v>31</v>
      </c>
      <c r="E5666" s="14"/>
      <c r="F5666" s="14"/>
      <c r="G5666" s="14"/>
      <c r="H5666" s="14"/>
    </row>
    <row r="5667" spans="3:11" x14ac:dyDescent="0.3">
      <c r="C5667" s="21" t="s">
        <v>32</v>
      </c>
      <c r="D5667" s="77"/>
      <c r="E5667" s="77"/>
      <c r="F5667" s="77"/>
      <c r="G5667" s="28"/>
      <c r="H5667" s="29">
        <f>SUM(H5666)</f>
        <v>0</v>
      </c>
    </row>
    <row r="5668" spans="3:11" x14ac:dyDescent="0.3">
      <c r="C5668" s="30" t="s">
        <v>33</v>
      </c>
      <c r="D5668" s="31" t="s">
        <v>34</v>
      </c>
      <c r="E5668" s="32"/>
      <c r="F5668" s="32"/>
      <c r="G5668" s="33"/>
      <c r="H5668" s="46">
        <f>H5667+H5665+H5653</f>
        <v>322500.5</v>
      </c>
      <c r="I5668" s="47"/>
    </row>
    <row r="5669" spans="3:11" x14ac:dyDescent="0.3">
      <c r="C5669" s="30" t="s">
        <v>35</v>
      </c>
      <c r="D5669" s="31" t="s">
        <v>36</v>
      </c>
      <c r="E5669" s="32"/>
      <c r="F5669" s="33"/>
      <c r="G5669" s="34">
        <f>$M$9</f>
        <v>0.1</v>
      </c>
      <c r="H5669" s="19">
        <f>H5668*G5669</f>
        <v>32250.050000000003</v>
      </c>
      <c r="I5669" s="47"/>
    </row>
    <row r="5670" spans="3:11" x14ac:dyDescent="0.3">
      <c r="C5670" s="30" t="s">
        <v>37</v>
      </c>
      <c r="D5670" s="31" t="s">
        <v>38</v>
      </c>
      <c r="E5670" s="32"/>
      <c r="F5670" s="32"/>
      <c r="G5670" s="33"/>
      <c r="H5670" s="48">
        <f>SUM(H5668:H5669)</f>
        <v>354750.55</v>
      </c>
      <c r="I5670" s="47"/>
    </row>
    <row r="5672" spans="3:11" x14ac:dyDescent="0.3">
      <c r="C5672" s="40" t="s">
        <v>1107</v>
      </c>
      <c r="D5672" s="68" t="s">
        <v>1108</v>
      </c>
      <c r="E5672" s="44"/>
      <c r="F5672" s="44"/>
      <c r="G5672" s="44"/>
      <c r="H5672" s="44"/>
      <c r="I5672" s="10">
        <f>ROUNDDOWN(H5696,0)</f>
        <v>354750</v>
      </c>
      <c r="J5672" s="15"/>
      <c r="K5672" s="39"/>
    </row>
    <row r="5673" spans="3:11" ht="27.6" x14ac:dyDescent="0.3">
      <c r="C5673" s="11" t="s">
        <v>9</v>
      </c>
      <c r="D5673" s="11" t="s">
        <v>10</v>
      </c>
      <c r="E5673" s="11" t="s">
        <v>11</v>
      </c>
      <c r="F5673" s="11" t="s">
        <v>12</v>
      </c>
      <c r="G5673" s="11" t="s">
        <v>13</v>
      </c>
      <c r="H5673" s="11" t="s">
        <v>14</v>
      </c>
    </row>
    <row r="5674" spans="3:11" x14ac:dyDescent="0.25">
      <c r="C5674" s="12" t="s">
        <v>15</v>
      </c>
      <c r="D5674" s="13" t="s">
        <v>16</v>
      </c>
      <c r="E5674" s="14"/>
      <c r="F5674" s="14"/>
      <c r="G5674" s="14"/>
      <c r="H5674" s="14"/>
    </row>
    <row r="5675" spans="3:11" x14ac:dyDescent="0.3">
      <c r="C5675" s="16">
        <v>1</v>
      </c>
      <c r="D5675" s="13" t="s">
        <v>18</v>
      </c>
      <c r="E5675" s="17" t="s">
        <v>19</v>
      </c>
      <c r="F5675" s="18">
        <v>0.19</v>
      </c>
      <c r="G5675" s="19">
        <f>VLOOKUP(D5675,upahbahan,3,FALSE)</f>
        <v>100000</v>
      </c>
      <c r="H5675" s="19">
        <f t="shared" ref="H5675:H5678" si="598">F5675*G5675</f>
        <v>19000</v>
      </c>
    </row>
    <row r="5676" spans="3:11" x14ac:dyDescent="0.3">
      <c r="C5676" s="16">
        <v>2</v>
      </c>
      <c r="D5676" s="13" t="s">
        <v>214</v>
      </c>
      <c r="E5676" s="17" t="s">
        <v>19</v>
      </c>
      <c r="F5676" s="18">
        <v>0.318</v>
      </c>
      <c r="G5676" s="19">
        <f>VLOOKUP(D5676,upahbahan,3,FALSE)</f>
        <v>145000</v>
      </c>
      <c r="H5676" s="19">
        <f t="shared" si="598"/>
        <v>46110</v>
      </c>
    </row>
    <row r="5677" spans="3:11" x14ac:dyDescent="0.3">
      <c r="C5677" s="16">
        <v>3</v>
      </c>
      <c r="D5677" s="13" t="s">
        <v>22</v>
      </c>
      <c r="E5677" s="17" t="s">
        <v>19</v>
      </c>
      <c r="F5677" s="18">
        <v>3.2000000000000001E-2</v>
      </c>
      <c r="G5677" s="19">
        <f>VLOOKUP(D5677,upahbahan,3,FALSE)</f>
        <v>175000</v>
      </c>
      <c r="H5677" s="19">
        <f t="shared" si="598"/>
        <v>5600</v>
      </c>
    </row>
    <row r="5678" spans="3:11" x14ac:dyDescent="0.3">
      <c r="C5678" s="16">
        <v>4</v>
      </c>
      <c r="D5678" s="13" t="s">
        <v>23</v>
      </c>
      <c r="E5678" s="17" t="s">
        <v>19</v>
      </c>
      <c r="F5678" s="18">
        <v>1.0999999999999999E-2</v>
      </c>
      <c r="G5678" s="19">
        <f>VLOOKUP(D5678,upahbahan,3,FALSE)</f>
        <v>200000</v>
      </c>
      <c r="H5678" s="19">
        <f t="shared" si="598"/>
        <v>2200</v>
      </c>
    </row>
    <row r="5679" spans="3:11" x14ac:dyDescent="0.3">
      <c r="C5679" s="21" t="s">
        <v>24</v>
      </c>
      <c r="D5679" s="22"/>
      <c r="E5679" s="22"/>
      <c r="F5679" s="54"/>
      <c r="G5679" s="24"/>
      <c r="H5679" s="19">
        <f>SUM(H5675:H5678)</f>
        <v>72910</v>
      </c>
      <c r="I5679" s="25"/>
    </row>
    <row r="5680" spans="3:11" x14ac:dyDescent="0.25">
      <c r="C5680" s="12" t="s">
        <v>25</v>
      </c>
      <c r="D5680" s="13" t="s">
        <v>26</v>
      </c>
      <c r="E5680" s="14"/>
      <c r="F5680" s="55"/>
      <c r="G5680" s="14"/>
      <c r="H5680" s="14"/>
    </row>
    <row r="5681" spans="3:9" x14ac:dyDescent="0.25">
      <c r="C5681" s="12">
        <v>1</v>
      </c>
      <c r="D5681" s="13" t="s">
        <v>249</v>
      </c>
      <c r="E5681" s="53" t="s">
        <v>974</v>
      </c>
      <c r="F5681" s="115">
        <v>8.8000000000000007</v>
      </c>
      <c r="G5681" s="19">
        <f t="shared" ref="G5681:G5690" si="599">VLOOKUP(D5681,upahbahan,3,FALSE)</f>
        <v>21300</v>
      </c>
      <c r="H5681" s="19">
        <f t="shared" ref="H5681:H5690" si="600">F5681*G5681</f>
        <v>187440.00000000003</v>
      </c>
    </row>
    <row r="5682" spans="3:9" x14ac:dyDescent="0.25">
      <c r="C5682" s="12">
        <v>2</v>
      </c>
      <c r="D5682" s="13" t="s">
        <v>975</v>
      </c>
      <c r="E5682" s="53" t="s">
        <v>974</v>
      </c>
      <c r="F5682" s="115">
        <v>8.8000000000000007</v>
      </c>
      <c r="G5682" s="19">
        <f t="shared" si="599"/>
        <v>4000</v>
      </c>
      <c r="H5682" s="19">
        <f t="shared" si="600"/>
        <v>35200</v>
      </c>
    </row>
    <row r="5683" spans="3:9" x14ac:dyDescent="0.25">
      <c r="C5683" s="12">
        <v>3</v>
      </c>
      <c r="D5683" s="13" t="s">
        <v>976</v>
      </c>
      <c r="E5683" s="53" t="s">
        <v>506</v>
      </c>
      <c r="F5683" s="115">
        <v>1</v>
      </c>
      <c r="G5683" s="19">
        <f t="shared" si="599"/>
        <v>4000</v>
      </c>
      <c r="H5683" s="19">
        <f t="shared" si="600"/>
        <v>4000</v>
      </c>
    </row>
    <row r="5684" spans="3:9" x14ac:dyDescent="0.25">
      <c r="C5684" s="12">
        <v>4</v>
      </c>
      <c r="D5684" s="13" t="s">
        <v>977</v>
      </c>
      <c r="E5684" s="53" t="s">
        <v>506</v>
      </c>
      <c r="F5684" s="115">
        <v>5</v>
      </c>
      <c r="G5684" s="19">
        <f t="shared" si="599"/>
        <v>700</v>
      </c>
      <c r="H5684" s="19">
        <f t="shared" si="600"/>
        <v>3500</v>
      </c>
    </row>
    <row r="5685" spans="3:9" x14ac:dyDescent="0.25">
      <c r="C5685" s="12">
        <v>5</v>
      </c>
      <c r="D5685" s="13" t="s">
        <v>1103</v>
      </c>
      <c r="E5685" s="53" t="s">
        <v>506</v>
      </c>
      <c r="F5685" s="115">
        <v>10</v>
      </c>
      <c r="G5685" s="19">
        <f t="shared" si="599"/>
        <v>900</v>
      </c>
      <c r="H5685" s="19">
        <f t="shared" si="600"/>
        <v>9000</v>
      </c>
    </row>
    <row r="5686" spans="3:9" x14ac:dyDescent="0.25">
      <c r="C5686" s="12">
        <v>6</v>
      </c>
      <c r="D5686" s="13" t="s">
        <v>979</v>
      </c>
      <c r="E5686" s="53" t="s">
        <v>506</v>
      </c>
      <c r="F5686" s="115">
        <v>15</v>
      </c>
      <c r="G5686" s="19">
        <f t="shared" si="599"/>
        <v>21.5</v>
      </c>
      <c r="H5686" s="19">
        <f t="shared" si="600"/>
        <v>322.5</v>
      </c>
    </row>
    <row r="5687" spans="3:9" x14ac:dyDescent="0.25">
      <c r="C5687" s="12">
        <v>7</v>
      </c>
      <c r="D5687" s="13" t="s">
        <v>1104</v>
      </c>
      <c r="E5687" s="53" t="s">
        <v>974</v>
      </c>
      <c r="F5687" s="115">
        <v>1</v>
      </c>
      <c r="G5687" s="19">
        <f t="shared" si="599"/>
        <v>5400</v>
      </c>
      <c r="H5687" s="19">
        <f t="shared" si="600"/>
        <v>5400</v>
      </c>
    </row>
    <row r="5688" spans="3:9" x14ac:dyDescent="0.25">
      <c r="C5688" s="12">
        <v>8</v>
      </c>
      <c r="D5688" s="13" t="s">
        <v>980</v>
      </c>
      <c r="E5688" s="53" t="s">
        <v>506</v>
      </c>
      <c r="F5688" s="115">
        <v>4</v>
      </c>
      <c r="G5688" s="19">
        <f t="shared" si="599"/>
        <v>550</v>
      </c>
      <c r="H5688" s="19">
        <f t="shared" si="600"/>
        <v>2200</v>
      </c>
    </row>
    <row r="5689" spans="3:9" x14ac:dyDescent="0.25">
      <c r="C5689" s="12">
        <v>9</v>
      </c>
      <c r="D5689" s="13" t="s">
        <v>981</v>
      </c>
      <c r="E5689" s="53" t="s">
        <v>1105</v>
      </c>
      <c r="F5689" s="115">
        <v>0.5</v>
      </c>
      <c r="G5689" s="19">
        <f t="shared" si="599"/>
        <v>416</v>
      </c>
      <c r="H5689" s="19">
        <f t="shared" si="600"/>
        <v>208</v>
      </c>
    </row>
    <row r="5690" spans="3:9" x14ac:dyDescent="0.25">
      <c r="C5690" s="12">
        <v>10</v>
      </c>
      <c r="D5690" s="13" t="s">
        <v>1106</v>
      </c>
      <c r="E5690" s="53" t="s">
        <v>506</v>
      </c>
      <c r="F5690" s="115">
        <v>4</v>
      </c>
      <c r="G5690" s="19">
        <f t="shared" si="599"/>
        <v>580</v>
      </c>
      <c r="H5690" s="19">
        <f t="shared" si="600"/>
        <v>2320</v>
      </c>
    </row>
    <row r="5691" spans="3:9" x14ac:dyDescent="0.3">
      <c r="C5691" s="21" t="s">
        <v>29</v>
      </c>
      <c r="D5691" s="22"/>
      <c r="E5691" s="22"/>
      <c r="F5691" s="22"/>
      <c r="G5691" s="28"/>
      <c r="H5691" s="19">
        <f>SUM(H5681:H5690)</f>
        <v>249590.50000000003</v>
      </c>
    </row>
    <row r="5692" spans="3:9" x14ac:dyDescent="0.25">
      <c r="C5692" s="12" t="s">
        <v>30</v>
      </c>
      <c r="D5692" s="13" t="s">
        <v>31</v>
      </c>
      <c r="E5692" s="14"/>
      <c r="F5692" s="14"/>
      <c r="G5692" s="14"/>
      <c r="H5692" s="14"/>
    </row>
    <row r="5693" spans="3:9" x14ac:dyDescent="0.3">
      <c r="C5693" s="21" t="s">
        <v>32</v>
      </c>
      <c r="D5693" s="77"/>
      <c r="E5693" s="77"/>
      <c r="F5693" s="77"/>
      <c r="G5693" s="28"/>
      <c r="H5693" s="29">
        <f>SUM(H5692)</f>
        <v>0</v>
      </c>
    </row>
    <row r="5694" spans="3:9" x14ac:dyDescent="0.3">
      <c r="C5694" s="30" t="s">
        <v>33</v>
      </c>
      <c r="D5694" s="31" t="s">
        <v>34</v>
      </c>
      <c r="E5694" s="32"/>
      <c r="F5694" s="32"/>
      <c r="G5694" s="33"/>
      <c r="H5694" s="46">
        <f>H5693+H5691+H5679</f>
        <v>322500.5</v>
      </c>
      <c r="I5694" s="47"/>
    </row>
    <row r="5695" spans="3:9" ht="16.5" customHeight="1" x14ac:dyDescent="0.3">
      <c r="C5695" s="30" t="s">
        <v>35</v>
      </c>
      <c r="D5695" s="31" t="s">
        <v>36</v>
      </c>
      <c r="E5695" s="32"/>
      <c r="F5695" s="33"/>
      <c r="G5695" s="34">
        <f>$M$9</f>
        <v>0.1</v>
      </c>
      <c r="H5695" s="19">
        <f>H5694*G5695</f>
        <v>32250.050000000003</v>
      </c>
      <c r="I5695" s="47"/>
    </row>
    <row r="5696" spans="3:9" x14ac:dyDescent="0.3">
      <c r="C5696" s="30" t="s">
        <v>37</v>
      </c>
      <c r="D5696" s="31" t="s">
        <v>38</v>
      </c>
      <c r="E5696" s="32"/>
      <c r="F5696" s="32"/>
      <c r="G5696" s="33"/>
      <c r="H5696" s="48">
        <f>SUM(H5694:H5695)</f>
        <v>354750.55</v>
      </c>
      <c r="I5696" s="47"/>
    </row>
    <row r="5697" spans="3:11" x14ac:dyDescent="0.3">
      <c r="C5697" s="50"/>
      <c r="D5697" s="64"/>
      <c r="E5697" s="64"/>
      <c r="F5697" s="64"/>
      <c r="G5697" s="64"/>
      <c r="H5697" s="65"/>
    </row>
    <row r="5698" spans="3:11" x14ac:dyDescent="0.3">
      <c r="C5698" s="40" t="s">
        <v>1109</v>
      </c>
      <c r="D5698" s="68" t="s">
        <v>1110</v>
      </c>
      <c r="E5698" s="44"/>
      <c r="F5698" s="44"/>
      <c r="G5698" s="44"/>
      <c r="H5698" s="44"/>
      <c r="I5698" s="10">
        <f>ROUNDDOWN(H5713,0)</f>
        <v>126324</v>
      </c>
      <c r="J5698" s="15"/>
      <c r="K5698" s="39"/>
    </row>
    <row r="5699" spans="3:11" ht="27.6" x14ac:dyDescent="0.3">
      <c r="C5699" s="11" t="s">
        <v>9</v>
      </c>
      <c r="D5699" s="11" t="s">
        <v>10</v>
      </c>
      <c r="E5699" s="11" t="s">
        <v>11</v>
      </c>
      <c r="F5699" s="11" t="s">
        <v>12</v>
      </c>
      <c r="G5699" s="11" t="s">
        <v>13</v>
      </c>
      <c r="H5699" s="11" t="s">
        <v>14</v>
      </c>
    </row>
    <row r="5700" spans="3:11" x14ac:dyDescent="0.25">
      <c r="C5700" s="12" t="s">
        <v>15</v>
      </c>
      <c r="D5700" s="13" t="s">
        <v>16</v>
      </c>
      <c r="E5700" s="14"/>
      <c r="F5700" s="14"/>
      <c r="G5700" s="14"/>
      <c r="H5700" s="14"/>
    </row>
    <row r="5701" spans="3:11" x14ac:dyDescent="0.3">
      <c r="C5701" s="16">
        <v>1</v>
      </c>
      <c r="D5701" s="13" t="s">
        <v>18</v>
      </c>
      <c r="E5701" s="17" t="s">
        <v>19</v>
      </c>
      <c r="F5701" s="18">
        <v>6.4000000000000001E-2</v>
      </c>
      <c r="G5701" s="19">
        <f>VLOOKUP(D5701,upahbahan,3,FALSE)</f>
        <v>100000</v>
      </c>
      <c r="H5701" s="19">
        <f t="shared" ref="H5701:H5704" si="601">F5701*G5701</f>
        <v>6400</v>
      </c>
    </row>
    <row r="5702" spans="3:11" x14ac:dyDescent="0.3">
      <c r="C5702" s="16">
        <v>2</v>
      </c>
      <c r="D5702" s="13" t="s">
        <v>214</v>
      </c>
      <c r="E5702" s="17" t="s">
        <v>19</v>
      </c>
      <c r="F5702" s="18">
        <v>0.107</v>
      </c>
      <c r="G5702" s="19">
        <f>VLOOKUP(D5702,upahbahan,3,FALSE)</f>
        <v>145000</v>
      </c>
      <c r="H5702" s="19">
        <f t="shared" si="601"/>
        <v>15515</v>
      </c>
    </row>
    <row r="5703" spans="3:11" x14ac:dyDescent="0.3">
      <c r="C5703" s="16">
        <v>3</v>
      </c>
      <c r="D5703" s="13" t="s">
        <v>22</v>
      </c>
      <c r="E5703" s="17" t="s">
        <v>19</v>
      </c>
      <c r="F5703" s="18">
        <v>1.0999999999999999E-2</v>
      </c>
      <c r="G5703" s="19">
        <f>VLOOKUP(D5703,upahbahan,3,FALSE)</f>
        <v>175000</v>
      </c>
      <c r="H5703" s="19">
        <f t="shared" si="601"/>
        <v>1925</v>
      </c>
    </row>
    <row r="5704" spans="3:11" x14ac:dyDescent="0.3">
      <c r="C5704" s="16">
        <v>4</v>
      </c>
      <c r="D5704" s="13" t="s">
        <v>23</v>
      </c>
      <c r="E5704" s="17" t="s">
        <v>19</v>
      </c>
      <c r="F5704" s="18">
        <v>4.0000000000000001E-3</v>
      </c>
      <c r="G5704" s="19">
        <f>VLOOKUP(D5704,upahbahan,3,FALSE)</f>
        <v>200000</v>
      </c>
      <c r="H5704" s="19">
        <f t="shared" si="601"/>
        <v>800</v>
      </c>
    </row>
    <row r="5705" spans="3:11" x14ac:dyDescent="0.3">
      <c r="C5705" s="21" t="s">
        <v>24</v>
      </c>
      <c r="D5705" s="22"/>
      <c r="E5705" s="22"/>
      <c r="F5705" s="54"/>
      <c r="G5705" s="24"/>
      <c r="H5705" s="19">
        <f>SUM(H5701:H5704)</f>
        <v>24640</v>
      </c>
      <c r="I5705" s="25"/>
    </row>
    <row r="5706" spans="3:11" x14ac:dyDescent="0.25">
      <c r="C5706" s="12" t="s">
        <v>25</v>
      </c>
      <c r="D5706" s="13" t="s">
        <v>26</v>
      </c>
      <c r="E5706" s="14"/>
      <c r="F5706" s="55"/>
      <c r="G5706" s="14"/>
      <c r="H5706" s="14"/>
    </row>
    <row r="5707" spans="3:11" x14ac:dyDescent="0.25">
      <c r="C5707" s="12">
        <v>1</v>
      </c>
      <c r="D5707" s="13" t="s">
        <v>1111</v>
      </c>
      <c r="E5707" s="53" t="s">
        <v>506</v>
      </c>
      <c r="F5707" s="115">
        <v>1.1000000000000001</v>
      </c>
      <c r="G5707" s="19">
        <f>VLOOKUP(D5707,upahbahan,3,FALSE)</f>
        <v>82000</v>
      </c>
      <c r="H5707" s="19">
        <f t="shared" ref="H5707" si="602">F5707*G5707</f>
        <v>90200.000000000015</v>
      </c>
    </row>
    <row r="5708" spans="3:11" x14ac:dyDescent="0.3">
      <c r="C5708" s="21" t="s">
        <v>29</v>
      </c>
      <c r="D5708" s="22"/>
      <c r="E5708" s="22"/>
      <c r="F5708" s="22"/>
      <c r="G5708" s="28"/>
      <c r="H5708" s="19">
        <f>SUM(H5707:H5707)</f>
        <v>90200.000000000015</v>
      </c>
    </row>
    <row r="5709" spans="3:11" x14ac:dyDescent="0.25">
      <c r="C5709" s="12" t="s">
        <v>30</v>
      </c>
      <c r="D5709" s="13" t="s">
        <v>31</v>
      </c>
      <c r="E5709" s="14"/>
      <c r="F5709" s="14"/>
      <c r="G5709" s="14"/>
      <c r="H5709" s="14"/>
    </row>
    <row r="5710" spans="3:11" x14ac:dyDescent="0.3">
      <c r="C5710" s="21" t="s">
        <v>32</v>
      </c>
      <c r="D5710" s="77"/>
      <c r="E5710" s="77"/>
      <c r="F5710" s="77"/>
      <c r="G5710" s="28"/>
      <c r="H5710" s="29">
        <f>SUM(H5709)</f>
        <v>0</v>
      </c>
    </row>
    <row r="5711" spans="3:11" x14ac:dyDescent="0.3">
      <c r="C5711" s="30" t="s">
        <v>33</v>
      </c>
      <c r="D5711" s="31" t="s">
        <v>34</v>
      </c>
      <c r="E5711" s="32"/>
      <c r="F5711" s="32"/>
      <c r="G5711" s="33"/>
      <c r="H5711" s="46">
        <f>H5710+H5708+H5705</f>
        <v>114840.00000000001</v>
      </c>
      <c r="I5711" s="47"/>
    </row>
    <row r="5712" spans="3:11" x14ac:dyDescent="0.3">
      <c r="C5712" s="30" t="s">
        <v>35</v>
      </c>
      <c r="D5712" s="31" t="s">
        <v>36</v>
      </c>
      <c r="E5712" s="32"/>
      <c r="F5712" s="33"/>
      <c r="G5712" s="34">
        <f>$M$9</f>
        <v>0.1</v>
      </c>
      <c r="H5712" s="19">
        <f>H5711*G5712</f>
        <v>11484.000000000002</v>
      </c>
      <c r="I5712" s="47"/>
    </row>
    <row r="5713" spans="3:11" x14ac:dyDescent="0.3">
      <c r="C5713" s="30" t="s">
        <v>37</v>
      </c>
      <c r="D5713" s="31" t="s">
        <v>38</v>
      </c>
      <c r="E5713" s="32"/>
      <c r="F5713" s="32"/>
      <c r="G5713" s="33"/>
      <c r="H5713" s="48">
        <f>SUM(H5711:H5712)</f>
        <v>126324.00000000001</v>
      </c>
      <c r="I5713" s="47"/>
    </row>
    <row r="5715" spans="3:11" x14ac:dyDescent="0.3">
      <c r="C5715" s="40" t="s">
        <v>1112</v>
      </c>
      <c r="D5715" s="68" t="s">
        <v>1113</v>
      </c>
      <c r="E5715" s="44"/>
      <c r="F5715" s="44"/>
      <c r="G5715" s="44"/>
      <c r="H5715" s="44"/>
      <c r="I5715" s="10">
        <f>ROUNDDOWN(H5731,0)</f>
        <v>60016</v>
      </c>
      <c r="J5715" s="15"/>
      <c r="K5715" s="39"/>
    </row>
    <row r="5716" spans="3:11" ht="27.6" x14ac:dyDescent="0.3">
      <c r="C5716" s="11" t="s">
        <v>9</v>
      </c>
      <c r="D5716" s="11" t="s">
        <v>10</v>
      </c>
      <c r="E5716" s="11" t="s">
        <v>11</v>
      </c>
      <c r="F5716" s="11" t="s">
        <v>12</v>
      </c>
      <c r="G5716" s="11" t="s">
        <v>13</v>
      </c>
      <c r="H5716" s="11" t="s">
        <v>14</v>
      </c>
    </row>
    <row r="5717" spans="3:11" x14ac:dyDescent="0.25">
      <c r="C5717" s="12" t="s">
        <v>15</v>
      </c>
      <c r="D5717" s="13" t="s">
        <v>16</v>
      </c>
      <c r="E5717" s="14"/>
      <c r="F5717" s="14"/>
      <c r="G5717" s="14"/>
      <c r="H5717" s="14"/>
    </row>
    <row r="5718" spans="3:11" x14ac:dyDescent="0.3">
      <c r="C5718" s="16">
        <v>1</v>
      </c>
      <c r="D5718" s="13" t="s">
        <v>18</v>
      </c>
      <c r="E5718" s="17" t="s">
        <v>19</v>
      </c>
      <c r="F5718" s="18">
        <v>6.4000000000000001E-2</v>
      </c>
      <c r="G5718" s="19">
        <f>VLOOKUP(D5718,upahbahan,3,FALSE)</f>
        <v>100000</v>
      </c>
      <c r="H5718" s="19">
        <f t="shared" ref="H5718:H5721" si="603">F5718*G5718</f>
        <v>6400</v>
      </c>
    </row>
    <row r="5719" spans="3:11" x14ac:dyDescent="0.3">
      <c r="C5719" s="16">
        <v>2</v>
      </c>
      <c r="D5719" s="13" t="s">
        <v>214</v>
      </c>
      <c r="E5719" s="17" t="s">
        <v>19</v>
      </c>
      <c r="F5719" s="18">
        <v>0.107</v>
      </c>
      <c r="G5719" s="19">
        <f>VLOOKUP(D5719,upahbahan,3,FALSE)</f>
        <v>145000</v>
      </c>
      <c r="H5719" s="19">
        <f t="shared" si="603"/>
        <v>15515</v>
      </c>
    </row>
    <row r="5720" spans="3:11" x14ac:dyDescent="0.3">
      <c r="C5720" s="16">
        <v>3</v>
      </c>
      <c r="D5720" s="13" t="s">
        <v>22</v>
      </c>
      <c r="E5720" s="17" t="s">
        <v>19</v>
      </c>
      <c r="F5720" s="18">
        <v>1.0999999999999999E-2</v>
      </c>
      <c r="G5720" s="19">
        <f>VLOOKUP(D5720,upahbahan,3,FALSE)</f>
        <v>175000</v>
      </c>
      <c r="H5720" s="19">
        <f t="shared" si="603"/>
        <v>1925</v>
      </c>
    </row>
    <row r="5721" spans="3:11" x14ac:dyDescent="0.3">
      <c r="C5721" s="16">
        <v>4</v>
      </c>
      <c r="D5721" s="13" t="s">
        <v>23</v>
      </c>
      <c r="E5721" s="17" t="s">
        <v>19</v>
      </c>
      <c r="F5721" s="18">
        <v>4.0000000000000001E-3</v>
      </c>
      <c r="G5721" s="19">
        <f>VLOOKUP(D5721,upahbahan,3,FALSE)</f>
        <v>200000</v>
      </c>
      <c r="H5721" s="19">
        <f t="shared" si="603"/>
        <v>800</v>
      </c>
    </row>
    <row r="5722" spans="3:11" x14ac:dyDescent="0.3">
      <c r="C5722" s="21" t="s">
        <v>24</v>
      </c>
      <c r="D5722" s="22"/>
      <c r="E5722" s="22"/>
      <c r="F5722" s="54"/>
      <c r="G5722" s="24"/>
      <c r="H5722" s="19">
        <f>SUM(H5718:H5721)</f>
        <v>24640</v>
      </c>
      <c r="I5722" s="25"/>
    </row>
    <row r="5723" spans="3:11" x14ac:dyDescent="0.25">
      <c r="C5723" s="12" t="s">
        <v>25</v>
      </c>
      <c r="D5723" s="13" t="s">
        <v>26</v>
      </c>
      <c r="E5723" s="14"/>
      <c r="F5723" s="55"/>
      <c r="G5723" s="14"/>
      <c r="H5723" s="14"/>
    </row>
    <row r="5724" spans="3:11" x14ac:dyDescent="0.25">
      <c r="C5724" s="12">
        <v>1</v>
      </c>
      <c r="D5724" s="13" t="s">
        <v>1114</v>
      </c>
      <c r="E5724" s="53" t="s">
        <v>949</v>
      </c>
      <c r="F5724" s="115">
        <v>1.1000000000000001</v>
      </c>
      <c r="G5724" s="19">
        <f>VLOOKUP(D5724,upahbahan,3,FALSE)</f>
        <v>22000</v>
      </c>
      <c r="H5724" s="19">
        <f>F5724*G5724</f>
        <v>24200.000000000004</v>
      </c>
    </row>
    <row r="5725" spans="3:11" x14ac:dyDescent="0.25">
      <c r="C5725" s="12">
        <v>2</v>
      </c>
      <c r="D5725" s="13" t="s">
        <v>1115</v>
      </c>
      <c r="E5725" s="53" t="s">
        <v>506</v>
      </c>
      <c r="F5725" s="115">
        <v>1.1000000000000001</v>
      </c>
      <c r="G5725" s="19">
        <f>VLOOKUP(D5725,upahbahan,3,FALSE)</f>
        <v>5200</v>
      </c>
      <c r="H5725" s="19">
        <f>F5725*G5725</f>
        <v>5720.0000000000009</v>
      </c>
    </row>
    <row r="5726" spans="3:11" x14ac:dyDescent="0.3">
      <c r="C5726" s="21" t="s">
        <v>29</v>
      </c>
      <c r="D5726" s="22"/>
      <c r="E5726" s="22"/>
      <c r="F5726" s="22"/>
      <c r="G5726" s="28"/>
      <c r="H5726" s="19">
        <f>SUM(H5724:H5725)</f>
        <v>29920.000000000004</v>
      </c>
    </row>
    <row r="5727" spans="3:11" x14ac:dyDescent="0.25">
      <c r="C5727" s="12" t="s">
        <v>30</v>
      </c>
      <c r="D5727" s="13" t="s">
        <v>31</v>
      </c>
      <c r="E5727" s="14"/>
      <c r="F5727" s="14"/>
      <c r="G5727" s="14"/>
      <c r="H5727" s="14"/>
    </row>
    <row r="5728" spans="3:11" x14ac:dyDescent="0.3">
      <c r="C5728" s="21" t="s">
        <v>32</v>
      </c>
      <c r="D5728" s="77"/>
      <c r="E5728" s="77"/>
      <c r="F5728" s="77"/>
      <c r="G5728" s="28"/>
      <c r="H5728" s="29">
        <f>SUM(H5727)</f>
        <v>0</v>
      </c>
    </row>
    <row r="5729" spans="3:11" x14ac:dyDescent="0.3">
      <c r="C5729" s="30" t="s">
        <v>33</v>
      </c>
      <c r="D5729" s="31" t="s">
        <v>34</v>
      </c>
      <c r="E5729" s="32"/>
      <c r="F5729" s="32"/>
      <c r="G5729" s="33"/>
      <c r="H5729" s="46">
        <f>H5728+H5726+H5722</f>
        <v>54560</v>
      </c>
      <c r="I5729" s="47"/>
    </row>
    <row r="5730" spans="3:11" x14ac:dyDescent="0.3">
      <c r="C5730" s="30" t="s">
        <v>35</v>
      </c>
      <c r="D5730" s="31" t="s">
        <v>36</v>
      </c>
      <c r="E5730" s="32"/>
      <c r="F5730" s="33"/>
      <c r="G5730" s="34">
        <f>$M$9</f>
        <v>0.1</v>
      </c>
      <c r="H5730" s="19">
        <f>H5729*G5730</f>
        <v>5456</v>
      </c>
      <c r="I5730" s="47"/>
    </row>
    <row r="5731" spans="3:11" x14ac:dyDescent="0.3">
      <c r="C5731" s="30" t="s">
        <v>37</v>
      </c>
      <c r="D5731" s="31" t="s">
        <v>38</v>
      </c>
      <c r="E5731" s="32"/>
      <c r="F5731" s="32"/>
      <c r="G5731" s="33"/>
      <c r="H5731" s="48">
        <f>SUM(H5729:H5730)</f>
        <v>60016</v>
      </c>
      <c r="I5731" s="47"/>
    </row>
    <row r="5733" spans="3:11" x14ac:dyDescent="0.3">
      <c r="C5733" s="40" t="s">
        <v>1116</v>
      </c>
      <c r="D5733" s="68" t="s">
        <v>1117</v>
      </c>
      <c r="E5733" s="44"/>
      <c r="F5733" s="44"/>
      <c r="G5733" s="44"/>
      <c r="H5733" s="44"/>
      <c r="I5733" s="10">
        <f>ROUNDDOWN(H5750,0)</f>
        <v>193116</v>
      </c>
      <c r="J5733" s="15"/>
      <c r="K5733" s="39"/>
    </row>
    <row r="5734" spans="3:11" ht="27.6" x14ac:dyDescent="0.3">
      <c r="C5734" s="11" t="s">
        <v>9</v>
      </c>
      <c r="D5734" s="11" t="s">
        <v>10</v>
      </c>
      <c r="E5734" s="11" t="s">
        <v>11</v>
      </c>
      <c r="F5734" s="11" t="s">
        <v>12</v>
      </c>
      <c r="G5734" s="11" t="s">
        <v>13</v>
      </c>
      <c r="H5734" s="11" t="s">
        <v>14</v>
      </c>
    </row>
    <row r="5735" spans="3:11" x14ac:dyDescent="0.25">
      <c r="C5735" s="12" t="s">
        <v>15</v>
      </c>
      <c r="D5735" s="13" t="s">
        <v>16</v>
      </c>
      <c r="E5735" s="14"/>
      <c r="F5735" s="14"/>
      <c r="G5735" s="14"/>
      <c r="H5735" s="14"/>
    </row>
    <row r="5736" spans="3:11" x14ac:dyDescent="0.3">
      <c r="C5736" s="16">
        <v>1</v>
      </c>
      <c r="D5736" s="13" t="s">
        <v>18</v>
      </c>
      <c r="E5736" s="17" t="s">
        <v>19</v>
      </c>
      <c r="F5736" s="18">
        <v>6.4000000000000001E-2</v>
      </c>
      <c r="G5736" s="19">
        <f>VLOOKUP(D5736,upahbahan,3,FALSE)</f>
        <v>100000</v>
      </c>
      <c r="H5736" s="19">
        <f t="shared" ref="H5736:H5739" si="604">F5736*G5736</f>
        <v>6400</v>
      </c>
    </row>
    <row r="5737" spans="3:11" x14ac:dyDescent="0.3">
      <c r="C5737" s="16">
        <v>2</v>
      </c>
      <c r="D5737" s="13" t="s">
        <v>214</v>
      </c>
      <c r="E5737" s="17" t="s">
        <v>19</v>
      </c>
      <c r="F5737" s="18">
        <v>0.107</v>
      </c>
      <c r="G5737" s="19">
        <f>VLOOKUP(D5737,upahbahan,3,FALSE)</f>
        <v>145000</v>
      </c>
      <c r="H5737" s="19">
        <f t="shared" si="604"/>
        <v>15515</v>
      </c>
    </row>
    <row r="5738" spans="3:11" x14ac:dyDescent="0.3">
      <c r="C5738" s="16">
        <v>3</v>
      </c>
      <c r="D5738" s="13" t="s">
        <v>22</v>
      </c>
      <c r="E5738" s="17" t="s">
        <v>19</v>
      </c>
      <c r="F5738" s="18">
        <v>1.0999999999999999E-2</v>
      </c>
      <c r="G5738" s="19">
        <f>VLOOKUP(D5738,upahbahan,3,FALSE)</f>
        <v>175000</v>
      </c>
      <c r="H5738" s="19">
        <f t="shared" si="604"/>
        <v>1925</v>
      </c>
    </row>
    <row r="5739" spans="3:11" x14ac:dyDescent="0.3">
      <c r="C5739" s="16">
        <v>4</v>
      </c>
      <c r="D5739" s="13" t="s">
        <v>23</v>
      </c>
      <c r="E5739" s="17" t="s">
        <v>19</v>
      </c>
      <c r="F5739" s="18">
        <v>4.0000000000000001E-3</v>
      </c>
      <c r="G5739" s="19">
        <f>VLOOKUP(D5739,upahbahan,3,FALSE)</f>
        <v>200000</v>
      </c>
      <c r="H5739" s="19">
        <f t="shared" si="604"/>
        <v>800</v>
      </c>
    </row>
    <row r="5740" spans="3:11" x14ac:dyDescent="0.3">
      <c r="C5740" s="21" t="s">
        <v>24</v>
      </c>
      <c r="D5740" s="22"/>
      <c r="E5740" s="22"/>
      <c r="F5740" s="54"/>
      <c r="G5740" s="24"/>
      <c r="H5740" s="19">
        <f>SUM(H5736:H5739)</f>
        <v>24640</v>
      </c>
      <c r="I5740" s="25"/>
    </row>
    <row r="5741" spans="3:11" x14ac:dyDescent="0.25">
      <c r="C5741" s="12" t="s">
        <v>25</v>
      </c>
      <c r="D5741" s="13" t="s">
        <v>26</v>
      </c>
      <c r="E5741" s="14"/>
      <c r="F5741" s="55"/>
      <c r="G5741" s="14"/>
      <c r="H5741" s="14"/>
    </row>
    <row r="5742" spans="3:11" x14ac:dyDescent="0.25">
      <c r="C5742" s="12">
        <v>1</v>
      </c>
      <c r="D5742" s="13" t="s">
        <v>1114</v>
      </c>
      <c r="E5742" s="53" t="s">
        <v>949</v>
      </c>
      <c r="F5742" s="115">
        <v>1.1000000000000001</v>
      </c>
      <c r="G5742" s="19">
        <f>VLOOKUP(D5742,upahbahan,3,FALSE)</f>
        <v>22000</v>
      </c>
      <c r="H5742" s="19">
        <f>F5742*G5742</f>
        <v>24200.000000000004</v>
      </c>
    </row>
    <row r="5743" spans="3:11" x14ac:dyDescent="0.25">
      <c r="C5743" s="12">
        <v>2</v>
      </c>
      <c r="D5743" s="13" t="s">
        <v>1115</v>
      </c>
      <c r="E5743" s="53" t="s">
        <v>506</v>
      </c>
      <c r="F5743" s="115">
        <v>1.1000000000000001</v>
      </c>
      <c r="G5743" s="19">
        <f>VLOOKUP(D5743,upahbahan,3,FALSE)</f>
        <v>5200</v>
      </c>
      <c r="H5743" s="19">
        <f>F5743*G5743</f>
        <v>5720.0000000000009</v>
      </c>
    </row>
    <row r="5744" spans="3:11" x14ac:dyDescent="0.25">
      <c r="C5744" s="12">
        <v>3</v>
      </c>
      <c r="D5744" s="13" t="s">
        <v>1118</v>
      </c>
      <c r="E5744" s="53" t="s">
        <v>506</v>
      </c>
      <c r="F5744" s="115">
        <v>1.1000000000000001</v>
      </c>
      <c r="G5744" s="19">
        <f>VLOOKUP(D5744,upahbahan,3,FALSE)</f>
        <v>110000</v>
      </c>
      <c r="H5744" s="19">
        <f>F5744*G5744</f>
        <v>121000.00000000001</v>
      </c>
    </row>
    <row r="5745" spans="3:11" x14ac:dyDescent="0.3">
      <c r="C5745" s="21" t="s">
        <v>29</v>
      </c>
      <c r="D5745" s="22"/>
      <c r="E5745" s="22"/>
      <c r="F5745" s="22"/>
      <c r="G5745" s="28"/>
      <c r="H5745" s="19">
        <f>SUM(H5742:H5744)</f>
        <v>150920.00000000003</v>
      </c>
    </row>
    <row r="5746" spans="3:11" x14ac:dyDescent="0.25">
      <c r="C5746" s="12" t="s">
        <v>30</v>
      </c>
      <c r="D5746" s="13" t="s">
        <v>31</v>
      </c>
      <c r="E5746" s="14"/>
      <c r="F5746" s="14"/>
      <c r="G5746" s="14"/>
      <c r="H5746" s="14"/>
    </row>
    <row r="5747" spans="3:11" x14ac:dyDescent="0.3">
      <c r="C5747" s="21" t="s">
        <v>32</v>
      </c>
      <c r="D5747" s="77"/>
      <c r="E5747" s="77"/>
      <c r="F5747" s="77"/>
      <c r="G5747" s="28"/>
      <c r="H5747" s="29">
        <f>SUM(H5746)</f>
        <v>0</v>
      </c>
    </row>
    <row r="5748" spans="3:11" x14ac:dyDescent="0.3">
      <c r="C5748" s="30" t="s">
        <v>33</v>
      </c>
      <c r="D5748" s="31" t="s">
        <v>34</v>
      </c>
      <c r="E5748" s="32"/>
      <c r="F5748" s="32"/>
      <c r="G5748" s="33"/>
      <c r="H5748" s="46">
        <f>H5747+H5745+H5740</f>
        <v>175560.00000000003</v>
      </c>
      <c r="I5748" s="47"/>
    </row>
    <row r="5749" spans="3:11" x14ac:dyDescent="0.3">
      <c r="C5749" s="30" t="s">
        <v>35</v>
      </c>
      <c r="D5749" s="31" t="s">
        <v>36</v>
      </c>
      <c r="E5749" s="32"/>
      <c r="F5749" s="33"/>
      <c r="G5749" s="34">
        <f>$M$9</f>
        <v>0.1</v>
      </c>
      <c r="H5749" s="19">
        <f>H5748*G5749</f>
        <v>17556.000000000004</v>
      </c>
      <c r="I5749" s="47"/>
    </row>
    <row r="5750" spans="3:11" x14ac:dyDescent="0.3">
      <c r="C5750" s="30" t="s">
        <v>37</v>
      </c>
      <c r="D5750" s="31" t="s">
        <v>38</v>
      </c>
      <c r="E5750" s="32"/>
      <c r="F5750" s="32"/>
      <c r="G5750" s="33"/>
      <c r="H5750" s="48">
        <f>SUM(H5748:H5749)</f>
        <v>193116.00000000003</v>
      </c>
      <c r="I5750" s="47"/>
    </row>
    <row r="5752" spans="3:11" x14ac:dyDescent="0.3">
      <c r="C5752" s="40" t="s">
        <v>1119</v>
      </c>
      <c r="D5752" s="68" t="s">
        <v>1120</v>
      </c>
      <c r="E5752" s="44"/>
      <c r="F5752" s="44"/>
      <c r="G5752" s="44"/>
      <c r="H5752" s="44"/>
      <c r="I5752" s="10">
        <f>ROUNDDOWN(H5768,0)</f>
        <v>118701</v>
      </c>
      <c r="J5752" s="15"/>
      <c r="K5752" s="39"/>
    </row>
    <row r="5753" spans="3:11" ht="27.6" x14ac:dyDescent="0.3">
      <c r="C5753" s="11" t="s">
        <v>9</v>
      </c>
      <c r="D5753" s="11" t="s">
        <v>10</v>
      </c>
      <c r="E5753" s="11" t="s">
        <v>11</v>
      </c>
      <c r="F5753" s="11" t="s">
        <v>12</v>
      </c>
      <c r="G5753" s="11" t="s">
        <v>13</v>
      </c>
      <c r="H5753" s="11" t="s">
        <v>14</v>
      </c>
    </row>
    <row r="5754" spans="3:11" x14ac:dyDescent="0.25">
      <c r="C5754" s="12" t="s">
        <v>15</v>
      </c>
      <c r="D5754" s="13" t="s">
        <v>16</v>
      </c>
      <c r="E5754" s="14"/>
      <c r="F5754" s="14"/>
      <c r="G5754" s="14"/>
      <c r="H5754" s="14"/>
    </row>
    <row r="5755" spans="3:11" x14ac:dyDescent="0.3">
      <c r="C5755" s="16">
        <v>1</v>
      </c>
      <c r="D5755" s="13" t="s">
        <v>18</v>
      </c>
      <c r="E5755" s="17" t="s">
        <v>19</v>
      </c>
      <c r="F5755" s="18">
        <v>6.4000000000000001E-2</v>
      </c>
      <c r="G5755" s="19">
        <f>VLOOKUP(D5755,upahbahan,3,FALSE)</f>
        <v>100000</v>
      </c>
      <c r="H5755" s="19">
        <f t="shared" ref="H5755:H5758" si="605">F5755*G5755</f>
        <v>6400</v>
      </c>
    </row>
    <row r="5756" spans="3:11" x14ac:dyDescent="0.3">
      <c r="C5756" s="16">
        <v>2</v>
      </c>
      <c r="D5756" s="13" t="s">
        <v>214</v>
      </c>
      <c r="E5756" s="17" t="s">
        <v>19</v>
      </c>
      <c r="F5756" s="18">
        <v>0.107</v>
      </c>
      <c r="G5756" s="19">
        <f>VLOOKUP(D5756,upahbahan,3,FALSE)</f>
        <v>145000</v>
      </c>
      <c r="H5756" s="19">
        <f t="shared" si="605"/>
        <v>15515</v>
      </c>
    </row>
    <row r="5757" spans="3:11" x14ac:dyDescent="0.3">
      <c r="C5757" s="16">
        <v>3</v>
      </c>
      <c r="D5757" s="13" t="s">
        <v>22</v>
      </c>
      <c r="E5757" s="17" t="s">
        <v>19</v>
      </c>
      <c r="F5757" s="18">
        <v>1.0999999999999999E-2</v>
      </c>
      <c r="G5757" s="19">
        <f>VLOOKUP(D5757,upahbahan,3,FALSE)</f>
        <v>175000</v>
      </c>
      <c r="H5757" s="19">
        <f t="shared" si="605"/>
        <v>1925</v>
      </c>
    </row>
    <row r="5758" spans="3:11" x14ac:dyDescent="0.3">
      <c r="C5758" s="16">
        <v>4</v>
      </c>
      <c r="D5758" s="13" t="s">
        <v>23</v>
      </c>
      <c r="E5758" s="17" t="s">
        <v>19</v>
      </c>
      <c r="F5758" s="18">
        <v>4.0000000000000001E-3</v>
      </c>
      <c r="G5758" s="19">
        <f>VLOOKUP(D5758,upahbahan,3,FALSE)</f>
        <v>200000</v>
      </c>
      <c r="H5758" s="19">
        <f t="shared" si="605"/>
        <v>800</v>
      </c>
    </row>
    <row r="5759" spans="3:11" x14ac:dyDescent="0.3">
      <c r="C5759" s="21" t="s">
        <v>24</v>
      </c>
      <c r="D5759" s="22"/>
      <c r="E5759" s="22"/>
      <c r="F5759" s="54"/>
      <c r="G5759" s="24"/>
      <c r="H5759" s="19">
        <f>SUM(H5755:H5758)</f>
        <v>24640</v>
      </c>
      <c r="I5759" s="25"/>
    </row>
    <row r="5760" spans="3:11" x14ac:dyDescent="0.25">
      <c r="C5760" s="12" t="s">
        <v>25</v>
      </c>
      <c r="D5760" s="13" t="s">
        <v>26</v>
      </c>
      <c r="E5760" s="14"/>
      <c r="F5760" s="55"/>
      <c r="G5760" s="14"/>
      <c r="H5760" s="14"/>
    </row>
    <row r="5761" spans="3:11" x14ac:dyDescent="0.25">
      <c r="C5761" s="12">
        <v>1</v>
      </c>
      <c r="D5761" s="13" t="s">
        <v>1121</v>
      </c>
      <c r="E5761" s="53" t="s">
        <v>949</v>
      </c>
      <c r="F5761" s="115">
        <v>1.1000000000000001</v>
      </c>
      <c r="G5761" s="19">
        <f>VLOOKUP(D5761,upahbahan,3,FALSE)</f>
        <v>70500</v>
      </c>
      <c r="H5761" s="19">
        <f>F5761*G5761</f>
        <v>77550</v>
      </c>
    </row>
    <row r="5762" spans="3:11" x14ac:dyDescent="0.25">
      <c r="C5762" s="12">
        <v>2</v>
      </c>
      <c r="D5762" s="13" t="s">
        <v>1115</v>
      </c>
      <c r="E5762" s="53" t="s">
        <v>506</v>
      </c>
      <c r="F5762" s="115">
        <v>1.1000000000000001</v>
      </c>
      <c r="G5762" s="19">
        <f>VLOOKUP(D5762,upahbahan,3,FALSE)</f>
        <v>5200</v>
      </c>
      <c r="H5762" s="19">
        <f>F5762*G5762</f>
        <v>5720.0000000000009</v>
      </c>
    </row>
    <row r="5763" spans="3:11" x14ac:dyDescent="0.3">
      <c r="C5763" s="21" t="s">
        <v>29</v>
      </c>
      <c r="D5763" s="22"/>
      <c r="E5763" s="22"/>
      <c r="F5763" s="22"/>
      <c r="G5763" s="28"/>
      <c r="H5763" s="19">
        <f>SUM(H5761:H5762)</f>
        <v>83270</v>
      </c>
    </row>
    <row r="5764" spans="3:11" x14ac:dyDescent="0.25">
      <c r="C5764" s="12" t="s">
        <v>30</v>
      </c>
      <c r="D5764" s="13" t="s">
        <v>31</v>
      </c>
      <c r="E5764" s="14"/>
      <c r="F5764" s="14"/>
      <c r="G5764" s="14"/>
      <c r="H5764" s="14"/>
    </row>
    <row r="5765" spans="3:11" x14ac:dyDescent="0.3">
      <c r="C5765" s="21" t="s">
        <v>32</v>
      </c>
      <c r="D5765" s="77"/>
      <c r="E5765" s="77"/>
      <c r="F5765" s="77"/>
      <c r="G5765" s="28"/>
      <c r="H5765" s="29">
        <f>SUM(H5764)</f>
        <v>0</v>
      </c>
    </row>
    <row r="5766" spans="3:11" x14ac:dyDescent="0.3">
      <c r="C5766" s="30" t="s">
        <v>33</v>
      </c>
      <c r="D5766" s="31" t="s">
        <v>34</v>
      </c>
      <c r="E5766" s="32"/>
      <c r="F5766" s="32"/>
      <c r="G5766" s="33"/>
      <c r="H5766" s="46">
        <f>H5765+H5763+H5759</f>
        <v>107910</v>
      </c>
      <c r="I5766" s="47"/>
    </row>
    <row r="5767" spans="3:11" x14ac:dyDescent="0.3">
      <c r="C5767" s="30" t="s">
        <v>35</v>
      </c>
      <c r="D5767" s="31" t="s">
        <v>36</v>
      </c>
      <c r="E5767" s="32"/>
      <c r="F5767" s="33"/>
      <c r="G5767" s="34">
        <f>$M$9</f>
        <v>0.1</v>
      </c>
      <c r="H5767" s="19">
        <f>H5766*G5767</f>
        <v>10791</v>
      </c>
      <c r="I5767" s="47"/>
    </row>
    <row r="5768" spans="3:11" x14ac:dyDescent="0.3">
      <c r="C5768" s="30" t="s">
        <v>37</v>
      </c>
      <c r="D5768" s="31" t="s">
        <v>38</v>
      </c>
      <c r="E5768" s="32"/>
      <c r="F5768" s="32"/>
      <c r="G5768" s="33"/>
      <c r="H5768" s="48">
        <f>SUM(H5766:H5767)</f>
        <v>118701</v>
      </c>
      <c r="I5768" s="47"/>
    </row>
    <row r="5771" spans="3:11" x14ac:dyDescent="0.3">
      <c r="C5771" s="40" t="s">
        <v>1122</v>
      </c>
      <c r="D5771" s="68" t="s">
        <v>1123</v>
      </c>
      <c r="E5771" s="44"/>
      <c r="F5771" s="44"/>
      <c r="G5771" s="44"/>
      <c r="H5771" s="44"/>
      <c r="I5771" s="10">
        <f>ROUNDDOWN(H5788,0)</f>
        <v>251801</v>
      </c>
      <c r="J5771" s="15"/>
      <c r="K5771" s="39"/>
    </row>
    <row r="5772" spans="3:11" ht="27.6" x14ac:dyDescent="0.3">
      <c r="C5772" s="11" t="s">
        <v>9</v>
      </c>
      <c r="D5772" s="11" t="s">
        <v>10</v>
      </c>
      <c r="E5772" s="11" t="s">
        <v>11</v>
      </c>
      <c r="F5772" s="11" t="s">
        <v>12</v>
      </c>
      <c r="G5772" s="11" t="s">
        <v>13</v>
      </c>
      <c r="H5772" s="11" t="s">
        <v>14</v>
      </c>
    </row>
    <row r="5773" spans="3:11" x14ac:dyDescent="0.25">
      <c r="C5773" s="12" t="s">
        <v>15</v>
      </c>
      <c r="D5773" s="13" t="s">
        <v>16</v>
      </c>
      <c r="E5773" s="14"/>
      <c r="F5773" s="14"/>
      <c r="G5773" s="14"/>
      <c r="H5773" s="14"/>
    </row>
    <row r="5774" spans="3:11" x14ac:dyDescent="0.3">
      <c r="C5774" s="16">
        <v>1</v>
      </c>
      <c r="D5774" s="13" t="s">
        <v>18</v>
      </c>
      <c r="E5774" s="17" t="s">
        <v>19</v>
      </c>
      <c r="F5774" s="18">
        <v>6.4000000000000001E-2</v>
      </c>
      <c r="G5774" s="19">
        <f>VLOOKUP(D5774,upahbahan,3,FALSE)</f>
        <v>100000</v>
      </c>
      <c r="H5774" s="19">
        <f t="shared" ref="H5774:H5777" si="606">F5774*G5774</f>
        <v>6400</v>
      </c>
    </row>
    <row r="5775" spans="3:11" x14ac:dyDescent="0.3">
      <c r="C5775" s="16">
        <v>2</v>
      </c>
      <c r="D5775" s="13" t="s">
        <v>214</v>
      </c>
      <c r="E5775" s="17" t="s">
        <v>19</v>
      </c>
      <c r="F5775" s="18">
        <v>0.107</v>
      </c>
      <c r="G5775" s="19">
        <f>VLOOKUP(D5775,upahbahan,3,FALSE)</f>
        <v>145000</v>
      </c>
      <c r="H5775" s="19">
        <f t="shared" si="606"/>
        <v>15515</v>
      </c>
    </row>
    <row r="5776" spans="3:11" x14ac:dyDescent="0.3">
      <c r="C5776" s="16">
        <v>3</v>
      </c>
      <c r="D5776" s="13" t="s">
        <v>22</v>
      </c>
      <c r="E5776" s="17" t="s">
        <v>19</v>
      </c>
      <c r="F5776" s="18">
        <v>1.0999999999999999E-2</v>
      </c>
      <c r="G5776" s="19">
        <f>VLOOKUP(D5776,upahbahan,3,FALSE)</f>
        <v>175000</v>
      </c>
      <c r="H5776" s="19">
        <f t="shared" si="606"/>
        <v>1925</v>
      </c>
    </row>
    <row r="5777" spans="3:11" x14ac:dyDescent="0.3">
      <c r="C5777" s="16">
        <v>4</v>
      </c>
      <c r="D5777" s="13" t="s">
        <v>23</v>
      </c>
      <c r="E5777" s="17" t="s">
        <v>19</v>
      </c>
      <c r="F5777" s="18">
        <v>4.0000000000000001E-3</v>
      </c>
      <c r="G5777" s="19">
        <f>VLOOKUP(D5777,upahbahan,3,FALSE)</f>
        <v>200000</v>
      </c>
      <c r="H5777" s="19">
        <f t="shared" si="606"/>
        <v>800</v>
      </c>
    </row>
    <row r="5778" spans="3:11" x14ac:dyDescent="0.3">
      <c r="C5778" s="21" t="s">
        <v>24</v>
      </c>
      <c r="D5778" s="22"/>
      <c r="E5778" s="22"/>
      <c r="F5778" s="54"/>
      <c r="G5778" s="24"/>
      <c r="H5778" s="19">
        <f>SUM(H5774:H5777)</f>
        <v>24640</v>
      </c>
      <c r="I5778" s="25"/>
    </row>
    <row r="5779" spans="3:11" x14ac:dyDescent="0.25">
      <c r="C5779" s="12" t="s">
        <v>25</v>
      </c>
      <c r="D5779" s="13" t="s">
        <v>26</v>
      </c>
      <c r="E5779" s="14"/>
      <c r="F5779" s="55"/>
      <c r="G5779" s="14"/>
      <c r="H5779" s="14"/>
    </row>
    <row r="5780" spans="3:11" x14ac:dyDescent="0.25">
      <c r="C5780" s="12">
        <v>1</v>
      </c>
      <c r="D5780" s="13" t="s">
        <v>1121</v>
      </c>
      <c r="E5780" s="53" t="s">
        <v>949</v>
      </c>
      <c r="F5780" s="115">
        <v>1.1000000000000001</v>
      </c>
      <c r="G5780" s="19">
        <f>VLOOKUP(D5780,upahbahan,3,FALSE)</f>
        <v>70500</v>
      </c>
      <c r="H5780" s="19">
        <f>F5780*G5780</f>
        <v>77550</v>
      </c>
    </row>
    <row r="5781" spans="3:11" x14ac:dyDescent="0.25">
      <c r="C5781" s="12">
        <v>2</v>
      </c>
      <c r="D5781" s="13" t="s">
        <v>1115</v>
      </c>
      <c r="E5781" s="53" t="s">
        <v>506</v>
      </c>
      <c r="F5781" s="115">
        <v>1.1000000000000001</v>
      </c>
      <c r="G5781" s="19">
        <f>VLOOKUP(D5781,upahbahan,3,FALSE)</f>
        <v>5200</v>
      </c>
      <c r="H5781" s="19">
        <f>F5781*G5781</f>
        <v>5720.0000000000009</v>
      </c>
    </row>
    <row r="5782" spans="3:11" x14ac:dyDescent="0.25">
      <c r="C5782" s="12">
        <v>3</v>
      </c>
      <c r="D5782" s="13" t="s">
        <v>1118</v>
      </c>
      <c r="E5782" s="53" t="s">
        <v>506</v>
      </c>
      <c r="F5782" s="115">
        <v>1.1000000000000001</v>
      </c>
      <c r="G5782" s="19">
        <f>VLOOKUP(D5782,upahbahan,3,FALSE)</f>
        <v>110000</v>
      </c>
      <c r="H5782" s="19">
        <f>F5782*G5782</f>
        <v>121000.00000000001</v>
      </c>
    </row>
    <row r="5783" spans="3:11" x14ac:dyDescent="0.3">
      <c r="C5783" s="21" t="s">
        <v>29</v>
      </c>
      <c r="D5783" s="22"/>
      <c r="E5783" s="22"/>
      <c r="F5783" s="22"/>
      <c r="G5783" s="28"/>
      <c r="H5783" s="19">
        <f>SUM(H5780:H5782)</f>
        <v>204270</v>
      </c>
    </row>
    <row r="5784" spans="3:11" x14ac:dyDescent="0.25">
      <c r="C5784" s="12" t="s">
        <v>30</v>
      </c>
      <c r="D5784" s="13" t="s">
        <v>31</v>
      </c>
      <c r="E5784" s="14"/>
      <c r="F5784" s="14"/>
      <c r="G5784" s="14"/>
      <c r="H5784" s="14"/>
    </row>
    <row r="5785" spans="3:11" x14ac:dyDescent="0.3">
      <c r="C5785" s="21" t="s">
        <v>32</v>
      </c>
      <c r="D5785" s="77"/>
      <c r="E5785" s="77"/>
      <c r="F5785" s="77"/>
      <c r="G5785" s="28"/>
      <c r="H5785" s="29">
        <f>SUM(H5784)</f>
        <v>0</v>
      </c>
    </row>
    <row r="5786" spans="3:11" x14ac:dyDescent="0.3">
      <c r="C5786" s="30" t="s">
        <v>33</v>
      </c>
      <c r="D5786" s="31" t="s">
        <v>34</v>
      </c>
      <c r="E5786" s="32"/>
      <c r="F5786" s="32"/>
      <c r="G5786" s="33"/>
      <c r="H5786" s="46">
        <f>H5785+H5783+H5778</f>
        <v>228910</v>
      </c>
      <c r="I5786" s="47"/>
    </row>
    <row r="5787" spans="3:11" x14ac:dyDescent="0.3">
      <c r="C5787" s="30" t="s">
        <v>35</v>
      </c>
      <c r="D5787" s="31" t="s">
        <v>36</v>
      </c>
      <c r="E5787" s="32"/>
      <c r="F5787" s="33"/>
      <c r="G5787" s="34">
        <f>$M$9</f>
        <v>0.1</v>
      </c>
      <c r="H5787" s="19">
        <f>H5786*G5787</f>
        <v>22891</v>
      </c>
      <c r="I5787" s="47"/>
    </row>
    <row r="5788" spans="3:11" x14ac:dyDescent="0.3">
      <c r="C5788" s="30" t="s">
        <v>37</v>
      </c>
      <c r="D5788" s="31" t="s">
        <v>38</v>
      </c>
      <c r="E5788" s="32"/>
      <c r="F5788" s="32"/>
      <c r="G5788" s="33"/>
      <c r="H5788" s="48">
        <f>SUM(H5786:H5787)</f>
        <v>251801</v>
      </c>
      <c r="I5788" s="47"/>
    </row>
    <row r="5791" spans="3:11" x14ac:dyDescent="0.3">
      <c r="C5791" s="40" t="s">
        <v>1124</v>
      </c>
      <c r="D5791" s="68" t="s">
        <v>1125</v>
      </c>
      <c r="E5791" s="44"/>
      <c r="F5791" s="44"/>
      <c r="G5791" s="44"/>
      <c r="H5791" s="44"/>
      <c r="I5791" s="10">
        <f>ROUNDDOWN(H5806,0)</f>
        <v>374715</v>
      </c>
      <c r="J5791" s="15"/>
      <c r="K5791" s="39"/>
    </row>
    <row r="5792" spans="3:11" ht="27.6" x14ac:dyDescent="0.3">
      <c r="C5792" s="11" t="s">
        <v>9</v>
      </c>
      <c r="D5792" s="11" t="s">
        <v>10</v>
      </c>
      <c r="E5792" s="11" t="s">
        <v>11</v>
      </c>
      <c r="F5792" s="11" t="s">
        <v>12</v>
      </c>
      <c r="G5792" s="11" t="s">
        <v>13</v>
      </c>
      <c r="H5792" s="11" t="s">
        <v>14</v>
      </c>
    </row>
    <row r="5793" spans="3:11" x14ac:dyDescent="0.25">
      <c r="C5793" s="12" t="s">
        <v>15</v>
      </c>
      <c r="D5793" s="13" t="s">
        <v>16</v>
      </c>
      <c r="E5793" s="14"/>
      <c r="F5793" s="14"/>
      <c r="G5793" s="14"/>
      <c r="H5793" s="14"/>
    </row>
    <row r="5794" spans="3:11" x14ac:dyDescent="0.3">
      <c r="C5794" s="16">
        <v>1</v>
      </c>
      <c r="D5794" s="13" t="s">
        <v>18</v>
      </c>
      <c r="E5794" s="17" t="s">
        <v>19</v>
      </c>
      <c r="F5794" s="18">
        <v>0.129</v>
      </c>
      <c r="G5794" s="19">
        <f>VLOOKUP(D5794,upahbahan,3,FALSE)</f>
        <v>100000</v>
      </c>
      <c r="H5794" s="19">
        <f t="shared" ref="H5794:H5797" si="607">F5794*G5794</f>
        <v>12900</v>
      </c>
    </row>
    <row r="5795" spans="3:11" x14ac:dyDescent="0.3">
      <c r="C5795" s="16">
        <v>2</v>
      </c>
      <c r="D5795" s="13" t="s">
        <v>214</v>
      </c>
      <c r="E5795" s="17" t="s">
        <v>19</v>
      </c>
      <c r="F5795" s="18">
        <v>0.215</v>
      </c>
      <c r="G5795" s="19">
        <f>VLOOKUP(D5795,upahbahan,3,FALSE)</f>
        <v>145000</v>
      </c>
      <c r="H5795" s="19">
        <f t="shared" si="607"/>
        <v>31175</v>
      </c>
    </row>
    <row r="5796" spans="3:11" x14ac:dyDescent="0.3">
      <c r="C5796" s="16">
        <v>3</v>
      </c>
      <c r="D5796" s="13" t="s">
        <v>22</v>
      </c>
      <c r="E5796" s="17" t="s">
        <v>19</v>
      </c>
      <c r="F5796" s="18">
        <v>2.1000000000000001E-2</v>
      </c>
      <c r="G5796" s="19">
        <f>VLOOKUP(D5796,upahbahan,3,FALSE)</f>
        <v>175000</v>
      </c>
      <c r="H5796" s="19">
        <f t="shared" si="607"/>
        <v>3675.0000000000005</v>
      </c>
    </row>
    <row r="5797" spans="3:11" x14ac:dyDescent="0.3">
      <c r="C5797" s="16">
        <v>4</v>
      </c>
      <c r="D5797" s="13" t="s">
        <v>23</v>
      </c>
      <c r="E5797" s="17" t="s">
        <v>19</v>
      </c>
      <c r="F5797" s="18">
        <v>7.0000000000000001E-3</v>
      </c>
      <c r="G5797" s="19">
        <f>VLOOKUP(D5797,upahbahan,3,FALSE)</f>
        <v>200000</v>
      </c>
      <c r="H5797" s="19">
        <f t="shared" si="607"/>
        <v>1400</v>
      </c>
    </row>
    <row r="5798" spans="3:11" x14ac:dyDescent="0.3">
      <c r="C5798" s="21" t="s">
        <v>24</v>
      </c>
      <c r="D5798" s="22"/>
      <c r="E5798" s="22"/>
      <c r="F5798" s="54"/>
      <c r="G5798" s="24"/>
      <c r="H5798" s="19">
        <f>SUM(H5794:H5797)</f>
        <v>49150</v>
      </c>
      <c r="I5798" s="25"/>
    </row>
    <row r="5799" spans="3:11" x14ac:dyDescent="0.25">
      <c r="C5799" s="12" t="s">
        <v>25</v>
      </c>
      <c r="D5799" s="13" t="s">
        <v>26</v>
      </c>
      <c r="E5799" s="14"/>
      <c r="F5799" s="55"/>
      <c r="G5799" s="14"/>
      <c r="H5799" s="14"/>
    </row>
    <row r="5800" spans="3:11" x14ac:dyDescent="0.25">
      <c r="C5800" s="12">
        <v>1</v>
      </c>
      <c r="D5800" s="13" t="s">
        <v>1126</v>
      </c>
      <c r="E5800" s="53" t="s">
        <v>617</v>
      </c>
      <c r="F5800" s="115">
        <v>1.1000000000000001</v>
      </c>
      <c r="G5800" s="19">
        <f>VLOOKUP(D5800,upahbahan,3,FALSE)</f>
        <v>265000</v>
      </c>
      <c r="H5800" s="19">
        <f>F5800*G5800</f>
        <v>291500</v>
      </c>
    </row>
    <row r="5801" spans="3:11" x14ac:dyDescent="0.3">
      <c r="C5801" s="21" t="s">
        <v>29</v>
      </c>
      <c r="D5801" s="22"/>
      <c r="E5801" s="22"/>
      <c r="F5801" s="22"/>
      <c r="G5801" s="28"/>
      <c r="H5801" s="19">
        <f>SUM(H5800:H5800)</f>
        <v>291500</v>
      </c>
    </row>
    <row r="5802" spans="3:11" x14ac:dyDescent="0.25">
      <c r="C5802" s="12" t="s">
        <v>30</v>
      </c>
      <c r="D5802" s="13" t="s">
        <v>31</v>
      </c>
      <c r="E5802" s="14"/>
      <c r="F5802" s="14"/>
      <c r="G5802" s="14"/>
      <c r="H5802" s="14"/>
    </row>
    <row r="5803" spans="3:11" x14ac:dyDescent="0.3">
      <c r="C5803" s="21" t="s">
        <v>32</v>
      </c>
      <c r="D5803" s="77"/>
      <c r="E5803" s="77"/>
      <c r="F5803" s="77"/>
      <c r="G5803" s="28"/>
      <c r="H5803" s="29">
        <f>SUM(H5802)</f>
        <v>0</v>
      </c>
    </row>
    <row r="5804" spans="3:11" x14ac:dyDescent="0.3">
      <c r="C5804" s="30" t="s">
        <v>33</v>
      </c>
      <c r="D5804" s="31" t="s">
        <v>34</v>
      </c>
      <c r="E5804" s="32"/>
      <c r="F5804" s="32"/>
      <c r="G5804" s="33"/>
      <c r="H5804" s="46">
        <f>H5803+H5801+H5798</f>
        <v>340650</v>
      </c>
      <c r="I5804" s="47"/>
    </row>
    <row r="5805" spans="3:11" x14ac:dyDescent="0.3">
      <c r="C5805" s="30" t="s">
        <v>35</v>
      </c>
      <c r="D5805" s="31" t="s">
        <v>36</v>
      </c>
      <c r="E5805" s="32"/>
      <c r="F5805" s="33"/>
      <c r="G5805" s="34">
        <f>$M$9</f>
        <v>0.1</v>
      </c>
      <c r="H5805" s="19">
        <f>H5804*G5805</f>
        <v>34065</v>
      </c>
      <c r="I5805" s="47"/>
    </row>
    <row r="5806" spans="3:11" x14ac:dyDescent="0.3">
      <c r="C5806" s="30" t="s">
        <v>37</v>
      </c>
      <c r="D5806" s="31" t="s">
        <v>38</v>
      </c>
      <c r="E5806" s="32"/>
      <c r="F5806" s="32"/>
      <c r="G5806" s="33"/>
      <c r="H5806" s="48">
        <f>SUM(H5804:H5805)</f>
        <v>374715</v>
      </c>
      <c r="I5806" s="47"/>
    </row>
    <row r="5808" spans="3:11" x14ac:dyDescent="0.3">
      <c r="C5808" s="40" t="s">
        <v>1127</v>
      </c>
      <c r="D5808" s="68" t="s">
        <v>1128</v>
      </c>
      <c r="E5808" s="44"/>
      <c r="F5808" s="44"/>
      <c r="G5808" s="44"/>
      <c r="H5808" s="44"/>
      <c r="I5808" s="10">
        <f>ROUNDDOWN(H5823,0)</f>
        <v>205315</v>
      </c>
      <c r="J5808" s="15"/>
      <c r="K5808" s="39"/>
    </row>
    <row r="5809" spans="3:9" ht="27.6" x14ac:dyDescent="0.3">
      <c r="C5809" s="11" t="s">
        <v>9</v>
      </c>
      <c r="D5809" s="11" t="s">
        <v>10</v>
      </c>
      <c r="E5809" s="11" t="s">
        <v>11</v>
      </c>
      <c r="F5809" s="11" t="s">
        <v>12</v>
      </c>
      <c r="G5809" s="11" t="s">
        <v>13</v>
      </c>
      <c r="H5809" s="11" t="s">
        <v>14</v>
      </c>
    </row>
    <row r="5810" spans="3:9" x14ac:dyDescent="0.25">
      <c r="C5810" s="12" t="s">
        <v>15</v>
      </c>
      <c r="D5810" s="13" t="s">
        <v>16</v>
      </c>
      <c r="E5810" s="14"/>
      <c r="F5810" s="14"/>
      <c r="G5810" s="14"/>
      <c r="H5810" s="14"/>
    </row>
    <row r="5811" spans="3:9" x14ac:dyDescent="0.3">
      <c r="C5811" s="16">
        <v>1</v>
      </c>
      <c r="D5811" s="13" t="s">
        <v>18</v>
      </c>
      <c r="E5811" s="17" t="s">
        <v>19</v>
      </c>
      <c r="F5811" s="18">
        <v>0.129</v>
      </c>
      <c r="G5811" s="19">
        <f>VLOOKUP(D5811,upahbahan,3,FALSE)</f>
        <v>100000</v>
      </c>
      <c r="H5811" s="19">
        <f t="shared" ref="H5811:H5814" si="608">F5811*G5811</f>
        <v>12900</v>
      </c>
    </row>
    <row r="5812" spans="3:9" x14ac:dyDescent="0.3">
      <c r="C5812" s="16">
        <v>2</v>
      </c>
      <c r="D5812" s="13" t="s">
        <v>214</v>
      </c>
      <c r="E5812" s="17" t="s">
        <v>19</v>
      </c>
      <c r="F5812" s="18">
        <v>0.215</v>
      </c>
      <c r="G5812" s="19">
        <f>VLOOKUP(D5812,upahbahan,3,FALSE)</f>
        <v>145000</v>
      </c>
      <c r="H5812" s="19">
        <f t="shared" si="608"/>
        <v>31175</v>
      </c>
    </row>
    <row r="5813" spans="3:9" x14ac:dyDescent="0.3">
      <c r="C5813" s="16">
        <v>3</v>
      </c>
      <c r="D5813" s="13" t="s">
        <v>22</v>
      </c>
      <c r="E5813" s="17" t="s">
        <v>19</v>
      </c>
      <c r="F5813" s="18">
        <v>2.1000000000000001E-2</v>
      </c>
      <c r="G5813" s="19">
        <f>VLOOKUP(D5813,upahbahan,3,FALSE)</f>
        <v>175000</v>
      </c>
      <c r="H5813" s="19">
        <f t="shared" si="608"/>
        <v>3675.0000000000005</v>
      </c>
    </row>
    <row r="5814" spans="3:9" x14ac:dyDescent="0.3">
      <c r="C5814" s="16">
        <v>4</v>
      </c>
      <c r="D5814" s="13" t="s">
        <v>23</v>
      </c>
      <c r="E5814" s="17" t="s">
        <v>19</v>
      </c>
      <c r="F5814" s="18">
        <v>7.0000000000000001E-3</v>
      </c>
      <c r="G5814" s="19">
        <f>VLOOKUP(D5814,upahbahan,3,FALSE)</f>
        <v>200000</v>
      </c>
      <c r="H5814" s="19">
        <f t="shared" si="608"/>
        <v>1400</v>
      </c>
    </row>
    <row r="5815" spans="3:9" x14ac:dyDescent="0.3">
      <c r="C5815" s="21" t="s">
        <v>24</v>
      </c>
      <c r="D5815" s="22"/>
      <c r="E5815" s="22"/>
      <c r="F5815" s="54"/>
      <c r="G5815" s="24"/>
      <c r="H5815" s="19">
        <f>SUM(H5811:H5814)</f>
        <v>49150</v>
      </c>
      <c r="I5815" s="25"/>
    </row>
    <row r="5816" spans="3:9" x14ac:dyDescent="0.25">
      <c r="C5816" s="12" t="s">
        <v>25</v>
      </c>
      <c r="D5816" s="13" t="s">
        <v>26</v>
      </c>
      <c r="E5816" s="14"/>
      <c r="F5816" s="55"/>
      <c r="G5816" s="14"/>
      <c r="H5816" s="14"/>
    </row>
    <row r="5817" spans="3:9" x14ac:dyDescent="0.25">
      <c r="C5817" s="12">
        <v>1</v>
      </c>
      <c r="D5817" s="13" t="s">
        <v>1129</v>
      </c>
      <c r="E5817" s="53" t="s">
        <v>617</v>
      </c>
      <c r="F5817" s="115">
        <v>1.1000000000000001</v>
      </c>
      <c r="G5817" s="19">
        <f>VLOOKUP(D5817,upahbahan,3,FALSE)</f>
        <v>125000</v>
      </c>
      <c r="H5817" s="19">
        <f>F5817*G5817</f>
        <v>137500</v>
      </c>
    </row>
    <row r="5818" spans="3:9" x14ac:dyDescent="0.3">
      <c r="C5818" s="21" t="s">
        <v>29</v>
      </c>
      <c r="D5818" s="22"/>
      <c r="E5818" s="22"/>
      <c r="F5818" s="22"/>
      <c r="G5818" s="28"/>
      <c r="H5818" s="19">
        <f>SUM(H5817:H5817)</f>
        <v>137500</v>
      </c>
    </row>
    <row r="5819" spans="3:9" x14ac:dyDescent="0.25">
      <c r="C5819" s="12" t="s">
        <v>30</v>
      </c>
      <c r="D5819" s="13" t="s">
        <v>31</v>
      </c>
      <c r="E5819" s="14"/>
      <c r="F5819" s="14"/>
      <c r="G5819" s="14"/>
      <c r="H5819" s="14"/>
    </row>
    <row r="5820" spans="3:9" x14ac:dyDescent="0.3">
      <c r="C5820" s="21" t="s">
        <v>32</v>
      </c>
      <c r="D5820" s="77"/>
      <c r="E5820" s="77"/>
      <c r="F5820" s="77"/>
      <c r="G5820" s="28"/>
      <c r="H5820" s="29">
        <f>SUM(H5819)</f>
        <v>0</v>
      </c>
    </row>
    <row r="5821" spans="3:9" x14ac:dyDescent="0.3">
      <c r="C5821" s="30" t="s">
        <v>33</v>
      </c>
      <c r="D5821" s="31" t="s">
        <v>34</v>
      </c>
      <c r="E5821" s="32"/>
      <c r="F5821" s="32"/>
      <c r="G5821" s="33"/>
      <c r="H5821" s="46">
        <f>H5820+H5818+H5815</f>
        <v>186650</v>
      </c>
      <c r="I5821" s="47"/>
    </row>
    <row r="5822" spans="3:9" x14ac:dyDescent="0.3">
      <c r="C5822" s="30" t="s">
        <v>35</v>
      </c>
      <c r="D5822" s="31" t="s">
        <v>36</v>
      </c>
      <c r="E5822" s="32"/>
      <c r="F5822" s="33"/>
      <c r="G5822" s="34">
        <f>$M$9</f>
        <v>0.1</v>
      </c>
      <c r="H5822" s="19">
        <f>H5821*G5822</f>
        <v>18665</v>
      </c>
      <c r="I5822" s="47"/>
    </row>
    <row r="5823" spans="3:9" x14ac:dyDescent="0.3">
      <c r="C5823" s="30" t="s">
        <v>37</v>
      </c>
      <c r="D5823" s="31" t="s">
        <v>38</v>
      </c>
      <c r="E5823" s="32"/>
      <c r="F5823" s="32"/>
      <c r="G5823" s="33"/>
      <c r="H5823" s="48">
        <f>SUM(H5821:H5822)</f>
        <v>205315</v>
      </c>
      <c r="I5823" s="47"/>
    </row>
    <row r="5825" spans="3:11" x14ac:dyDescent="0.3">
      <c r="C5825" s="40" t="s">
        <v>1130</v>
      </c>
      <c r="D5825" s="68" t="s">
        <v>1131</v>
      </c>
      <c r="E5825" s="44"/>
      <c r="F5825" s="44"/>
      <c r="G5825" s="44"/>
      <c r="H5825" s="44"/>
      <c r="I5825" s="10">
        <f>ROUNDDOWN(H5841,0)</f>
        <v>116985</v>
      </c>
      <c r="J5825" s="15"/>
      <c r="K5825" s="39"/>
    </row>
    <row r="5826" spans="3:11" ht="27.6" x14ac:dyDescent="0.3">
      <c r="C5826" s="11" t="s">
        <v>9</v>
      </c>
      <c r="D5826" s="11" t="s">
        <v>10</v>
      </c>
      <c r="E5826" s="11" t="s">
        <v>11</v>
      </c>
      <c r="F5826" s="11" t="s">
        <v>12</v>
      </c>
      <c r="G5826" s="11" t="s">
        <v>13</v>
      </c>
      <c r="H5826" s="11" t="s">
        <v>14</v>
      </c>
    </row>
    <row r="5827" spans="3:11" x14ac:dyDescent="0.25">
      <c r="C5827" s="12" t="s">
        <v>15</v>
      </c>
      <c r="D5827" s="13" t="s">
        <v>16</v>
      </c>
      <c r="E5827" s="14"/>
      <c r="F5827" s="14"/>
      <c r="G5827" s="14"/>
      <c r="H5827" s="14"/>
    </row>
    <row r="5828" spans="3:11" x14ac:dyDescent="0.3">
      <c r="C5828" s="16">
        <v>1</v>
      </c>
      <c r="D5828" s="13" t="s">
        <v>18</v>
      </c>
      <c r="E5828" s="17" t="s">
        <v>19</v>
      </c>
      <c r="F5828" s="18">
        <v>0.129</v>
      </c>
      <c r="G5828" s="19">
        <f>VLOOKUP(D5828,upahbahan,3,FALSE)</f>
        <v>100000</v>
      </c>
      <c r="H5828" s="19">
        <f t="shared" ref="H5828:H5831" si="609">F5828*G5828</f>
        <v>12900</v>
      </c>
    </row>
    <row r="5829" spans="3:11" x14ac:dyDescent="0.3">
      <c r="C5829" s="16">
        <v>2</v>
      </c>
      <c r="D5829" s="13" t="s">
        <v>214</v>
      </c>
      <c r="E5829" s="17" t="s">
        <v>19</v>
      </c>
      <c r="F5829" s="18">
        <v>0.215</v>
      </c>
      <c r="G5829" s="19">
        <f>VLOOKUP(D5829,upahbahan,3,FALSE)</f>
        <v>145000</v>
      </c>
      <c r="H5829" s="19">
        <f t="shared" si="609"/>
        <v>31175</v>
      </c>
    </row>
    <row r="5830" spans="3:11" x14ac:dyDescent="0.3">
      <c r="C5830" s="16">
        <v>3</v>
      </c>
      <c r="D5830" s="13" t="s">
        <v>22</v>
      </c>
      <c r="E5830" s="17" t="s">
        <v>19</v>
      </c>
      <c r="F5830" s="18">
        <v>2.1000000000000001E-2</v>
      </c>
      <c r="G5830" s="19">
        <f>VLOOKUP(D5830,upahbahan,3,FALSE)</f>
        <v>175000</v>
      </c>
      <c r="H5830" s="19">
        <f t="shared" si="609"/>
        <v>3675.0000000000005</v>
      </c>
    </row>
    <row r="5831" spans="3:11" x14ac:dyDescent="0.3">
      <c r="C5831" s="16">
        <v>4</v>
      </c>
      <c r="D5831" s="13" t="s">
        <v>23</v>
      </c>
      <c r="E5831" s="17" t="s">
        <v>19</v>
      </c>
      <c r="F5831" s="18">
        <v>7.0000000000000001E-3</v>
      </c>
      <c r="G5831" s="19">
        <f>VLOOKUP(D5831,upahbahan,3,FALSE)</f>
        <v>200000</v>
      </c>
      <c r="H5831" s="19">
        <f t="shared" si="609"/>
        <v>1400</v>
      </c>
    </row>
    <row r="5832" spans="3:11" x14ac:dyDescent="0.3">
      <c r="C5832" s="21" t="s">
        <v>24</v>
      </c>
      <c r="D5832" s="22"/>
      <c r="E5832" s="22"/>
      <c r="F5832" s="54"/>
      <c r="G5832" s="24"/>
      <c r="H5832" s="19">
        <f>SUM(H5828:H5831)</f>
        <v>49150</v>
      </c>
      <c r="I5832" s="25"/>
    </row>
    <row r="5833" spans="3:11" x14ac:dyDescent="0.25">
      <c r="C5833" s="12" t="s">
        <v>25</v>
      </c>
      <c r="D5833" s="13" t="s">
        <v>26</v>
      </c>
      <c r="E5833" s="14"/>
      <c r="F5833" s="55"/>
      <c r="G5833" s="14"/>
      <c r="H5833" s="14"/>
    </row>
    <row r="5834" spans="3:11" x14ac:dyDescent="0.25">
      <c r="C5834" s="12">
        <v>1</v>
      </c>
      <c r="D5834" s="13" t="s">
        <v>1132</v>
      </c>
      <c r="E5834" s="53" t="s">
        <v>617</v>
      </c>
      <c r="F5834" s="115">
        <v>1.1000000000000001</v>
      </c>
      <c r="G5834" s="19">
        <f>VLOOKUP(D5834,upahbahan,3,FALSE)</f>
        <v>34000</v>
      </c>
      <c r="H5834" s="19">
        <f>F5834*G5834</f>
        <v>37400</v>
      </c>
    </row>
    <row r="5835" spans="3:11" x14ac:dyDescent="0.25">
      <c r="C5835" s="12">
        <v>2</v>
      </c>
      <c r="D5835" s="13" t="s">
        <v>1133</v>
      </c>
      <c r="E5835" s="53" t="s">
        <v>617</v>
      </c>
      <c r="F5835" s="115">
        <v>1.1000000000000001</v>
      </c>
      <c r="G5835" s="19">
        <f>VLOOKUP(D5835,upahbahan,3,FALSE)</f>
        <v>18000</v>
      </c>
      <c r="H5835" s="19">
        <f>F5835*G5835</f>
        <v>19800</v>
      </c>
    </row>
    <row r="5836" spans="3:11" x14ac:dyDescent="0.3">
      <c r="C5836" s="21" t="s">
        <v>29</v>
      </c>
      <c r="D5836" s="22"/>
      <c r="E5836" s="22"/>
      <c r="F5836" s="22"/>
      <c r="G5836" s="28"/>
      <c r="H5836" s="19">
        <f>SUM(H5834:H5835)</f>
        <v>57200</v>
      </c>
    </row>
    <row r="5837" spans="3:11" x14ac:dyDescent="0.25">
      <c r="C5837" s="12" t="s">
        <v>30</v>
      </c>
      <c r="D5837" s="13" t="s">
        <v>31</v>
      </c>
      <c r="E5837" s="14"/>
      <c r="F5837" s="14"/>
      <c r="G5837" s="14"/>
      <c r="H5837" s="14"/>
    </row>
    <row r="5838" spans="3:11" x14ac:dyDescent="0.3">
      <c r="C5838" s="21" t="s">
        <v>32</v>
      </c>
      <c r="D5838" s="77"/>
      <c r="E5838" s="77"/>
      <c r="F5838" s="77"/>
      <c r="G5838" s="28"/>
      <c r="H5838" s="29">
        <f>SUM(H5837)</f>
        <v>0</v>
      </c>
    </row>
    <row r="5839" spans="3:11" x14ac:dyDescent="0.3">
      <c r="C5839" s="30" t="s">
        <v>33</v>
      </c>
      <c r="D5839" s="31" t="s">
        <v>34</v>
      </c>
      <c r="E5839" s="32"/>
      <c r="F5839" s="32"/>
      <c r="G5839" s="33"/>
      <c r="H5839" s="46">
        <f>H5838+H5836+H5832</f>
        <v>106350</v>
      </c>
      <c r="I5839" s="47"/>
    </row>
    <row r="5840" spans="3:11" x14ac:dyDescent="0.3">
      <c r="C5840" s="30" t="s">
        <v>35</v>
      </c>
      <c r="D5840" s="31" t="s">
        <v>36</v>
      </c>
      <c r="E5840" s="32"/>
      <c r="F5840" s="33"/>
      <c r="G5840" s="34">
        <f>$M$9</f>
        <v>0.1</v>
      </c>
      <c r="H5840" s="19">
        <f>H5839*G5840</f>
        <v>10635</v>
      </c>
      <c r="I5840" s="47"/>
    </row>
    <row r="5841" spans="3:11" x14ac:dyDescent="0.3">
      <c r="C5841" s="30" t="s">
        <v>37</v>
      </c>
      <c r="D5841" s="31" t="s">
        <v>38</v>
      </c>
      <c r="E5841" s="32"/>
      <c r="F5841" s="32"/>
      <c r="G5841" s="33"/>
      <c r="H5841" s="48">
        <f>SUM(H5839:H5840)</f>
        <v>116985</v>
      </c>
      <c r="I5841" s="47"/>
    </row>
    <row r="5843" spans="3:11" x14ac:dyDescent="0.3">
      <c r="C5843" s="40" t="s">
        <v>1134</v>
      </c>
      <c r="D5843" s="68" t="s">
        <v>1135</v>
      </c>
      <c r="E5843" s="44"/>
      <c r="F5843" s="44"/>
      <c r="G5843" s="44"/>
      <c r="H5843" s="44"/>
      <c r="I5843" s="10">
        <f>ROUNDDOWN(H5858,0)</f>
        <v>2245595</v>
      </c>
      <c r="J5843" s="15"/>
      <c r="K5843" s="39"/>
    </row>
    <row r="5844" spans="3:11" ht="27.6" x14ac:dyDescent="0.3">
      <c r="C5844" s="11" t="s">
        <v>9</v>
      </c>
      <c r="D5844" s="11" t="s">
        <v>10</v>
      </c>
      <c r="E5844" s="11" t="s">
        <v>11</v>
      </c>
      <c r="F5844" s="11" t="s">
        <v>12</v>
      </c>
      <c r="G5844" s="11" t="s">
        <v>13</v>
      </c>
      <c r="H5844" s="11" t="s">
        <v>14</v>
      </c>
    </row>
    <row r="5845" spans="3:11" x14ac:dyDescent="0.25">
      <c r="C5845" s="12" t="s">
        <v>15</v>
      </c>
      <c r="D5845" s="13" t="s">
        <v>16</v>
      </c>
      <c r="E5845" s="14"/>
      <c r="F5845" s="14"/>
      <c r="G5845" s="14"/>
      <c r="H5845" s="14"/>
    </row>
    <row r="5846" spans="3:11" x14ac:dyDescent="0.3">
      <c r="C5846" s="16">
        <v>1</v>
      </c>
      <c r="D5846" s="13" t="s">
        <v>18</v>
      </c>
      <c r="E5846" s="17" t="s">
        <v>19</v>
      </c>
      <c r="F5846" s="18">
        <v>0.255</v>
      </c>
      <c r="G5846" s="19">
        <f>VLOOKUP(D5846,upahbahan,3,FALSE)</f>
        <v>100000</v>
      </c>
      <c r="H5846" s="19">
        <f t="shared" ref="H5846:H5849" si="610">F5846*G5846</f>
        <v>25500</v>
      </c>
    </row>
    <row r="5847" spans="3:11" x14ac:dyDescent="0.3">
      <c r="C5847" s="16">
        <v>2</v>
      </c>
      <c r="D5847" s="13" t="s">
        <v>214</v>
      </c>
      <c r="E5847" s="17" t="s">
        <v>19</v>
      </c>
      <c r="F5847" s="18">
        <v>0.42499999999999999</v>
      </c>
      <c r="G5847" s="19">
        <f>VLOOKUP(D5847,upahbahan,3,FALSE)</f>
        <v>145000</v>
      </c>
      <c r="H5847" s="19">
        <f t="shared" si="610"/>
        <v>61625</v>
      </c>
    </row>
    <row r="5848" spans="3:11" x14ac:dyDescent="0.3">
      <c r="C5848" s="16">
        <v>3</v>
      </c>
      <c r="D5848" s="13" t="s">
        <v>22</v>
      </c>
      <c r="E5848" s="17" t="s">
        <v>19</v>
      </c>
      <c r="F5848" s="18">
        <v>4.2999999999999997E-2</v>
      </c>
      <c r="G5848" s="19">
        <f>VLOOKUP(D5848,upahbahan,3,FALSE)</f>
        <v>175000</v>
      </c>
      <c r="H5848" s="19">
        <f t="shared" si="610"/>
        <v>7524.9999999999991</v>
      </c>
    </row>
    <row r="5849" spans="3:11" x14ac:dyDescent="0.3">
      <c r="C5849" s="16">
        <v>4</v>
      </c>
      <c r="D5849" s="13" t="s">
        <v>23</v>
      </c>
      <c r="E5849" s="17" t="s">
        <v>19</v>
      </c>
      <c r="F5849" s="18">
        <v>1.4E-2</v>
      </c>
      <c r="G5849" s="19">
        <f>VLOOKUP(D5849,upahbahan,3,FALSE)</f>
        <v>200000</v>
      </c>
      <c r="H5849" s="19">
        <f t="shared" si="610"/>
        <v>2800</v>
      </c>
    </row>
    <row r="5850" spans="3:11" x14ac:dyDescent="0.3">
      <c r="C5850" s="21" t="s">
        <v>24</v>
      </c>
      <c r="D5850" s="22"/>
      <c r="E5850" s="22"/>
      <c r="F5850" s="54"/>
      <c r="G5850" s="24"/>
      <c r="H5850" s="19">
        <f>SUM(H5846:H5849)</f>
        <v>97450</v>
      </c>
      <c r="I5850" s="25"/>
    </row>
    <row r="5851" spans="3:11" x14ac:dyDescent="0.25">
      <c r="C5851" s="12" t="s">
        <v>25</v>
      </c>
      <c r="D5851" s="13" t="s">
        <v>26</v>
      </c>
      <c r="E5851" s="14"/>
      <c r="F5851" s="55"/>
      <c r="G5851" s="14"/>
      <c r="H5851" s="14"/>
    </row>
    <row r="5852" spans="3:11" x14ac:dyDescent="0.25">
      <c r="C5852" s="12">
        <v>1</v>
      </c>
      <c r="D5852" s="13" t="s">
        <v>1136</v>
      </c>
      <c r="E5852" s="53" t="s">
        <v>617</v>
      </c>
      <c r="F5852" s="115">
        <v>1.2</v>
      </c>
      <c r="G5852" s="19">
        <f>VLOOKUP(D5852,upahbahan,3,FALSE)</f>
        <v>1620000</v>
      </c>
      <c r="H5852" s="19">
        <f>F5852*G5852</f>
        <v>1944000</v>
      </c>
    </row>
    <row r="5853" spans="3:11" x14ac:dyDescent="0.3">
      <c r="C5853" s="21" t="s">
        <v>29</v>
      </c>
      <c r="D5853" s="22"/>
      <c r="E5853" s="22"/>
      <c r="F5853" s="22"/>
      <c r="G5853" s="28"/>
      <c r="H5853" s="19">
        <f>SUM(H5852:H5852)</f>
        <v>1944000</v>
      </c>
    </row>
    <row r="5854" spans="3:11" x14ac:dyDescent="0.25">
      <c r="C5854" s="12" t="s">
        <v>30</v>
      </c>
      <c r="D5854" s="13" t="s">
        <v>31</v>
      </c>
      <c r="E5854" s="14"/>
      <c r="F5854" s="14"/>
      <c r="G5854" s="14"/>
      <c r="H5854" s="14"/>
    </row>
    <row r="5855" spans="3:11" x14ac:dyDescent="0.3">
      <c r="C5855" s="21" t="s">
        <v>32</v>
      </c>
      <c r="D5855" s="77"/>
      <c r="E5855" s="77"/>
      <c r="F5855" s="77"/>
      <c r="G5855" s="28"/>
      <c r="H5855" s="29">
        <f>SUM(H5854)</f>
        <v>0</v>
      </c>
    </row>
    <row r="5856" spans="3:11" x14ac:dyDescent="0.3">
      <c r="C5856" s="30" t="s">
        <v>33</v>
      </c>
      <c r="D5856" s="31" t="s">
        <v>34</v>
      </c>
      <c r="E5856" s="32"/>
      <c r="F5856" s="32"/>
      <c r="G5856" s="33"/>
      <c r="H5856" s="46">
        <f>H5855+H5853+H5850</f>
        <v>2041450</v>
      </c>
      <c r="I5856" s="47"/>
    </row>
    <row r="5857" spans="3:11" x14ac:dyDescent="0.3">
      <c r="C5857" s="30" t="s">
        <v>35</v>
      </c>
      <c r="D5857" s="31" t="s">
        <v>36</v>
      </c>
      <c r="E5857" s="32"/>
      <c r="F5857" s="33"/>
      <c r="G5857" s="34">
        <f>$M$9</f>
        <v>0.1</v>
      </c>
      <c r="H5857" s="19">
        <f>H5856*G5857</f>
        <v>204145</v>
      </c>
      <c r="I5857" s="47"/>
    </row>
    <row r="5858" spans="3:11" x14ac:dyDescent="0.3">
      <c r="C5858" s="30" t="s">
        <v>37</v>
      </c>
      <c r="D5858" s="31" t="s">
        <v>38</v>
      </c>
      <c r="E5858" s="32"/>
      <c r="F5858" s="32"/>
      <c r="G5858" s="33"/>
      <c r="H5858" s="48">
        <f>SUM(H5856:H5857)</f>
        <v>2245595</v>
      </c>
      <c r="I5858" s="47"/>
    </row>
    <row r="5860" spans="3:11" x14ac:dyDescent="0.3">
      <c r="C5860" s="40" t="s">
        <v>1137</v>
      </c>
      <c r="D5860" s="68" t="s">
        <v>1138</v>
      </c>
      <c r="E5860" s="44"/>
      <c r="F5860" s="44"/>
      <c r="G5860" s="44"/>
      <c r="H5860" s="44"/>
      <c r="I5860" s="10">
        <f>ROUNDDOWN(H5875,0)</f>
        <v>211079</v>
      </c>
      <c r="J5860" s="15"/>
      <c r="K5860" s="39"/>
    </row>
    <row r="5861" spans="3:11" ht="27.6" x14ac:dyDescent="0.3">
      <c r="C5861" s="11" t="s">
        <v>9</v>
      </c>
      <c r="D5861" s="11" t="s">
        <v>10</v>
      </c>
      <c r="E5861" s="11" t="s">
        <v>11</v>
      </c>
      <c r="F5861" s="11" t="s">
        <v>12</v>
      </c>
      <c r="G5861" s="11" t="s">
        <v>13</v>
      </c>
      <c r="H5861" s="11" t="s">
        <v>14</v>
      </c>
    </row>
    <row r="5862" spans="3:11" x14ac:dyDescent="0.25">
      <c r="C5862" s="12" t="s">
        <v>15</v>
      </c>
      <c r="D5862" s="13" t="s">
        <v>16</v>
      </c>
      <c r="E5862" s="14"/>
      <c r="F5862" s="14"/>
      <c r="G5862" s="14"/>
      <c r="H5862" s="14"/>
    </row>
    <row r="5863" spans="3:11" x14ac:dyDescent="0.3">
      <c r="C5863" s="16">
        <v>1</v>
      </c>
      <c r="D5863" s="13" t="s">
        <v>18</v>
      </c>
      <c r="E5863" s="17" t="s">
        <v>19</v>
      </c>
      <c r="F5863" s="18">
        <v>7.5999999999999998E-2</v>
      </c>
      <c r="G5863" s="19">
        <f>VLOOKUP(D5863,upahbahan,3,FALSE)</f>
        <v>100000</v>
      </c>
      <c r="H5863" s="19">
        <f t="shared" ref="H5863:H5866" si="611">F5863*G5863</f>
        <v>7600</v>
      </c>
    </row>
    <row r="5864" spans="3:11" x14ac:dyDescent="0.3">
      <c r="C5864" s="16">
        <v>2</v>
      </c>
      <c r="D5864" s="13" t="s">
        <v>214</v>
      </c>
      <c r="E5864" s="17" t="s">
        <v>19</v>
      </c>
      <c r="F5864" s="18">
        <v>0.127</v>
      </c>
      <c r="G5864" s="19">
        <f>VLOOKUP(D5864,upahbahan,3,FALSE)</f>
        <v>145000</v>
      </c>
      <c r="H5864" s="19">
        <f t="shared" si="611"/>
        <v>18415</v>
      </c>
    </row>
    <row r="5865" spans="3:11" x14ac:dyDescent="0.3">
      <c r="C5865" s="16">
        <v>3</v>
      </c>
      <c r="D5865" s="13" t="s">
        <v>22</v>
      </c>
      <c r="E5865" s="17" t="s">
        <v>19</v>
      </c>
      <c r="F5865" s="18">
        <v>1.2999999999999999E-2</v>
      </c>
      <c r="G5865" s="19">
        <f>VLOOKUP(D5865,upahbahan,3,FALSE)</f>
        <v>175000</v>
      </c>
      <c r="H5865" s="19">
        <f t="shared" si="611"/>
        <v>2275</v>
      </c>
    </row>
    <row r="5866" spans="3:11" x14ac:dyDescent="0.3">
      <c r="C5866" s="16">
        <v>4</v>
      </c>
      <c r="D5866" s="13" t="s">
        <v>23</v>
      </c>
      <c r="E5866" s="17" t="s">
        <v>19</v>
      </c>
      <c r="F5866" s="18">
        <v>4.0000000000000001E-3</v>
      </c>
      <c r="G5866" s="19">
        <f>VLOOKUP(D5866,upahbahan,3,FALSE)</f>
        <v>200000</v>
      </c>
      <c r="H5866" s="19">
        <f t="shared" si="611"/>
        <v>800</v>
      </c>
    </row>
    <row r="5867" spans="3:11" x14ac:dyDescent="0.3">
      <c r="C5867" s="21" t="s">
        <v>24</v>
      </c>
      <c r="D5867" s="22"/>
      <c r="E5867" s="22"/>
      <c r="F5867" s="54"/>
      <c r="G5867" s="24"/>
      <c r="H5867" s="19">
        <f>SUM(H5863:H5866)</f>
        <v>29090</v>
      </c>
      <c r="I5867" s="25"/>
    </row>
    <row r="5868" spans="3:11" x14ac:dyDescent="0.25">
      <c r="C5868" s="12" t="s">
        <v>25</v>
      </c>
      <c r="D5868" s="13" t="s">
        <v>26</v>
      </c>
      <c r="E5868" s="14"/>
      <c r="F5868" s="55"/>
      <c r="G5868" s="14"/>
      <c r="H5868" s="14"/>
    </row>
    <row r="5869" spans="3:11" x14ac:dyDescent="0.25">
      <c r="C5869" s="12">
        <v>1</v>
      </c>
      <c r="D5869" s="13" t="s">
        <v>1139</v>
      </c>
      <c r="E5869" s="53" t="s">
        <v>949</v>
      </c>
      <c r="F5869" s="115">
        <v>1.1000000000000001</v>
      </c>
      <c r="G5869" s="19">
        <f>VLOOKUP(D5869,upahbahan,3,FALSE)</f>
        <v>148000</v>
      </c>
      <c r="H5869" s="19">
        <f>F5869*G5869</f>
        <v>162800</v>
      </c>
    </row>
    <row r="5870" spans="3:11" x14ac:dyDescent="0.3">
      <c r="C5870" s="21" t="s">
        <v>29</v>
      </c>
      <c r="D5870" s="22"/>
      <c r="E5870" s="22"/>
      <c r="F5870" s="22"/>
      <c r="G5870" s="28"/>
      <c r="H5870" s="19">
        <f>SUM(H5869:H5869)</f>
        <v>162800</v>
      </c>
    </row>
    <row r="5871" spans="3:11" x14ac:dyDescent="0.25">
      <c r="C5871" s="12" t="s">
        <v>30</v>
      </c>
      <c r="D5871" s="13" t="s">
        <v>31</v>
      </c>
      <c r="E5871" s="14"/>
      <c r="F5871" s="14"/>
      <c r="G5871" s="14"/>
      <c r="H5871" s="14"/>
    </row>
    <row r="5872" spans="3:11" x14ac:dyDescent="0.3">
      <c r="C5872" s="21" t="s">
        <v>32</v>
      </c>
      <c r="D5872" s="77"/>
      <c r="E5872" s="77"/>
      <c r="F5872" s="77"/>
      <c r="G5872" s="28"/>
      <c r="H5872" s="29">
        <f>SUM(H5871)</f>
        <v>0</v>
      </c>
    </row>
    <row r="5873" spans="3:11" x14ac:dyDescent="0.3">
      <c r="C5873" s="30" t="s">
        <v>33</v>
      </c>
      <c r="D5873" s="31" t="s">
        <v>34</v>
      </c>
      <c r="E5873" s="32"/>
      <c r="F5873" s="32"/>
      <c r="G5873" s="33"/>
      <c r="H5873" s="46">
        <f>H5872+H5870+H5867</f>
        <v>191890</v>
      </c>
      <c r="I5873" s="47"/>
    </row>
    <row r="5874" spans="3:11" x14ac:dyDescent="0.3">
      <c r="C5874" s="30" t="s">
        <v>35</v>
      </c>
      <c r="D5874" s="31" t="s">
        <v>36</v>
      </c>
      <c r="E5874" s="32"/>
      <c r="F5874" s="33"/>
      <c r="G5874" s="34">
        <f>$M$9</f>
        <v>0.1</v>
      </c>
      <c r="H5874" s="19">
        <f>H5873*G5874</f>
        <v>19189</v>
      </c>
      <c r="I5874" s="47"/>
    </row>
    <row r="5875" spans="3:11" x14ac:dyDescent="0.3">
      <c r="C5875" s="30" t="s">
        <v>37</v>
      </c>
      <c r="D5875" s="31" t="s">
        <v>38</v>
      </c>
      <c r="E5875" s="32"/>
      <c r="F5875" s="32"/>
      <c r="G5875" s="33"/>
      <c r="H5875" s="48">
        <f>SUM(H5873:H5874)</f>
        <v>211079</v>
      </c>
      <c r="I5875" s="47"/>
    </row>
    <row r="5877" spans="3:11" x14ac:dyDescent="0.3">
      <c r="C5877" s="40" t="s">
        <v>1140</v>
      </c>
      <c r="D5877" s="68" t="s">
        <v>1141</v>
      </c>
      <c r="E5877" s="44"/>
      <c r="F5877" s="44"/>
      <c r="G5877" s="44"/>
      <c r="H5877" s="44"/>
      <c r="I5877" s="10">
        <f>ROUNDDOWN(H5892,0)</f>
        <v>126632</v>
      </c>
      <c r="J5877" s="15"/>
      <c r="K5877" s="39"/>
    </row>
    <row r="5878" spans="3:11" ht="27.6" x14ac:dyDescent="0.3">
      <c r="C5878" s="11" t="s">
        <v>9</v>
      </c>
      <c r="D5878" s="11" t="s">
        <v>10</v>
      </c>
      <c r="E5878" s="11" t="s">
        <v>11</v>
      </c>
      <c r="F5878" s="11" t="s">
        <v>12</v>
      </c>
      <c r="G5878" s="11" t="s">
        <v>13</v>
      </c>
      <c r="H5878" s="11" t="s">
        <v>14</v>
      </c>
    </row>
    <row r="5879" spans="3:11" x14ac:dyDescent="0.25">
      <c r="C5879" s="12" t="s">
        <v>15</v>
      </c>
      <c r="D5879" s="13" t="s">
        <v>16</v>
      </c>
      <c r="E5879" s="14"/>
      <c r="F5879" s="14"/>
      <c r="G5879" s="14"/>
      <c r="H5879" s="14"/>
    </row>
    <row r="5880" spans="3:11" x14ac:dyDescent="0.3">
      <c r="C5880" s="16">
        <v>1</v>
      </c>
      <c r="D5880" s="13" t="s">
        <v>18</v>
      </c>
      <c r="E5880" s="17" t="s">
        <v>19</v>
      </c>
      <c r="F5880" s="18">
        <v>0.114</v>
      </c>
      <c r="G5880" s="19">
        <f>VLOOKUP(D5880,upahbahan,3,FALSE)</f>
        <v>100000</v>
      </c>
      <c r="H5880" s="19">
        <f t="shared" ref="H5880:H5883" si="612">F5880*G5880</f>
        <v>11400</v>
      </c>
    </row>
    <row r="5881" spans="3:11" x14ac:dyDescent="0.3">
      <c r="C5881" s="16">
        <v>2</v>
      </c>
      <c r="D5881" s="13" t="s">
        <v>214</v>
      </c>
      <c r="E5881" s="17" t="s">
        <v>19</v>
      </c>
      <c r="F5881" s="18">
        <v>0.191</v>
      </c>
      <c r="G5881" s="19">
        <f>VLOOKUP(D5881,upahbahan,3,FALSE)</f>
        <v>145000</v>
      </c>
      <c r="H5881" s="19">
        <f t="shared" si="612"/>
        <v>27695</v>
      </c>
    </row>
    <row r="5882" spans="3:11" x14ac:dyDescent="0.3">
      <c r="C5882" s="16">
        <v>3</v>
      </c>
      <c r="D5882" s="13" t="s">
        <v>22</v>
      </c>
      <c r="E5882" s="17" t="s">
        <v>19</v>
      </c>
      <c r="F5882" s="18">
        <v>1.9E-2</v>
      </c>
      <c r="G5882" s="19">
        <f>VLOOKUP(D5882,upahbahan,3,FALSE)</f>
        <v>175000</v>
      </c>
      <c r="H5882" s="19">
        <f t="shared" si="612"/>
        <v>3325</v>
      </c>
    </row>
    <row r="5883" spans="3:11" x14ac:dyDescent="0.3">
      <c r="C5883" s="16">
        <v>4</v>
      </c>
      <c r="D5883" s="13" t="s">
        <v>23</v>
      </c>
      <c r="E5883" s="17" t="s">
        <v>19</v>
      </c>
      <c r="F5883" s="18">
        <v>6.0000000000000001E-3</v>
      </c>
      <c r="G5883" s="19">
        <f>VLOOKUP(D5883,upahbahan,3,FALSE)</f>
        <v>200000</v>
      </c>
      <c r="H5883" s="19">
        <f t="shared" si="612"/>
        <v>1200</v>
      </c>
    </row>
    <row r="5884" spans="3:11" x14ac:dyDescent="0.3">
      <c r="C5884" s="21" t="s">
        <v>24</v>
      </c>
      <c r="D5884" s="22"/>
      <c r="E5884" s="22"/>
      <c r="F5884" s="54"/>
      <c r="G5884" s="24"/>
      <c r="H5884" s="19">
        <f>SUM(H5880:H5883)</f>
        <v>43620</v>
      </c>
      <c r="I5884" s="25"/>
    </row>
    <row r="5885" spans="3:11" x14ac:dyDescent="0.25">
      <c r="C5885" s="12" t="s">
        <v>25</v>
      </c>
      <c r="D5885" s="13" t="s">
        <v>26</v>
      </c>
      <c r="E5885" s="14"/>
      <c r="F5885" s="55"/>
      <c r="G5885" s="14"/>
      <c r="H5885" s="14"/>
    </row>
    <row r="5886" spans="3:11" x14ac:dyDescent="0.25">
      <c r="C5886" s="12">
        <v>1</v>
      </c>
      <c r="D5886" s="13" t="s">
        <v>1142</v>
      </c>
      <c r="E5886" s="53" t="s">
        <v>949</v>
      </c>
      <c r="F5886" s="115">
        <v>1.1000000000000001</v>
      </c>
      <c r="G5886" s="19">
        <f>VLOOKUP(D5886,upahbahan,3,FALSE)</f>
        <v>65000</v>
      </c>
      <c r="H5886" s="19">
        <f>F5886*G5886</f>
        <v>71500</v>
      </c>
    </row>
    <row r="5887" spans="3:11" x14ac:dyDescent="0.3">
      <c r="C5887" s="21" t="s">
        <v>29</v>
      </c>
      <c r="D5887" s="22"/>
      <c r="E5887" s="22"/>
      <c r="F5887" s="22"/>
      <c r="G5887" s="28"/>
      <c r="H5887" s="19">
        <f>SUM(H5886:H5886)</f>
        <v>71500</v>
      </c>
    </row>
    <row r="5888" spans="3:11" x14ac:dyDescent="0.25">
      <c r="C5888" s="12" t="s">
        <v>30</v>
      </c>
      <c r="D5888" s="13" t="s">
        <v>31</v>
      </c>
      <c r="E5888" s="14"/>
      <c r="F5888" s="14"/>
      <c r="G5888" s="14"/>
      <c r="H5888" s="14"/>
    </row>
    <row r="5889" spans="3:11" x14ac:dyDescent="0.3">
      <c r="C5889" s="21" t="s">
        <v>32</v>
      </c>
      <c r="D5889" s="77"/>
      <c r="E5889" s="77"/>
      <c r="F5889" s="77"/>
      <c r="G5889" s="28"/>
      <c r="H5889" s="29">
        <f>SUM(H5888)</f>
        <v>0</v>
      </c>
    </row>
    <row r="5890" spans="3:11" x14ac:dyDescent="0.3">
      <c r="C5890" s="30" t="s">
        <v>33</v>
      </c>
      <c r="D5890" s="31" t="s">
        <v>34</v>
      </c>
      <c r="E5890" s="32"/>
      <c r="F5890" s="32"/>
      <c r="G5890" s="33"/>
      <c r="H5890" s="46">
        <f>H5889+H5887+H5884</f>
        <v>115120</v>
      </c>
      <c r="I5890" s="47"/>
    </row>
    <row r="5891" spans="3:11" x14ac:dyDescent="0.3">
      <c r="C5891" s="30" t="s">
        <v>35</v>
      </c>
      <c r="D5891" s="31" t="s">
        <v>36</v>
      </c>
      <c r="E5891" s="32"/>
      <c r="F5891" s="33"/>
      <c r="G5891" s="34">
        <f>$M$9</f>
        <v>0.1</v>
      </c>
      <c r="H5891" s="19">
        <f>H5890*G5891</f>
        <v>11512</v>
      </c>
      <c r="I5891" s="47"/>
    </row>
    <row r="5892" spans="3:11" x14ac:dyDescent="0.3">
      <c r="C5892" s="30" t="s">
        <v>37</v>
      </c>
      <c r="D5892" s="31" t="s">
        <v>38</v>
      </c>
      <c r="E5892" s="32"/>
      <c r="F5892" s="32"/>
      <c r="G5892" s="33"/>
      <c r="H5892" s="48">
        <f>SUM(H5890:H5891)</f>
        <v>126632</v>
      </c>
      <c r="I5892" s="47"/>
    </row>
    <row r="5895" spans="3:11" x14ac:dyDescent="0.3">
      <c r="C5895" s="40" t="s">
        <v>1143</v>
      </c>
      <c r="D5895" s="68" t="s">
        <v>1144</v>
      </c>
      <c r="E5895" s="44"/>
      <c r="F5895" s="44"/>
      <c r="G5895" s="44"/>
      <c r="H5895" s="44"/>
      <c r="I5895" s="10">
        <f>ROUNDDOWN(H5910,0)</f>
        <v>135102</v>
      </c>
      <c r="J5895" s="15"/>
      <c r="K5895" s="39"/>
    </row>
    <row r="5896" spans="3:11" ht="27.6" x14ac:dyDescent="0.3">
      <c r="C5896" s="11" t="s">
        <v>9</v>
      </c>
      <c r="D5896" s="11" t="s">
        <v>10</v>
      </c>
      <c r="E5896" s="11" t="s">
        <v>11</v>
      </c>
      <c r="F5896" s="11" t="s">
        <v>12</v>
      </c>
      <c r="G5896" s="11" t="s">
        <v>13</v>
      </c>
      <c r="H5896" s="11" t="s">
        <v>14</v>
      </c>
    </row>
    <row r="5897" spans="3:11" x14ac:dyDescent="0.25">
      <c r="C5897" s="12" t="s">
        <v>15</v>
      </c>
      <c r="D5897" s="13" t="s">
        <v>16</v>
      </c>
      <c r="E5897" s="14"/>
      <c r="F5897" s="14"/>
      <c r="G5897" s="14"/>
      <c r="H5897" s="14"/>
    </row>
    <row r="5898" spans="3:11" x14ac:dyDescent="0.3">
      <c r="C5898" s="16">
        <v>1</v>
      </c>
      <c r="D5898" s="13" t="s">
        <v>18</v>
      </c>
      <c r="E5898" s="17" t="s">
        <v>19</v>
      </c>
      <c r="F5898" s="18">
        <v>0.114</v>
      </c>
      <c r="G5898" s="19">
        <f>VLOOKUP(D5898,upahbahan,3,FALSE)</f>
        <v>100000</v>
      </c>
      <c r="H5898" s="19">
        <f t="shared" ref="H5898:H5901" si="613">F5898*G5898</f>
        <v>11400</v>
      </c>
    </row>
    <row r="5899" spans="3:11" x14ac:dyDescent="0.3">
      <c r="C5899" s="16">
        <v>2</v>
      </c>
      <c r="D5899" s="13" t="s">
        <v>214</v>
      </c>
      <c r="E5899" s="17" t="s">
        <v>19</v>
      </c>
      <c r="F5899" s="18">
        <v>0.191</v>
      </c>
      <c r="G5899" s="19">
        <f>VLOOKUP(D5899,upahbahan,3,FALSE)</f>
        <v>145000</v>
      </c>
      <c r="H5899" s="19">
        <f t="shared" si="613"/>
        <v>27695</v>
      </c>
    </row>
    <row r="5900" spans="3:11" x14ac:dyDescent="0.3">
      <c r="C5900" s="16">
        <v>3</v>
      </c>
      <c r="D5900" s="13" t="s">
        <v>22</v>
      </c>
      <c r="E5900" s="17" t="s">
        <v>19</v>
      </c>
      <c r="F5900" s="18">
        <v>1.9E-2</v>
      </c>
      <c r="G5900" s="19">
        <f>VLOOKUP(D5900,upahbahan,3,FALSE)</f>
        <v>175000</v>
      </c>
      <c r="H5900" s="19">
        <f t="shared" si="613"/>
        <v>3325</v>
      </c>
    </row>
    <row r="5901" spans="3:11" x14ac:dyDescent="0.3">
      <c r="C5901" s="16">
        <v>4</v>
      </c>
      <c r="D5901" s="13" t="s">
        <v>23</v>
      </c>
      <c r="E5901" s="17" t="s">
        <v>19</v>
      </c>
      <c r="F5901" s="18">
        <v>6.0000000000000001E-3</v>
      </c>
      <c r="G5901" s="19">
        <f>VLOOKUP(D5901,upahbahan,3,FALSE)</f>
        <v>200000</v>
      </c>
      <c r="H5901" s="19">
        <f t="shared" si="613"/>
        <v>1200</v>
      </c>
    </row>
    <row r="5902" spans="3:11" x14ac:dyDescent="0.3">
      <c r="C5902" s="21" t="s">
        <v>24</v>
      </c>
      <c r="D5902" s="22"/>
      <c r="E5902" s="22"/>
      <c r="F5902" s="54"/>
      <c r="G5902" s="24"/>
      <c r="H5902" s="19">
        <f>SUM(H5898:H5901)</f>
        <v>43620</v>
      </c>
      <c r="I5902" s="25"/>
    </row>
    <row r="5903" spans="3:11" x14ac:dyDescent="0.25">
      <c r="C5903" s="12" t="s">
        <v>25</v>
      </c>
      <c r="D5903" s="13" t="s">
        <v>26</v>
      </c>
      <c r="E5903" s="14"/>
      <c r="F5903" s="55"/>
      <c r="G5903" s="14"/>
      <c r="H5903" s="14"/>
    </row>
    <row r="5904" spans="3:11" x14ac:dyDescent="0.25">
      <c r="C5904" s="12">
        <v>1</v>
      </c>
      <c r="D5904" s="13" t="s">
        <v>1145</v>
      </c>
      <c r="E5904" s="53" t="s">
        <v>949</v>
      </c>
      <c r="F5904" s="115">
        <v>1.1000000000000001</v>
      </c>
      <c r="G5904" s="19">
        <f>VLOOKUP(D5904,upahbahan,3,FALSE)</f>
        <v>72000</v>
      </c>
      <c r="H5904" s="19">
        <f>F5904*G5904</f>
        <v>79200</v>
      </c>
    </row>
    <row r="5905" spans="3:11" x14ac:dyDescent="0.3">
      <c r="C5905" s="21" t="s">
        <v>29</v>
      </c>
      <c r="D5905" s="22"/>
      <c r="E5905" s="22"/>
      <c r="F5905" s="22"/>
      <c r="G5905" s="28"/>
      <c r="H5905" s="19">
        <f>SUM(H5904:H5904)</f>
        <v>79200</v>
      </c>
    </row>
    <row r="5906" spans="3:11" x14ac:dyDescent="0.25">
      <c r="C5906" s="12" t="s">
        <v>30</v>
      </c>
      <c r="D5906" s="13" t="s">
        <v>31</v>
      </c>
      <c r="E5906" s="14"/>
      <c r="F5906" s="14"/>
      <c r="G5906" s="14"/>
      <c r="H5906" s="14"/>
    </row>
    <row r="5907" spans="3:11" x14ac:dyDescent="0.3">
      <c r="C5907" s="21" t="s">
        <v>32</v>
      </c>
      <c r="D5907" s="77"/>
      <c r="E5907" s="77"/>
      <c r="F5907" s="77"/>
      <c r="G5907" s="28"/>
      <c r="H5907" s="29">
        <f>SUM(H5906)</f>
        <v>0</v>
      </c>
    </row>
    <row r="5908" spans="3:11" x14ac:dyDescent="0.3">
      <c r="C5908" s="30" t="s">
        <v>33</v>
      </c>
      <c r="D5908" s="31" t="s">
        <v>34</v>
      </c>
      <c r="E5908" s="32"/>
      <c r="F5908" s="32"/>
      <c r="G5908" s="33"/>
      <c r="H5908" s="46">
        <f>H5907+H5905+H5902</f>
        <v>122820</v>
      </c>
      <c r="I5908" s="47"/>
    </row>
    <row r="5909" spans="3:11" x14ac:dyDescent="0.3">
      <c r="C5909" s="30" t="s">
        <v>35</v>
      </c>
      <c r="D5909" s="31" t="s">
        <v>36</v>
      </c>
      <c r="E5909" s="32"/>
      <c r="F5909" s="33"/>
      <c r="G5909" s="34">
        <f>$M$9</f>
        <v>0.1</v>
      </c>
      <c r="H5909" s="19">
        <f>H5908*G5909</f>
        <v>12282</v>
      </c>
      <c r="I5909" s="47"/>
    </row>
    <row r="5910" spans="3:11" x14ac:dyDescent="0.3">
      <c r="C5910" s="30" t="s">
        <v>37</v>
      </c>
      <c r="D5910" s="31" t="s">
        <v>38</v>
      </c>
      <c r="E5910" s="32"/>
      <c r="F5910" s="32"/>
      <c r="G5910" s="33"/>
      <c r="H5910" s="48">
        <f>SUM(H5908:H5909)</f>
        <v>135102</v>
      </c>
      <c r="I5910" s="47"/>
    </row>
    <row r="5912" spans="3:11" x14ac:dyDescent="0.3">
      <c r="C5912" s="40" t="s">
        <v>1146</v>
      </c>
      <c r="D5912" s="68" t="s">
        <v>1147</v>
      </c>
      <c r="E5912" s="44"/>
      <c r="F5912" s="44"/>
      <c r="G5912" s="44"/>
      <c r="H5912" s="44"/>
      <c r="I5912" s="10">
        <f>ROUNDDOWN(H5928,0)</f>
        <v>268202</v>
      </c>
      <c r="J5912" s="15"/>
      <c r="K5912" s="39"/>
    </row>
    <row r="5913" spans="3:11" ht="27.6" x14ac:dyDescent="0.3">
      <c r="C5913" s="11" t="s">
        <v>9</v>
      </c>
      <c r="D5913" s="11" t="s">
        <v>10</v>
      </c>
      <c r="E5913" s="11" t="s">
        <v>11</v>
      </c>
      <c r="F5913" s="11" t="s">
        <v>12</v>
      </c>
      <c r="G5913" s="11" t="s">
        <v>13</v>
      </c>
      <c r="H5913" s="11" t="s">
        <v>14</v>
      </c>
    </row>
    <row r="5914" spans="3:11" x14ac:dyDescent="0.25">
      <c r="C5914" s="12" t="s">
        <v>15</v>
      </c>
      <c r="D5914" s="13" t="s">
        <v>16</v>
      </c>
      <c r="E5914" s="14"/>
      <c r="F5914" s="14"/>
      <c r="G5914" s="14"/>
      <c r="H5914" s="14"/>
    </row>
    <row r="5915" spans="3:11" x14ac:dyDescent="0.3">
      <c r="C5915" s="16">
        <v>1</v>
      </c>
      <c r="D5915" s="13" t="s">
        <v>18</v>
      </c>
      <c r="E5915" s="17" t="s">
        <v>19</v>
      </c>
      <c r="F5915" s="18">
        <v>0.114</v>
      </c>
      <c r="G5915" s="19">
        <f>VLOOKUP(D5915,upahbahan,3,FALSE)</f>
        <v>100000</v>
      </c>
      <c r="H5915" s="19">
        <f t="shared" ref="H5915:H5918" si="614">F5915*G5915</f>
        <v>11400</v>
      </c>
    </row>
    <row r="5916" spans="3:11" x14ac:dyDescent="0.3">
      <c r="C5916" s="16">
        <v>2</v>
      </c>
      <c r="D5916" s="13" t="s">
        <v>214</v>
      </c>
      <c r="E5916" s="17" t="s">
        <v>19</v>
      </c>
      <c r="F5916" s="18">
        <v>0.191</v>
      </c>
      <c r="G5916" s="19">
        <f>VLOOKUP(D5916,upahbahan,3,FALSE)</f>
        <v>145000</v>
      </c>
      <c r="H5916" s="19">
        <f t="shared" si="614"/>
        <v>27695</v>
      </c>
    </row>
    <row r="5917" spans="3:11" x14ac:dyDescent="0.3">
      <c r="C5917" s="16">
        <v>3</v>
      </c>
      <c r="D5917" s="13" t="s">
        <v>22</v>
      </c>
      <c r="E5917" s="17" t="s">
        <v>19</v>
      </c>
      <c r="F5917" s="18">
        <v>1.9E-2</v>
      </c>
      <c r="G5917" s="19">
        <f>VLOOKUP(D5917,upahbahan,3,FALSE)</f>
        <v>175000</v>
      </c>
      <c r="H5917" s="19">
        <f t="shared" si="614"/>
        <v>3325</v>
      </c>
    </row>
    <row r="5918" spans="3:11" x14ac:dyDescent="0.3">
      <c r="C5918" s="16">
        <v>4</v>
      </c>
      <c r="D5918" s="13" t="s">
        <v>23</v>
      </c>
      <c r="E5918" s="17" t="s">
        <v>19</v>
      </c>
      <c r="F5918" s="18">
        <v>6.0000000000000001E-3</v>
      </c>
      <c r="G5918" s="19">
        <f>VLOOKUP(D5918,upahbahan,3,FALSE)</f>
        <v>200000</v>
      </c>
      <c r="H5918" s="19">
        <f t="shared" si="614"/>
        <v>1200</v>
      </c>
    </row>
    <row r="5919" spans="3:11" x14ac:dyDescent="0.3">
      <c r="C5919" s="21" t="s">
        <v>24</v>
      </c>
      <c r="D5919" s="22"/>
      <c r="E5919" s="22"/>
      <c r="F5919" s="54"/>
      <c r="G5919" s="24"/>
      <c r="H5919" s="19">
        <f>SUM(H5915:H5918)</f>
        <v>43620</v>
      </c>
      <c r="I5919" s="25"/>
    </row>
    <row r="5920" spans="3:11" x14ac:dyDescent="0.25">
      <c r="C5920" s="12" t="s">
        <v>25</v>
      </c>
      <c r="D5920" s="13" t="s">
        <v>26</v>
      </c>
      <c r="E5920" s="14"/>
      <c r="F5920" s="55"/>
      <c r="G5920" s="14"/>
      <c r="H5920" s="14"/>
    </row>
    <row r="5921" spans="3:11" x14ac:dyDescent="0.25">
      <c r="C5921" s="12">
        <v>1</v>
      </c>
      <c r="D5921" s="13" t="s">
        <v>1145</v>
      </c>
      <c r="E5921" s="53" t="s">
        <v>949</v>
      </c>
      <c r="F5921" s="115">
        <v>1.1000000000000001</v>
      </c>
      <c r="G5921" s="19">
        <f>VLOOKUP(D5921,upahbahan,3,FALSE)</f>
        <v>72000</v>
      </c>
      <c r="H5921" s="19">
        <f>F5921*G5921</f>
        <v>79200</v>
      </c>
    </row>
    <row r="5922" spans="3:11" x14ac:dyDescent="0.25">
      <c r="C5922" s="12">
        <v>2</v>
      </c>
      <c r="D5922" s="13" t="s">
        <v>1118</v>
      </c>
      <c r="E5922" s="53" t="s">
        <v>949</v>
      </c>
      <c r="F5922" s="115">
        <v>1.1000000000000001</v>
      </c>
      <c r="G5922" s="19">
        <f>VLOOKUP(D5922,upahbahan,3,FALSE)</f>
        <v>110000</v>
      </c>
      <c r="H5922" s="19">
        <f>F5922*G5922</f>
        <v>121000.00000000001</v>
      </c>
    </row>
    <row r="5923" spans="3:11" x14ac:dyDescent="0.3">
      <c r="C5923" s="21" t="s">
        <v>29</v>
      </c>
      <c r="D5923" s="22"/>
      <c r="E5923" s="22"/>
      <c r="F5923" s="22"/>
      <c r="G5923" s="28"/>
      <c r="H5923" s="19">
        <f>SUM(H5921:H5922)</f>
        <v>200200</v>
      </c>
    </row>
    <row r="5924" spans="3:11" x14ac:dyDescent="0.25">
      <c r="C5924" s="12" t="s">
        <v>30</v>
      </c>
      <c r="D5924" s="13" t="s">
        <v>31</v>
      </c>
      <c r="E5924" s="14"/>
      <c r="F5924" s="14"/>
      <c r="G5924" s="14"/>
      <c r="H5924" s="14"/>
    </row>
    <row r="5925" spans="3:11" x14ac:dyDescent="0.3">
      <c r="C5925" s="21" t="s">
        <v>32</v>
      </c>
      <c r="D5925" s="77"/>
      <c r="E5925" s="77"/>
      <c r="F5925" s="77"/>
      <c r="G5925" s="28"/>
      <c r="H5925" s="29">
        <f>SUM(H5924)</f>
        <v>0</v>
      </c>
    </row>
    <row r="5926" spans="3:11" x14ac:dyDescent="0.3">
      <c r="C5926" s="30" t="s">
        <v>33</v>
      </c>
      <c r="D5926" s="31" t="s">
        <v>34</v>
      </c>
      <c r="E5926" s="32"/>
      <c r="F5926" s="32"/>
      <c r="G5926" s="33"/>
      <c r="H5926" s="46">
        <f>H5925+H5923+H5919</f>
        <v>243820</v>
      </c>
      <c r="I5926" s="47"/>
    </row>
    <row r="5927" spans="3:11" x14ac:dyDescent="0.3">
      <c r="C5927" s="30" t="s">
        <v>35</v>
      </c>
      <c r="D5927" s="31" t="s">
        <v>36</v>
      </c>
      <c r="E5927" s="32"/>
      <c r="F5927" s="33"/>
      <c r="G5927" s="34">
        <f>$M$9</f>
        <v>0.1</v>
      </c>
      <c r="H5927" s="19">
        <f>H5926*G5927</f>
        <v>24382</v>
      </c>
      <c r="I5927" s="47"/>
    </row>
    <row r="5928" spans="3:11" x14ac:dyDescent="0.3">
      <c r="C5928" s="30" t="s">
        <v>37</v>
      </c>
      <c r="D5928" s="31" t="s">
        <v>38</v>
      </c>
      <c r="E5928" s="32"/>
      <c r="F5928" s="32"/>
      <c r="G5928" s="33"/>
      <c r="H5928" s="48">
        <f>SUM(H5926:H5927)</f>
        <v>268202</v>
      </c>
      <c r="I5928" s="47"/>
    </row>
    <row r="5931" spans="3:11" x14ac:dyDescent="0.3">
      <c r="C5931" s="40" t="s">
        <v>1148</v>
      </c>
      <c r="D5931" s="68" t="s">
        <v>1149</v>
      </c>
      <c r="E5931" s="44"/>
      <c r="F5931" s="44"/>
      <c r="G5931" s="44"/>
      <c r="H5931" s="44"/>
      <c r="I5931" s="10">
        <f>ROUNDDOWN(H5946,0)</f>
        <v>244321</v>
      </c>
      <c r="J5931" s="15"/>
      <c r="K5931" s="39"/>
    </row>
    <row r="5932" spans="3:11" ht="27.6" x14ac:dyDescent="0.3">
      <c r="C5932" s="11" t="s">
        <v>9</v>
      </c>
      <c r="D5932" s="11" t="s">
        <v>10</v>
      </c>
      <c r="E5932" s="11" t="s">
        <v>11</v>
      </c>
      <c r="F5932" s="11" t="s">
        <v>12</v>
      </c>
      <c r="G5932" s="11" t="s">
        <v>13</v>
      </c>
      <c r="H5932" s="11" t="s">
        <v>14</v>
      </c>
    </row>
    <row r="5933" spans="3:11" x14ac:dyDescent="0.25">
      <c r="C5933" s="12" t="s">
        <v>15</v>
      </c>
      <c r="D5933" s="13" t="s">
        <v>16</v>
      </c>
      <c r="E5933" s="14"/>
      <c r="F5933" s="14"/>
      <c r="G5933" s="14"/>
      <c r="H5933" s="14"/>
    </row>
    <row r="5934" spans="3:11" x14ac:dyDescent="0.3">
      <c r="C5934" s="16">
        <v>1</v>
      </c>
      <c r="D5934" s="13" t="s">
        <v>18</v>
      </c>
      <c r="E5934" s="17" t="s">
        <v>19</v>
      </c>
      <c r="F5934" s="18">
        <v>0.16700000000000001</v>
      </c>
      <c r="G5934" s="19">
        <f>VLOOKUP(D5934,upahbahan,3,FALSE)</f>
        <v>100000</v>
      </c>
      <c r="H5934" s="19">
        <f t="shared" ref="H5934:H5937" si="615">F5934*G5934</f>
        <v>16700</v>
      </c>
    </row>
    <row r="5935" spans="3:11" x14ac:dyDescent="0.3">
      <c r="C5935" s="16">
        <v>2</v>
      </c>
      <c r="D5935" s="13" t="s">
        <v>214</v>
      </c>
      <c r="E5935" s="17" t="s">
        <v>19</v>
      </c>
      <c r="F5935" s="18">
        <v>0.27800000000000002</v>
      </c>
      <c r="G5935" s="19">
        <f>VLOOKUP(D5935,upahbahan,3,FALSE)</f>
        <v>145000</v>
      </c>
      <c r="H5935" s="19">
        <f t="shared" si="615"/>
        <v>40310</v>
      </c>
    </row>
    <row r="5936" spans="3:11" x14ac:dyDescent="0.3">
      <c r="C5936" s="16">
        <v>3</v>
      </c>
      <c r="D5936" s="13" t="s">
        <v>22</v>
      </c>
      <c r="E5936" s="17" t="s">
        <v>19</v>
      </c>
      <c r="F5936" s="18">
        <v>2.8000000000000001E-2</v>
      </c>
      <c r="G5936" s="19">
        <f>VLOOKUP(D5936,upahbahan,3,FALSE)</f>
        <v>175000</v>
      </c>
      <c r="H5936" s="19">
        <f t="shared" si="615"/>
        <v>4900</v>
      </c>
    </row>
    <row r="5937" spans="3:11" x14ac:dyDescent="0.3">
      <c r="C5937" s="16">
        <v>4</v>
      </c>
      <c r="D5937" s="13" t="s">
        <v>23</v>
      </c>
      <c r="E5937" s="17" t="s">
        <v>19</v>
      </c>
      <c r="F5937" s="18">
        <v>8.9999999999999993E-3</v>
      </c>
      <c r="G5937" s="19">
        <f>VLOOKUP(D5937,upahbahan,3,FALSE)</f>
        <v>200000</v>
      </c>
      <c r="H5937" s="19">
        <f t="shared" si="615"/>
        <v>1799.9999999999998</v>
      </c>
    </row>
    <row r="5938" spans="3:11" x14ac:dyDescent="0.3">
      <c r="C5938" s="21" t="s">
        <v>24</v>
      </c>
      <c r="D5938" s="22"/>
      <c r="E5938" s="22"/>
      <c r="F5938" s="54"/>
      <c r="G5938" s="24"/>
      <c r="H5938" s="19">
        <f>SUM(H5934:H5937)</f>
        <v>63710</v>
      </c>
      <c r="I5938" s="25"/>
    </row>
    <row r="5939" spans="3:11" x14ac:dyDescent="0.25">
      <c r="C5939" s="12" t="s">
        <v>25</v>
      </c>
      <c r="D5939" s="13" t="s">
        <v>26</v>
      </c>
      <c r="E5939" s="14"/>
      <c r="F5939" s="55"/>
      <c r="G5939" s="14"/>
      <c r="H5939" s="14"/>
    </row>
    <row r="5940" spans="3:11" x14ac:dyDescent="0.25">
      <c r="C5940" s="12">
        <v>1</v>
      </c>
      <c r="D5940" s="13" t="s">
        <v>1150</v>
      </c>
      <c r="E5940" s="53" t="s">
        <v>949</v>
      </c>
      <c r="F5940" s="115">
        <v>1.1000000000000001</v>
      </c>
      <c r="G5940" s="19">
        <f>VLOOKUP(D5940,upahbahan,3,FALSE)</f>
        <v>144000</v>
      </c>
      <c r="H5940" s="19">
        <f>F5940*G5940</f>
        <v>158400</v>
      </c>
    </row>
    <row r="5941" spans="3:11" x14ac:dyDescent="0.3">
      <c r="C5941" s="21" t="s">
        <v>29</v>
      </c>
      <c r="D5941" s="22"/>
      <c r="E5941" s="22"/>
      <c r="F5941" s="22"/>
      <c r="G5941" s="28"/>
      <c r="H5941" s="19">
        <f>SUM(H5940:H5940)</f>
        <v>158400</v>
      </c>
    </row>
    <row r="5942" spans="3:11" x14ac:dyDescent="0.25">
      <c r="C5942" s="12" t="s">
        <v>30</v>
      </c>
      <c r="D5942" s="13" t="s">
        <v>31</v>
      </c>
      <c r="E5942" s="14"/>
      <c r="F5942" s="14"/>
      <c r="G5942" s="14"/>
      <c r="H5942" s="14"/>
    </row>
    <row r="5943" spans="3:11" x14ac:dyDescent="0.3">
      <c r="C5943" s="21" t="s">
        <v>32</v>
      </c>
      <c r="D5943" s="77"/>
      <c r="E5943" s="77"/>
      <c r="F5943" s="77"/>
      <c r="G5943" s="28"/>
      <c r="H5943" s="29">
        <f>SUM(H5942)</f>
        <v>0</v>
      </c>
    </row>
    <row r="5944" spans="3:11" x14ac:dyDescent="0.3">
      <c r="C5944" s="30" t="s">
        <v>33</v>
      </c>
      <c r="D5944" s="31" t="s">
        <v>34</v>
      </c>
      <c r="E5944" s="32"/>
      <c r="F5944" s="32"/>
      <c r="G5944" s="33"/>
      <c r="H5944" s="46">
        <f>H5943+H5941+H5938</f>
        <v>222110</v>
      </c>
      <c r="I5944" s="47"/>
    </row>
    <row r="5945" spans="3:11" x14ac:dyDescent="0.3">
      <c r="C5945" s="30" t="s">
        <v>35</v>
      </c>
      <c r="D5945" s="31" t="s">
        <v>36</v>
      </c>
      <c r="E5945" s="32"/>
      <c r="F5945" s="33"/>
      <c r="G5945" s="34">
        <f>$M$9</f>
        <v>0.1</v>
      </c>
      <c r="H5945" s="19">
        <f>H5944*G5945</f>
        <v>22211</v>
      </c>
      <c r="I5945" s="47"/>
    </row>
    <row r="5946" spans="3:11" x14ac:dyDescent="0.3">
      <c r="C5946" s="30" t="s">
        <v>37</v>
      </c>
      <c r="D5946" s="31" t="s">
        <v>38</v>
      </c>
      <c r="E5946" s="32"/>
      <c r="F5946" s="32"/>
      <c r="G5946" s="33"/>
      <c r="H5946" s="48">
        <f>SUM(H5944:H5945)</f>
        <v>244321</v>
      </c>
      <c r="I5946" s="47"/>
    </row>
    <row r="5948" spans="3:11" x14ac:dyDescent="0.3">
      <c r="C5948" s="40" t="s">
        <v>1151</v>
      </c>
      <c r="D5948" s="68" t="s">
        <v>1152</v>
      </c>
      <c r="E5948" s="44"/>
      <c r="F5948" s="44"/>
      <c r="G5948" s="44"/>
      <c r="H5948" s="44"/>
      <c r="I5948" s="10">
        <f>ROUNDDOWN(H5964,0)</f>
        <v>377421</v>
      </c>
      <c r="J5948" s="15"/>
      <c r="K5948" s="39"/>
    </row>
    <row r="5949" spans="3:11" ht="27.6" x14ac:dyDescent="0.3">
      <c r="C5949" s="11" t="s">
        <v>9</v>
      </c>
      <c r="D5949" s="11" t="s">
        <v>10</v>
      </c>
      <c r="E5949" s="11" t="s">
        <v>11</v>
      </c>
      <c r="F5949" s="11" t="s">
        <v>12</v>
      </c>
      <c r="G5949" s="11" t="s">
        <v>13</v>
      </c>
      <c r="H5949" s="11" t="s">
        <v>14</v>
      </c>
    </row>
    <row r="5950" spans="3:11" x14ac:dyDescent="0.25">
      <c r="C5950" s="12" t="s">
        <v>15</v>
      </c>
      <c r="D5950" s="13" t="s">
        <v>16</v>
      </c>
      <c r="E5950" s="14"/>
      <c r="F5950" s="14"/>
      <c r="G5950" s="14"/>
      <c r="H5950" s="14"/>
    </row>
    <row r="5951" spans="3:11" x14ac:dyDescent="0.3">
      <c r="C5951" s="16">
        <v>1</v>
      </c>
      <c r="D5951" s="13" t="s">
        <v>18</v>
      </c>
      <c r="E5951" s="17" t="s">
        <v>19</v>
      </c>
      <c r="F5951" s="18">
        <v>0.16700000000000001</v>
      </c>
      <c r="G5951" s="19">
        <f>VLOOKUP(D5951,upahbahan,3,FALSE)</f>
        <v>100000</v>
      </c>
      <c r="H5951" s="19">
        <f t="shared" ref="H5951:H5954" si="616">F5951*G5951</f>
        <v>16700</v>
      </c>
    </row>
    <row r="5952" spans="3:11" x14ac:dyDescent="0.3">
      <c r="C5952" s="16">
        <v>2</v>
      </c>
      <c r="D5952" s="13" t="s">
        <v>214</v>
      </c>
      <c r="E5952" s="17" t="s">
        <v>19</v>
      </c>
      <c r="F5952" s="18">
        <v>0.27800000000000002</v>
      </c>
      <c r="G5952" s="19">
        <f>VLOOKUP(D5952,upahbahan,3,FALSE)</f>
        <v>145000</v>
      </c>
      <c r="H5952" s="19">
        <f t="shared" si="616"/>
        <v>40310</v>
      </c>
    </row>
    <row r="5953" spans="3:11" x14ac:dyDescent="0.3">
      <c r="C5953" s="16">
        <v>3</v>
      </c>
      <c r="D5953" s="13" t="s">
        <v>22</v>
      </c>
      <c r="E5953" s="17" t="s">
        <v>19</v>
      </c>
      <c r="F5953" s="18">
        <v>2.8000000000000001E-2</v>
      </c>
      <c r="G5953" s="19">
        <f>VLOOKUP(D5953,upahbahan,3,FALSE)</f>
        <v>175000</v>
      </c>
      <c r="H5953" s="19">
        <f t="shared" si="616"/>
        <v>4900</v>
      </c>
    </row>
    <row r="5954" spans="3:11" x14ac:dyDescent="0.3">
      <c r="C5954" s="16">
        <v>4</v>
      </c>
      <c r="D5954" s="13" t="s">
        <v>23</v>
      </c>
      <c r="E5954" s="17" t="s">
        <v>19</v>
      </c>
      <c r="F5954" s="18">
        <v>8.9999999999999993E-3</v>
      </c>
      <c r="G5954" s="19">
        <f>VLOOKUP(D5954,upahbahan,3,FALSE)</f>
        <v>200000</v>
      </c>
      <c r="H5954" s="19">
        <f t="shared" si="616"/>
        <v>1799.9999999999998</v>
      </c>
    </row>
    <row r="5955" spans="3:11" x14ac:dyDescent="0.3">
      <c r="C5955" s="21" t="s">
        <v>24</v>
      </c>
      <c r="D5955" s="22"/>
      <c r="E5955" s="22"/>
      <c r="F5955" s="54"/>
      <c r="G5955" s="24"/>
      <c r="H5955" s="19">
        <f>SUM(H5951:H5954)</f>
        <v>63710</v>
      </c>
      <c r="I5955" s="25"/>
    </row>
    <row r="5956" spans="3:11" x14ac:dyDescent="0.25">
      <c r="C5956" s="12" t="s">
        <v>25</v>
      </c>
      <c r="D5956" s="13" t="s">
        <v>26</v>
      </c>
      <c r="E5956" s="14"/>
      <c r="F5956" s="55"/>
      <c r="G5956" s="14"/>
      <c r="H5956" s="14"/>
    </row>
    <row r="5957" spans="3:11" x14ac:dyDescent="0.25">
      <c r="C5957" s="12">
        <v>1</v>
      </c>
      <c r="D5957" s="13" t="s">
        <v>1150</v>
      </c>
      <c r="E5957" s="53" t="s">
        <v>949</v>
      </c>
      <c r="F5957" s="115">
        <v>1.1000000000000001</v>
      </c>
      <c r="G5957" s="19">
        <f>VLOOKUP(D5957,upahbahan,3,FALSE)</f>
        <v>144000</v>
      </c>
      <c r="H5957" s="19">
        <f>F5957*G5957</f>
        <v>158400</v>
      </c>
    </row>
    <row r="5958" spans="3:11" x14ac:dyDescent="0.25">
      <c r="C5958" s="12">
        <v>2</v>
      </c>
      <c r="D5958" s="13" t="s">
        <v>1118</v>
      </c>
      <c r="E5958" s="53" t="s">
        <v>949</v>
      </c>
      <c r="F5958" s="115">
        <v>1.1000000000000001</v>
      </c>
      <c r="G5958" s="19">
        <f>VLOOKUP(D5958,upahbahan,3,FALSE)</f>
        <v>110000</v>
      </c>
      <c r="H5958" s="19">
        <f>F5958*G5958</f>
        <v>121000.00000000001</v>
      </c>
    </row>
    <row r="5959" spans="3:11" x14ac:dyDescent="0.3">
      <c r="C5959" s="21" t="s">
        <v>29</v>
      </c>
      <c r="D5959" s="22"/>
      <c r="E5959" s="22"/>
      <c r="F5959" s="22"/>
      <c r="G5959" s="28"/>
      <c r="H5959" s="19">
        <f>SUM(H5957:H5958)</f>
        <v>279400</v>
      </c>
    </row>
    <row r="5960" spans="3:11" x14ac:dyDescent="0.25">
      <c r="C5960" s="12" t="s">
        <v>30</v>
      </c>
      <c r="D5960" s="13" t="s">
        <v>31</v>
      </c>
      <c r="E5960" s="14"/>
      <c r="F5960" s="14"/>
      <c r="G5960" s="14"/>
      <c r="H5960" s="14"/>
    </row>
    <row r="5961" spans="3:11" x14ac:dyDescent="0.3">
      <c r="C5961" s="21" t="s">
        <v>32</v>
      </c>
      <c r="D5961" s="77"/>
      <c r="E5961" s="77"/>
      <c r="F5961" s="77"/>
      <c r="G5961" s="28"/>
      <c r="H5961" s="29">
        <f>SUM(H5960)</f>
        <v>0</v>
      </c>
    </row>
    <row r="5962" spans="3:11" x14ac:dyDescent="0.3">
      <c r="C5962" s="30" t="s">
        <v>33</v>
      </c>
      <c r="D5962" s="31" t="s">
        <v>34</v>
      </c>
      <c r="E5962" s="32"/>
      <c r="F5962" s="32"/>
      <c r="G5962" s="33"/>
      <c r="H5962" s="46">
        <f>H5961+H5959+H5955</f>
        <v>343110</v>
      </c>
      <c r="I5962" s="47"/>
    </row>
    <row r="5963" spans="3:11" x14ac:dyDescent="0.3">
      <c r="C5963" s="30" t="s">
        <v>35</v>
      </c>
      <c r="D5963" s="31" t="s">
        <v>36</v>
      </c>
      <c r="E5963" s="32"/>
      <c r="F5963" s="33"/>
      <c r="G5963" s="34">
        <f>$M$9</f>
        <v>0.1</v>
      </c>
      <c r="H5963" s="19">
        <f>H5962*G5963</f>
        <v>34311</v>
      </c>
      <c r="I5963" s="47"/>
    </row>
    <row r="5964" spans="3:11" x14ac:dyDescent="0.3">
      <c r="C5964" s="30" t="s">
        <v>37</v>
      </c>
      <c r="D5964" s="31" t="s">
        <v>38</v>
      </c>
      <c r="E5964" s="32"/>
      <c r="F5964" s="32"/>
      <c r="G5964" s="33"/>
      <c r="H5964" s="48">
        <f>SUM(H5962:H5963)</f>
        <v>377421</v>
      </c>
      <c r="I5964" s="47"/>
    </row>
    <row r="5966" spans="3:11" x14ac:dyDescent="0.3">
      <c r="C5966" s="40" t="s">
        <v>1153</v>
      </c>
      <c r="D5966" s="68" t="s">
        <v>1154</v>
      </c>
      <c r="E5966" s="44"/>
      <c r="F5966" s="44"/>
      <c r="G5966" s="44"/>
      <c r="H5966" s="44"/>
      <c r="I5966" s="10">
        <f>ROUNDDOWN(H5982,0)</f>
        <v>3468822</v>
      </c>
      <c r="J5966" s="15"/>
      <c r="K5966" s="39"/>
    </row>
    <row r="5967" spans="3:11" ht="27.6" x14ac:dyDescent="0.3">
      <c r="C5967" s="11" t="s">
        <v>9</v>
      </c>
      <c r="D5967" s="11" t="s">
        <v>10</v>
      </c>
      <c r="E5967" s="11" t="s">
        <v>11</v>
      </c>
      <c r="F5967" s="11" t="s">
        <v>12</v>
      </c>
      <c r="G5967" s="11" t="s">
        <v>13</v>
      </c>
      <c r="H5967" s="11" t="s">
        <v>14</v>
      </c>
    </row>
    <row r="5968" spans="3:11" x14ac:dyDescent="0.25">
      <c r="C5968" s="12" t="s">
        <v>15</v>
      </c>
      <c r="D5968" s="13" t="s">
        <v>16</v>
      </c>
      <c r="E5968" s="14"/>
      <c r="F5968" s="14"/>
      <c r="G5968" s="14"/>
      <c r="H5968" s="14"/>
    </row>
    <row r="5969" spans="3:11" x14ac:dyDescent="0.3">
      <c r="C5969" s="16">
        <v>1</v>
      </c>
      <c r="D5969" s="13" t="s">
        <v>18</v>
      </c>
      <c r="E5969" s="17" t="s">
        <v>19</v>
      </c>
      <c r="F5969" s="18">
        <v>1.395</v>
      </c>
      <c r="G5969" s="19">
        <f>VLOOKUP(D5969,upahbahan,3,FALSE)</f>
        <v>100000</v>
      </c>
      <c r="H5969" s="19">
        <f t="shared" ref="H5969:H5972" si="617">F5969*G5969</f>
        <v>139500</v>
      </c>
    </row>
    <row r="5970" spans="3:11" x14ac:dyDescent="0.3">
      <c r="C5970" s="16">
        <v>2</v>
      </c>
      <c r="D5970" s="13" t="s">
        <v>214</v>
      </c>
      <c r="E5970" s="17" t="s">
        <v>19</v>
      </c>
      <c r="F5970" s="18">
        <v>2.33</v>
      </c>
      <c r="G5970" s="19">
        <f>VLOOKUP(D5970,upahbahan,3,FALSE)</f>
        <v>145000</v>
      </c>
      <c r="H5970" s="19">
        <f t="shared" si="617"/>
        <v>337850</v>
      </c>
    </row>
    <row r="5971" spans="3:11" x14ac:dyDescent="0.3">
      <c r="C5971" s="16">
        <v>3</v>
      </c>
      <c r="D5971" s="13" t="s">
        <v>22</v>
      </c>
      <c r="E5971" s="17" t="s">
        <v>19</v>
      </c>
      <c r="F5971" s="18">
        <v>0.23300000000000001</v>
      </c>
      <c r="G5971" s="19">
        <f>VLOOKUP(D5971,upahbahan,3,FALSE)</f>
        <v>175000</v>
      </c>
      <c r="H5971" s="19">
        <f t="shared" si="617"/>
        <v>40775</v>
      </c>
    </row>
    <row r="5972" spans="3:11" x14ac:dyDescent="0.3">
      <c r="C5972" s="16">
        <v>4</v>
      </c>
      <c r="D5972" s="13" t="s">
        <v>23</v>
      </c>
      <c r="E5972" s="17" t="s">
        <v>19</v>
      </c>
      <c r="F5972" s="18">
        <v>7.8E-2</v>
      </c>
      <c r="G5972" s="19">
        <f>VLOOKUP(D5972,upahbahan,3,FALSE)</f>
        <v>200000</v>
      </c>
      <c r="H5972" s="19">
        <f t="shared" si="617"/>
        <v>15600</v>
      </c>
    </row>
    <row r="5973" spans="3:11" x14ac:dyDescent="0.3">
      <c r="C5973" s="21" t="s">
        <v>24</v>
      </c>
      <c r="D5973" s="22"/>
      <c r="E5973" s="22"/>
      <c r="F5973" s="54"/>
      <c r="G5973" s="24"/>
      <c r="H5973" s="19">
        <f>SUM(H5969:H5972)</f>
        <v>533725</v>
      </c>
      <c r="I5973" s="25"/>
    </row>
    <row r="5974" spans="3:11" x14ac:dyDescent="0.25">
      <c r="C5974" s="12" t="s">
        <v>25</v>
      </c>
      <c r="D5974" s="13" t="s">
        <v>26</v>
      </c>
      <c r="E5974" s="14"/>
      <c r="F5974" s="55"/>
      <c r="G5974" s="14"/>
      <c r="H5974" s="14"/>
    </row>
    <row r="5975" spans="3:11" x14ac:dyDescent="0.25">
      <c r="C5975" s="12">
        <v>1</v>
      </c>
      <c r="D5975" s="13" t="s">
        <v>1155</v>
      </c>
      <c r="E5975" s="53" t="s">
        <v>949</v>
      </c>
      <c r="F5975" s="115">
        <v>1.05</v>
      </c>
      <c r="G5975" s="19">
        <f>VLOOKUP(D5975,upahbahan,3,FALSE)</f>
        <v>495000</v>
      </c>
      <c r="H5975" s="19">
        <f>F5975*G5975</f>
        <v>519750</v>
      </c>
    </row>
    <row r="5976" spans="3:11" x14ac:dyDescent="0.25">
      <c r="C5976" s="12">
        <v>2</v>
      </c>
      <c r="D5976" s="13" t="s">
        <v>1156</v>
      </c>
      <c r="E5976" s="53" t="s">
        <v>949</v>
      </c>
      <c r="F5976" s="115">
        <v>1.05</v>
      </c>
      <c r="G5976" s="19">
        <f>VLOOKUP(D5976,upahbahan,3,FALSE)</f>
        <v>2000000</v>
      </c>
      <c r="H5976" s="19">
        <f>F5976*G5976</f>
        <v>2100000</v>
      </c>
    </row>
    <row r="5977" spans="3:11" x14ac:dyDescent="0.3">
      <c r="C5977" s="21" t="s">
        <v>29</v>
      </c>
      <c r="D5977" s="22"/>
      <c r="E5977" s="22"/>
      <c r="F5977" s="22"/>
      <c r="G5977" s="28"/>
      <c r="H5977" s="19">
        <f>SUM(H5975:H5976)</f>
        <v>2619750</v>
      </c>
    </row>
    <row r="5978" spans="3:11" x14ac:dyDescent="0.25">
      <c r="C5978" s="12" t="s">
        <v>30</v>
      </c>
      <c r="D5978" s="13" t="s">
        <v>31</v>
      </c>
      <c r="E5978" s="14"/>
      <c r="F5978" s="14"/>
      <c r="G5978" s="14"/>
      <c r="H5978" s="14"/>
    </row>
    <row r="5979" spans="3:11" x14ac:dyDescent="0.3">
      <c r="C5979" s="21" t="s">
        <v>32</v>
      </c>
      <c r="D5979" s="77"/>
      <c r="E5979" s="77"/>
      <c r="F5979" s="77"/>
      <c r="G5979" s="28"/>
      <c r="H5979" s="29">
        <f>SUM(H5978)</f>
        <v>0</v>
      </c>
    </row>
    <row r="5980" spans="3:11" x14ac:dyDescent="0.3">
      <c r="C5980" s="30" t="s">
        <v>33</v>
      </c>
      <c r="D5980" s="31" t="s">
        <v>34</v>
      </c>
      <c r="E5980" s="32"/>
      <c r="F5980" s="32"/>
      <c r="G5980" s="33"/>
      <c r="H5980" s="46">
        <f>H5979+H5977+H5973</f>
        <v>3153475</v>
      </c>
      <c r="I5980" s="47"/>
    </row>
    <row r="5981" spans="3:11" x14ac:dyDescent="0.3">
      <c r="C5981" s="30" t="s">
        <v>35</v>
      </c>
      <c r="D5981" s="31" t="s">
        <v>36</v>
      </c>
      <c r="E5981" s="32"/>
      <c r="F5981" s="33"/>
      <c r="G5981" s="34">
        <f>$M$9</f>
        <v>0.1</v>
      </c>
      <c r="H5981" s="19">
        <f>H5980*G5981</f>
        <v>315347.5</v>
      </c>
      <c r="I5981" s="47"/>
    </row>
    <row r="5982" spans="3:11" x14ac:dyDescent="0.3">
      <c r="C5982" s="30" t="s">
        <v>37</v>
      </c>
      <c r="D5982" s="31" t="s">
        <v>38</v>
      </c>
      <c r="E5982" s="32"/>
      <c r="F5982" s="32"/>
      <c r="G5982" s="33"/>
      <c r="H5982" s="48">
        <f>SUM(H5980:H5981)</f>
        <v>3468822.5</v>
      </c>
      <c r="I5982" s="47"/>
    </row>
    <row r="5984" spans="3:11" x14ac:dyDescent="0.3">
      <c r="C5984" s="40" t="s">
        <v>1157</v>
      </c>
      <c r="D5984" s="68" t="s">
        <v>1158</v>
      </c>
      <c r="E5984" s="44"/>
      <c r="F5984" s="44"/>
      <c r="G5984" s="44"/>
      <c r="H5984" s="44"/>
      <c r="I5984" s="10">
        <f>ROUNDDOWN(H6000,0)</f>
        <v>3972193</v>
      </c>
      <c r="J5984" s="15"/>
      <c r="K5984" s="39"/>
    </row>
    <row r="5985" spans="3:9" ht="27.6" x14ac:dyDescent="0.3">
      <c r="C5985" s="11" t="s">
        <v>9</v>
      </c>
      <c r="D5985" s="11" t="s">
        <v>10</v>
      </c>
      <c r="E5985" s="11" t="s">
        <v>11</v>
      </c>
      <c r="F5985" s="11" t="s">
        <v>12</v>
      </c>
      <c r="G5985" s="11" t="s">
        <v>13</v>
      </c>
      <c r="H5985" s="11" t="s">
        <v>14</v>
      </c>
    </row>
    <row r="5986" spans="3:9" x14ac:dyDescent="0.25">
      <c r="C5986" s="12" t="s">
        <v>15</v>
      </c>
      <c r="D5986" s="13" t="s">
        <v>16</v>
      </c>
      <c r="E5986" s="14"/>
      <c r="F5986" s="14"/>
      <c r="G5986" s="14"/>
      <c r="H5986" s="14"/>
    </row>
    <row r="5987" spans="3:9" x14ac:dyDescent="0.3">
      <c r="C5987" s="16">
        <v>1</v>
      </c>
      <c r="D5987" s="13" t="s">
        <v>18</v>
      </c>
      <c r="E5987" s="17" t="s">
        <v>19</v>
      </c>
      <c r="F5987" s="18">
        <v>2.0289999999999999</v>
      </c>
      <c r="G5987" s="19">
        <f>VLOOKUP(D5987,upahbahan,3,FALSE)</f>
        <v>100000</v>
      </c>
      <c r="H5987" s="19">
        <f t="shared" ref="H5987:H5990" si="618">F5987*G5987</f>
        <v>202900</v>
      </c>
    </row>
    <row r="5988" spans="3:9" x14ac:dyDescent="0.3">
      <c r="C5988" s="16">
        <v>2</v>
      </c>
      <c r="D5988" s="13" t="s">
        <v>214</v>
      </c>
      <c r="E5988" s="17" t="s">
        <v>19</v>
      </c>
      <c r="F5988" s="18">
        <v>3.3879999999999999</v>
      </c>
      <c r="G5988" s="19">
        <f>VLOOKUP(D5988,upahbahan,3,FALSE)</f>
        <v>145000</v>
      </c>
      <c r="H5988" s="19">
        <f t="shared" si="618"/>
        <v>491260</v>
      </c>
    </row>
    <row r="5989" spans="3:9" x14ac:dyDescent="0.3">
      <c r="C5989" s="16">
        <v>3</v>
      </c>
      <c r="D5989" s="13" t="s">
        <v>22</v>
      </c>
      <c r="E5989" s="17" t="s">
        <v>19</v>
      </c>
      <c r="F5989" s="18">
        <v>0.33900000000000002</v>
      </c>
      <c r="G5989" s="19">
        <f>VLOOKUP(D5989,upahbahan,3,FALSE)</f>
        <v>175000</v>
      </c>
      <c r="H5989" s="19">
        <f t="shared" si="618"/>
        <v>59325.000000000007</v>
      </c>
    </row>
    <row r="5990" spans="3:9" x14ac:dyDescent="0.3">
      <c r="C5990" s="16">
        <v>4</v>
      </c>
      <c r="D5990" s="13" t="s">
        <v>23</v>
      </c>
      <c r="E5990" s="17" t="s">
        <v>19</v>
      </c>
      <c r="F5990" s="18">
        <v>0.113</v>
      </c>
      <c r="G5990" s="19">
        <f>VLOOKUP(D5990,upahbahan,3,FALSE)</f>
        <v>200000</v>
      </c>
      <c r="H5990" s="19">
        <f t="shared" si="618"/>
        <v>22600</v>
      </c>
    </row>
    <row r="5991" spans="3:9" x14ac:dyDescent="0.3">
      <c r="C5991" s="21" t="s">
        <v>24</v>
      </c>
      <c r="D5991" s="22"/>
      <c r="E5991" s="22"/>
      <c r="F5991" s="54"/>
      <c r="G5991" s="24"/>
      <c r="H5991" s="19">
        <f>SUM(H5987:H5990)</f>
        <v>776085</v>
      </c>
      <c r="I5991" s="25"/>
    </row>
    <row r="5992" spans="3:9" x14ac:dyDescent="0.25">
      <c r="C5992" s="12" t="s">
        <v>25</v>
      </c>
      <c r="D5992" s="13" t="s">
        <v>26</v>
      </c>
      <c r="E5992" s="14"/>
      <c r="F5992" s="55"/>
      <c r="G5992" s="14"/>
      <c r="H5992" s="14"/>
    </row>
    <row r="5993" spans="3:9" x14ac:dyDescent="0.25">
      <c r="C5993" s="12">
        <v>1</v>
      </c>
      <c r="D5993" s="13" t="s">
        <v>1159</v>
      </c>
      <c r="E5993" s="53" t="s">
        <v>949</v>
      </c>
      <c r="F5993" s="115">
        <v>1.05</v>
      </c>
      <c r="G5993" s="19">
        <f>VLOOKUP(D5993,upahbahan,3,FALSE)</f>
        <v>700000</v>
      </c>
      <c r="H5993" s="19">
        <f>F5993*G5993</f>
        <v>735000</v>
      </c>
    </row>
    <row r="5994" spans="3:9" x14ac:dyDescent="0.25">
      <c r="C5994" s="12">
        <v>2</v>
      </c>
      <c r="D5994" s="13" t="s">
        <v>1156</v>
      </c>
      <c r="E5994" s="53" t="s">
        <v>949</v>
      </c>
      <c r="F5994" s="115">
        <v>1.05</v>
      </c>
      <c r="G5994" s="19">
        <f>VLOOKUP(D5994,upahbahan,3,FALSE)</f>
        <v>2000000</v>
      </c>
      <c r="H5994" s="19">
        <f>F5994*G5994</f>
        <v>2100000</v>
      </c>
    </row>
    <row r="5995" spans="3:9" x14ac:dyDescent="0.3">
      <c r="C5995" s="21" t="s">
        <v>29</v>
      </c>
      <c r="D5995" s="22"/>
      <c r="E5995" s="22"/>
      <c r="F5995" s="22"/>
      <c r="G5995" s="28"/>
      <c r="H5995" s="19">
        <f>SUM(H5993:H5994)</f>
        <v>2835000</v>
      </c>
    </row>
    <row r="5996" spans="3:9" x14ac:dyDescent="0.25">
      <c r="C5996" s="12" t="s">
        <v>30</v>
      </c>
      <c r="D5996" s="13" t="s">
        <v>31</v>
      </c>
      <c r="E5996" s="14"/>
      <c r="F5996" s="14"/>
      <c r="G5996" s="14"/>
      <c r="H5996" s="14"/>
    </row>
    <row r="5997" spans="3:9" x14ac:dyDescent="0.3">
      <c r="C5997" s="21" t="s">
        <v>32</v>
      </c>
      <c r="D5997" s="77"/>
      <c r="E5997" s="77"/>
      <c r="F5997" s="77"/>
      <c r="G5997" s="28"/>
      <c r="H5997" s="29">
        <f>SUM(H5996)</f>
        <v>0</v>
      </c>
    </row>
    <row r="5998" spans="3:9" x14ac:dyDescent="0.3">
      <c r="C5998" s="30" t="s">
        <v>33</v>
      </c>
      <c r="D5998" s="31" t="s">
        <v>34</v>
      </c>
      <c r="E5998" s="32"/>
      <c r="F5998" s="32"/>
      <c r="G5998" s="33"/>
      <c r="H5998" s="46">
        <f>H5997+H5995+H5991</f>
        <v>3611085</v>
      </c>
      <c r="I5998" s="47"/>
    </row>
    <row r="5999" spans="3:9" x14ac:dyDescent="0.3">
      <c r="C5999" s="30" t="s">
        <v>35</v>
      </c>
      <c r="D5999" s="31" t="s">
        <v>36</v>
      </c>
      <c r="E5999" s="32"/>
      <c r="F5999" s="33"/>
      <c r="G5999" s="34">
        <f>$M$9</f>
        <v>0.1</v>
      </c>
      <c r="H5999" s="19">
        <f>H5998*G5999</f>
        <v>361108.5</v>
      </c>
      <c r="I5999" s="47"/>
    </row>
    <row r="6000" spans="3:9" x14ac:dyDescent="0.3">
      <c r="C6000" s="30" t="s">
        <v>37</v>
      </c>
      <c r="D6000" s="31" t="s">
        <v>38</v>
      </c>
      <c r="E6000" s="32"/>
      <c r="F6000" s="32"/>
      <c r="G6000" s="33"/>
      <c r="H6000" s="48">
        <f>SUM(H5998:H5999)</f>
        <v>3972193.5</v>
      </c>
      <c r="I6000" s="47"/>
    </row>
    <row r="6002" spans="3:11" x14ac:dyDescent="0.3">
      <c r="C6002" s="40" t="s">
        <v>1160</v>
      </c>
      <c r="D6002" s="68" t="s">
        <v>1161</v>
      </c>
      <c r="E6002" s="44"/>
      <c r="F6002" s="44"/>
      <c r="G6002" s="44"/>
      <c r="H6002" s="44"/>
      <c r="I6002" s="10">
        <f>ROUNDDOWN(H6017,0)</f>
        <v>294745</v>
      </c>
      <c r="J6002" s="15"/>
      <c r="K6002" s="39"/>
    </row>
    <row r="6003" spans="3:11" ht="27.6" x14ac:dyDescent="0.3">
      <c r="C6003" s="11" t="s">
        <v>9</v>
      </c>
      <c r="D6003" s="11" t="s">
        <v>10</v>
      </c>
      <c r="E6003" s="11" t="s">
        <v>11</v>
      </c>
      <c r="F6003" s="11" t="s">
        <v>12</v>
      </c>
      <c r="G6003" s="11" t="s">
        <v>13</v>
      </c>
      <c r="H6003" s="11" t="s">
        <v>14</v>
      </c>
    </row>
    <row r="6004" spans="3:11" x14ac:dyDescent="0.25">
      <c r="C6004" s="12" t="s">
        <v>15</v>
      </c>
      <c r="D6004" s="13" t="s">
        <v>16</v>
      </c>
      <c r="E6004" s="14"/>
      <c r="F6004" s="14"/>
      <c r="G6004" s="14"/>
      <c r="H6004" s="14"/>
    </row>
    <row r="6005" spans="3:11" x14ac:dyDescent="0.3">
      <c r="C6005" s="16">
        <v>1</v>
      </c>
      <c r="D6005" s="13" t="s">
        <v>18</v>
      </c>
      <c r="E6005" s="17" t="s">
        <v>19</v>
      </c>
      <c r="F6005" s="18">
        <v>0.255</v>
      </c>
      <c r="G6005" s="19">
        <f>VLOOKUP(D6005,upahbahan,3,FALSE)</f>
        <v>100000</v>
      </c>
      <c r="H6005" s="19">
        <f t="shared" ref="H6005:H6008" si="619">F6005*G6005</f>
        <v>25500</v>
      </c>
    </row>
    <row r="6006" spans="3:11" x14ac:dyDescent="0.3">
      <c r="C6006" s="16">
        <v>2</v>
      </c>
      <c r="D6006" s="13" t="s">
        <v>214</v>
      </c>
      <c r="E6006" s="17" t="s">
        <v>19</v>
      </c>
      <c r="F6006" s="18">
        <v>0.42499999999999999</v>
      </c>
      <c r="G6006" s="19">
        <f>VLOOKUP(D6006,upahbahan,3,FALSE)</f>
        <v>145000</v>
      </c>
      <c r="H6006" s="19">
        <f t="shared" si="619"/>
        <v>61625</v>
      </c>
    </row>
    <row r="6007" spans="3:11" x14ac:dyDescent="0.3">
      <c r="C6007" s="16">
        <v>3</v>
      </c>
      <c r="D6007" s="13" t="s">
        <v>22</v>
      </c>
      <c r="E6007" s="17" t="s">
        <v>19</v>
      </c>
      <c r="F6007" s="18">
        <v>4.2999999999999997E-2</v>
      </c>
      <c r="G6007" s="19">
        <f>VLOOKUP(D6007,upahbahan,3,FALSE)</f>
        <v>175000</v>
      </c>
      <c r="H6007" s="19">
        <f t="shared" si="619"/>
        <v>7524.9999999999991</v>
      </c>
    </row>
    <row r="6008" spans="3:11" x14ac:dyDescent="0.3">
      <c r="C6008" s="16">
        <v>4</v>
      </c>
      <c r="D6008" s="13" t="s">
        <v>23</v>
      </c>
      <c r="E6008" s="17" t="s">
        <v>19</v>
      </c>
      <c r="F6008" s="18">
        <v>1.4E-2</v>
      </c>
      <c r="G6008" s="19">
        <f>VLOOKUP(D6008,upahbahan,3,FALSE)</f>
        <v>200000</v>
      </c>
      <c r="H6008" s="19">
        <f t="shared" si="619"/>
        <v>2800</v>
      </c>
    </row>
    <row r="6009" spans="3:11" x14ac:dyDescent="0.3">
      <c r="C6009" s="21" t="s">
        <v>24</v>
      </c>
      <c r="D6009" s="22"/>
      <c r="E6009" s="22"/>
      <c r="F6009" s="54"/>
      <c r="G6009" s="24"/>
      <c r="H6009" s="19">
        <f>SUM(H6005:H6008)</f>
        <v>97450</v>
      </c>
      <c r="I6009" s="25"/>
    </row>
    <row r="6010" spans="3:11" x14ac:dyDescent="0.25">
      <c r="C6010" s="12" t="s">
        <v>25</v>
      </c>
      <c r="D6010" s="13" t="s">
        <v>26</v>
      </c>
      <c r="E6010" s="14"/>
      <c r="F6010" s="55"/>
      <c r="G6010" s="14"/>
      <c r="H6010" s="14"/>
    </row>
    <row r="6011" spans="3:11" x14ac:dyDescent="0.25">
      <c r="C6011" s="12">
        <v>1</v>
      </c>
      <c r="D6011" s="13" t="s">
        <v>1162</v>
      </c>
      <c r="E6011" s="53" t="s">
        <v>949</v>
      </c>
      <c r="F6011" s="115">
        <v>1.1000000000000001</v>
      </c>
      <c r="G6011" s="19">
        <f>VLOOKUP(D6011,upahbahan,3,FALSE)</f>
        <v>155000</v>
      </c>
      <c r="H6011" s="19">
        <f>F6011*G6011</f>
        <v>170500</v>
      </c>
    </row>
    <row r="6012" spans="3:11" x14ac:dyDescent="0.3">
      <c r="C6012" s="21" t="s">
        <v>29</v>
      </c>
      <c r="D6012" s="22"/>
      <c r="E6012" s="22"/>
      <c r="F6012" s="22"/>
      <c r="G6012" s="28"/>
      <c r="H6012" s="19">
        <f>SUM(H6011:H6011)</f>
        <v>170500</v>
      </c>
    </row>
    <row r="6013" spans="3:11" x14ac:dyDescent="0.25">
      <c r="C6013" s="12" t="s">
        <v>30</v>
      </c>
      <c r="D6013" s="13" t="s">
        <v>31</v>
      </c>
      <c r="E6013" s="14"/>
      <c r="F6013" s="14"/>
      <c r="G6013" s="14"/>
      <c r="H6013" s="14"/>
    </row>
    <row r="6014" spans="3:11" x14ac:dyDescent="0.3">
      <c r="C6014" s="21" t="s">
        <v>32</v>
      </c>
      <c r="D6014" s="77"/>
      <c r="E6014" s="77"/>
      <c r="F6014" s="77"/>
      <c r="G6014" s="28"/>
      <c r="H6014" s="29">
        <f>SUM(H6013)</f>
        <v>0</v>
      </c>
    </row>
    <row r="6015" spans="3:11" x14ac:dyDescent="0.3">
      <c r="C6015" s="30" t="s">
        <v>33</v>
      </c>
      <c r="D6015" s="31" t="s">
        <v>34</v>
      </c>
      <c r="E6015" s="32"/>
      <c r="F6015" s="32"/>
      <c r="G6015" s="33"/>
      <c r="H6015" s="46">
        <f>H6014+H6012+H6009</f>
        <v>267950</v>
      </c>
      <c r="I6015" s="47"/>
    </row>
    <row r="6016" spans="3:11" x14ac:dyDescent="0.3">
      <c r="C6016" s="30" t="s">
        <v>35</v>
      </c>
      <c r="D6016" s="31" t="s">
        <v>36</v>
      </c>
      <c r="E6016" s="32"/>
      <c r="F6016" s="33"/>
      <c r="G6016" s="34">
        <f>$M$9</f>
        <v>0.1</v>
      </c>
      <c r="H6016" s="19">
        <f>H6015*G6016</f>
        <v>26795</v>
      </c>
      <c r="I6016" s="47"/>
    </row>
    <row r="6017" spans="3:11" x14ac:dyDescent="0.3">
      <c r="C6017" s="30" t="s">
        <v>37</v>
      </c>
      <c r="D6017" s="31" t="s">
        <v>38</v>
      </c>
      <c r="E6017" s="32"/>
      <c r="F6017" s="32"/>
      <c r="G6017" s="33"/>
      <c r="H6017" s="48">
        <f>SUM(H6015:H6016)</f>
        <v>294745</v>
      </c>
      <c r="I6017" s="47"/>
    </row>
    <row r="6020" spans="3:11" x14ac:dyDescent="0.3">
      <c r="C6020" s="40" t="s">
        <v>1163</v>
      </c>
      <c r="D6020" s="68" t="s">
        <v>1164</v>
      </c>
      <c r="E6020" s="44"/>
      <c r="F6020" s="44"/>
      <c r="G6020" s="44"/>
      <c r="H6020" s="44"/>
      <c r="I6020" s="10">
        <f>ROUNDDOWN(H6036,0)</f>
        <v>79134</v>
      </c>
      <c r="J6020" s="15"/>
      <c r="K6020" s="39"/>
    </row>
    <row r="6021" spans="3:11" ht="27.6" x14ac:dyDescent="0.3">
      <c r="C6021" s="11" t="s">
        <v>9</v>
      </c>
      <c r="D6021" s="11" t="s">
        <v>10</v>
      </c>
      <c r="E6021" s="11" t="s">
        <v>11</v>
      </c>
      <c r="F6021" s="11" t="s">
        <v>12</v>
      </c>
      <c r="G6021" s="11" t="s">
        <v>13</v>
      </c>
      <c r="H6021" s="11" t="s">
        <v>14</v>
      </c>
    </row>
    <row r="6022" spans="3:11" x14ac:dyDescent="0.25">
      <c r="C6022" s="12" t="s">
        <v>15</v>
      </c>
      <c r="D6022" s="13" t="s">
        <v>16</v>
      </c>
      <c r="E6022" s="14"/>
      <c r="F6022" s="14"/>
      <c r="G6022" s="14"/>
      <c r="H6022" s="14"/>
    </row>
    <row r="6023" spans="3:11" x14ac:dyDescent="0.3">
      <c r="C6023" s="16">
        <v>1</v>
      </c>
      <c r="D6023" s="13" t="s">
        <v>18</v>
      </c>
      <c r="E6023" s="17" t="s">
        <v>19</v>
      </c>
      <c r="F6023" s="18">
        <v>6.4000000000000001E-2</v>
      </c>
      <c r="G6023" s="19">
        <f>VLOOKUP(D6023,upahbahan,3,FALSE)</f>
        <v>100000</v>
      </c>
      <c r="H6023" s="19">
        <f t="shared" ref="H6023:H6026" si="620">F6023*G6023</f>
        <v>6400</v>
      </c>
    </row>
    <row r="6024" spans="3:11" x14ac:dyDescent="0.3">
      <c r="C6024" s="16">
        <v>2</v>
      </c>
      <c r="D6024" s="13" t="s">
        <v>214</v>
      </c>
      <c r="E6024" s="17" t="s">
        <v>19</v>
      </c>
      <c r="F6024" s="18">
        <v>0.107</v>
      </c>
      <c r="G6024" s="19">
        <f>VLOOKUP(D6024,upahbahan,3,FALSE)</f>
        <v>145000</v>
      </c>
      <c r="H6024" s="19">
        <f t="shared" si="620"/>
        <v>15515</v>
      </c>
    </row>
    <row r="6025" spans="3:11" x14ac:dyDescent="0.3">
      <c r="C6025" s="16">
        <v>3</v>
      </c>
      <c r="D6025" s="13" t="s">
        <v>22</v>
      </c>
      <c r="E6025" s="17" t="s">
        <v>19</v>
      </c>
      <c r="F6025" s="18">
        <v>1.0999999999999999E-2</v>
      </c>
      <c r="G6025" s="19">
        <f>VLOOKUP(D6025,upahbahan,3,FALSE)</f>
        <v>175000</v>
      </c>
      <c r="H6025" s="19">
        <f t="shared" si="620"/>
        <v>1925</v>
      </c>
    </row>
    <row r="6026" spans="3:11" x14ac:dyDescent="0.3">
      <c r="C6026" s="16">
        <v>4</v>
      </c>
      <c r="D6026" s="13" t="s">
        <v>23</v>
      </c>
      <c r="E6026" s="17" t="s">
        <v>19</v>
      </c>
      <c r="F6026" s="18">
        <v>4.0000000000000001E-3</v>
      </c>
      <c r="G6026" s="19">
        <f>VLOOKUP(D6026,upahbahan,3,FALSE)</f>
        <v>200000</v>
      </c>
      <c r="H6026" s="19">
        <f t="shared" si="620"/>
        <v>800</v>
      </c>
    </row>
    <row r="6027" spans="3:11" x14ac:dyDescent="0.3">
      <c r="C6027" s="21" t="s">
        <v>24</v>
      </c>
      <c r="D6027" s="22"/>
      <c r="E6027" s="22"/>
      <c r="F6027" s="54"/>
      <c r="G6027" s="24"/>
      <c r="H6027" s="19">
        <f>SUM(H6023:H6026)</f>
        <v>24640</v>
      </c>
      <c r="I6027" s="25"/>
    </row>
    <row r="6028" spans="3:11" x14ac:dyDescent="0.25">
      <c r="C6028" s="12" t="s">
        <v>25</v>
      </c>
      <c r="D6028" s="13" t="s">
        <v>26</v>
      </c>
      <c r="E6028" s="14"/>
      <c r="F6028" s="55"/>
      <c r="G6028" s="14"/>
      <c r="H6028" s="14"/>
    </row>
    <row r="6029" spans="3:11" x14ac:dyDescent="0.25">
      <c r="C6029" s="12">
        <v>1</v>
      </c>
      <c r="D6029" s="13" t="s">
        <v>1165</v>
      </c>
      <c r="E6029" s="53" t="s">
        <v>949</v>
      </c>
      <c r="F6029" s="115">
        <v>1.1000000000000001</v>
      </c>
      <c r="G6029" s="19">
        <f>VLOOKUP(D6029,upahbahan,3,FALSE)</f>
        <v>27000</v>
      </c>
      <c r="H6029" s="19">
        <f>F6029*G6029</f>
        <v>29700.000000000004</v>
      </c>
    </row>
    <row r="6030" spans="3:11" x14ac:dyDescent="0.25">
      <c r="C6030" s="12">
        <v>1</v>
      </c>
      <c r="D6030" s="13" t="s">
        <v>1166</v>
      </c>
      <c r="E6030" s="53" t="s">
        <v>949</v>
      </c>
      <c r="F6030" s="115">
        <v>1.1000000000000001</v>
      </c>
      <c r="G6030" s="19">
        <f>VLOOKUP(D6030,upahbahan,3,FALSE)</f>
        <v>16000</v>
      </c>
      <c r="H6030" s="19">
        <f>F6030*G6030</f>
        <v>17600</v>
      </c>
    </row>
    <row r="6031" spans="3:11" x14ac:dyDescent="0.3">
      <c r="C6031" s="21" t="s">
        <v>29</v>
      </c>
      <c r="D6031" s="22"/>
      <c r="E6031" s="22"/>
      <c r="F6031" s="22"/>
      <c r="G6031" s="28"/>
      <c r="H6031" s="19">
        <f>SUM(H6029:H6030)</f>
        <v>47300</v>
      </c>
    </row>
    <row r="6032" spans="3:11" x14ac:dyDescent="0.25">
      <c r="C6032" s="12" t="s">
        <v>30</v>
      </c>
      <c r="D6032" s="13" t="s">
        <v>31</v>
      </c>
      <c r="E6032" s="14"/>
      <c r="F6032" s="14"/>
      <c r="G6032" s="14"/>
      <c r="H6032" s="14"/>
    </row>
    <row r="6033" spans="3:11" x14ac:dyDescent="0.3">
      <c r="C6033" s="21" t="s">
        <v>32</v>
      </c>
      <c r="D6033" s="77"/>
      <c r="E6033" s="77"/>
      <c r="F6033" s="77"/>
      <c r="G6033" s="28"/>
      <c r="H6033" s="29">
        <f>SUM(H6032)</f>
        <v>0</v>
      </c>
    </row>
    <row r="6034" spans="3:11" x14ac:dyDescent="0.3">
      <c r="C6034" s="30" t="s">
        <v>33</v>
      </c>
      <c r="D6034" s="31" t="s">
        <v>34</v>
      </c>
      <c r="E6034" s="32"/>
      <c r="F6034" s="32"/>
      <c r="G6034" s="33"/>
      <c r="H6034" s="46">
        <f>H6033+H6031+H6027</f>
        <v>71940</v>
      </c>
      <c r="I6034" s="47"/>
    </row>
    <row r="6035" spans="3:11" x14ac:dyDescent="0.3">
      <c r="C6035" s="30" t="s">
        <v>35</v>
      </c>
      <c r="D6035" s="31" t="s">
        <v>36</v>
      </c>
      <c r="E6035" s="32"/>
      <c r="F6035" s="33"/>
      <c r="G6035" s="34">
        <f>$M$9</f>
        <v>0.1</v>
      </c>
      <c r="H6035" s="19">
        <f>H6034*G6035</f>
        <v>7194</v>
      </c>
      <c r="I6035" s="47"/>
    </row>
    <row r="6036" spans="3:11" x14ac:dyDescent="0.3">
      <c r="C6036" s="30" t="s">
        <v>37</v>
      </c>
      <c r="D6036" s="31" t="s">
        <v>38</v>
      </c>
      <c r="E6036" s="32"/>
      <c r="F6036" s="32"/>
      <c r="G6036" s="33"/>
      <c r="H6036" s="48">
        <f>SUM(H6034:H6035)</f>
        <v>79134</v>
      </c>
      <c r="I6036" s="47"/>
    </row>
    <row r="6038" spans="3:11" x14ac:dyDescent="0.3">
      <c r="C6038" s="40" t="s">
        <v>1167</v>
      </c>
      <c r="D6038" s="68" t="s">
        <v>1168</v>
      </c>
      <c r="E6038" s="44"/>
      <c r="F6038" s="44"/>
      <c r="G6038" s="44"/>
      <c r="H6038" s="44"/>
      <c r="I6038" s="10">
        <f>ROUNDDOWN(H6055,0)</f>
        <v>212234</v>
      </c>
      <c r="J6038" s="15"/>
      <c r="K6038" s="39"/>
    </row>
    <row r="6039" spans="3:11" ht="27.6" x14ac:dyDescent="0.3">
      <c r="C6039" s="11" t="s">
        <v>9</v>
      </c>
      <c r="D6039" s="11" t="s">
        <v>10</v>
      </c>
      <c r="E6039" s="11" t="s">
        <v>11</v>
      </c>
      <c r="F6039" s="11" t="s">
        <v>12</v>
      </c>
      <c r="G6039" s="11" t="s">
        <v>13</v>
      </c>
      <c r="H6039" s="11" t="s">
        <v>14</v>
      </c>
    </row>
    <row r="6040" spans="3:11" x14ac:dyDescent="0.25">
      <c r="C6040" s="12" t="s">
        <v>15</v>
      </c>
      <c r="D6040" s="13" t="s">
        <v>16</v>
      </c>
      <c r="E6040" s="14"/>
      <c r="F6040" s="14"/>
      <c r="G6040" s="14"/>
      <c r="H6040" s="14"/>
    </row>
    <row r="6041" spans="3:11" x14ac:dyDescent="0.3">
      <c r="C6041" s="16">
        <v>1</v>
      </c>
      <c r="D6041" s="13" t="s">
        <v>18</v>
      </c>
      <c r="E6041" s="17" t="s">
        <v>19</v>
      </c>
      <c r="F6041" s="18">
        <v>6.4000000000000001E-2</v>
      </c>
      <c r="G6041" s="19">
        <f>VLOOKUP(D6041,upahbahan,3,FALSE)</f>
        <v>100000</v>
      </c>
      <c r="H6041" s="19">
        <f t="shared" ref="H6041:H6044" si="621">F6041*G6041</f>
        <v>6400</v>
      </c>
    </row>
    <row r="6042" spans="3:11" x14ac:dyDescent="0.3">
      <c r="C6042" s="16">
        <v>2</v>
      </c>
      <c r="D6042" s="13" t="s">
        <v>214</v>
      </c>
      <c r="E6042" s="17" t="s">
        <v>19</v>
      </c>
      <c r="F6042" s="18">
        <v>0.107</v>
      </c>
      <c r="G6042" s="19">
        <f>VLOOKUP(D6042,upahbahan,3,FALSE)</f>
        <v>145000</v>
      </c>
      <c r="H6042" s="19">
        <f t="shared" si="621"/>
        <v>15515</v>
      </c>
    </row>
    <row r="6043" spans="3:11" x14ac:dyDescent="0.3">
      <c r="C6043" s="16">
        <v>3</v>
      </c>
      <c r="D6043" s="13" t="s">
        <v>22</v>
      </c>
      <c r="E6043" s="17" t="s">
        <v>19</v>
      </c>
      <c r="F6043" s="18">
        <v>1.0999999999999999E-2</v>
      </c>
      <c r="G6043" s="19">
        <f>VLOOKUP(D6043,upahbahan,3,FALSE)</f>
        <v>175000</v>
      </c>
      <c r="H6043" s="19">
        <f t="shared" si="621"/>
        <v>1925</v>
      </c>
    </row>
    <row r="6044" spans="3:11" x14ac:dyDescent="0.3">
      <c r="C6044" s="16">
        <v>4</v>
      </c>
      <c r="D6044" s="13" t="s">
        <v>23</v>
      </c>
      <c r="E6044" s="17" t="s">
        <v>19</v>
      </c>
      <c r="F6044" s="18">
        <v>4.0000000000000001E-3</v>
      </c>
      <c r="G6044" s="19">
        <f>VLOOKUP(D6044,upahbahan,3,FALSE)</f>
        <v>200000</v>
      </c>
      <c r="H6044" s="19">
        <f t="shared" si="621"/>
        <v>800</v>
      </c>
    </row>
    <row r="6045" spans="3:11" x14ac:dyDescent="0.3">
      <c r="C6045" s="21" t="s">
        <v>24</v>
      </c>
      <c r="D6045" s="22"/>
      <c r="E6045" s="22"/>
      <c r="F6045" s="54"/>
      <c r="G6045" s="24"/>
      <c r="H6045" s="19">
        <f>SUM(H6041:H6044)</f>
        <v>24640</v>
      </c>
      <c r="I6045" s="25"/>
    </row>
    <row r="6046" spans="3:11" x14ac:dyDescent="0.25">
      <c r="C6046" s="12" t="s">
        <v>25</v>
      </c>
      <c r="D6046" s="13" t="s">
        <v>26</v>
      </c>
      <c r="E6046" s="14"/>
      <c r="F6046" s="55"/>
      <c r="G6046" s="14"/>
      <c r="H6046" s="14"/>
    </row>
    <row r="6047" spans="3:11" x14ac:dyDescent="0.25">
      <c r="C6047" s="12">
        <v>1</v>
      </c>
      <c r="D6047" s="13" t="s">
        <v>1165</v>
      </c>
      <c r="E6047" s="53" t="s">
        <v>949</v>
      </c>
      <c r="F6047" s="115">
        <v>1.1000000000000001</v>
      </c>
      <c r="G6047" s="19">
        <f>VLOOKUP(D6047,upahbahan,3,FALSE)</f>
        <v>27000</v>
      </c>
      <c r="H6047" s="19">
        <f>F6047*G6047</f>
        <v>29700.000000000004</v>
      </c>
    </row>
    <row r="6048" spans="3:11" x14ac:dyDescent="0.25">
      <c r="C6048" s="12">
        <v>2</v>
      </c>
      <c r="D6048" s="13" t="s">
        <v>1166</v>
      </c>
      <c r="E6048" s="53" t="s">
        <v>949</v>
      </c>
      <c r="F6048" s="115">
        <v>1.1000000000000001</v>
      </c>
      <c r="G6048" s="19">
        <f>VLOOKUP(D6048,upahbahan,3,FALSE)</f>
        <v>16000</v>
      </c>
      <c r="H6048" s="19">
        <f>F6048*G6048</f>
        <v>17600</v>
      </c>
    </row>
    <row r="6049" spans="3:11" x14ac:dyDescent="0.25">
      <c r="C6049" s="12">
        <v>3</v>
      </c>
      <c r="D6049" s="13" t="s">
        <v>1118</v>
      </c>
      <c r="E6049" s="53" t="s">
        <v>949</v>
      </c>
      <c r="F6049" s="115">
        <v>1.1000000000000001</v>
      </c>
      <c r="G6049" s="19">
        <f>VLOOKUP(D6049,upahbahan,3,FALSE)</f>
        <v>110000</v>
      </c>
      <c r="H6049" s="19">
        <f>F6049*G6049</f>
        <v>121000.00000000001</v>
      </c>
    </row>
    <row r="6050" spans="3:11" x14ac:dyDescent="0.3">
      <c r="C6050" s="21" t="s">
        <v>29</v>
      </c>
      <c r="D6050" s="22"/>
      <c r="E6050" s="22"/>
      <c r="F6050" s="22"/>
      <c r="G6050" s="28"/>
      <c r="H6050" s="19">
        <f>SUM(H6047:H6049)</f>
        <v>168300</v>
      </c>
    </row>
    <row r="6051" spans="3:11" x14ac:dyDescent="0.25">
      <c r="C6051" s="12" t="s">
        <v>30</v>
      </c>
      <c r="D6051" s="13" t="s">
        <v>31</v>
      </c>
      <c r="E6051" s="14"/>
      <c r="F6051" s="14"/>
      <c r="G6051" s="14"/>
      <c r="H6051" s="14"/>
    </row>
    <row r="6052" spans="3:11" x14ac:dyDescent="0.3">
      <c r="C6052" s="21" t="s">
        <v>32</v>
      </c>
      <c r="D6052" s="77"/>
      <c r="E6052" s="77"/>
      <c r="F6052" s="77"/>
      <c r="G6052" s="28"/>
      <c r="H6052" s="29">
        <f>SUM(H6051)</f>
        <v>0</v>
      </c>
    </row>
    <row r="6053" spans="3:11" x14ac:dyDescent="0.3">
      <c r="C6053" s="30" t="s">
        <v>33</v>
      </c>
      <c r="D6053" s="31" t="s">
        <v>34</v>
      </c>
      <c r="E6053" s="32"/>
      <c r="F6053" s="32"/>
      <c r="G6053" s="33"/>
      <c r="H6053" s="46">
        <f>H6052+H6050+H6045</f>
        <v>192940</v>
      </c>
      <c r="I6053" s="47"/>
    </row>
    <row r="6054" spans="3:11" x14ac:dyDescent="0.3">
      <c r="C6054" s="30" t="s">
        <v>35</v>
      </c>
      <c r="D6054" s="31" t="s">
        <v>36</v>
      </c>
      <c r="E6054" s="32"/>
      <c r="F6054" s="33"/>
      <c r="G6054" s="34">
        <f>$M$9</f>
        <v>0.1</v>
      </c>
      <c r="H6054" s="19">
        <f>H6053*G6054</f>
        <v>19294</v>
      </c>
      <c r="I6054" s="47"/>
    </row>
    <row r="6055" spans="3:11" x14ac:dyDescent="0.3">
      <c r="C6055" s="30" t="s">
        <v>37</v>
      </c>
      <c r="D6055" s="31" t="s">
        <v>38</v>
      </c>
      <c r="E6055" s="32"/>
      <c r="F6055" s="32"/>
      <c r="G6055" s="33"/>
      <c r="H6055" s="48">
        <f>SUM(H6053:H6054)</f>
        <v>212234</v>
      </c>
      <c r="I6055" s="47"/>
    </row>
    <row r="6057" spans="3:11" x14ac:dyDescent="0.3">
      <c r="C6057" s="40" t="s">
        <v>1169</v>
      </c>
      <c r="D6057" s="68" t="s">
        <v>1170</v>
      </c>
      <c r="E6057" s="44"/>
      <c r="F6057" s="44"/>
      <c r="G6057" s="44"/>
      <c r="H6057" s="44"/>
      <c r="I6057" s="10">
        <f>ROUNDDOWN(H6073,0)</f>
        <v>87604</v>
      </c>
      <c r="J6057" s="15"/>
      <c r="K6057" s="39"/>
    </row>
    <row r="6058" spans="3:11" ht="27.6" x14ac:dyDescent="0.3">
      <c r="C6058" s="11" t="s">
        <v>9</v>
      </c>
      <c r="D6058" s="11" t="s">
        <v>10</v>
      </c>
      <c r="E6058" s="11" t="s">
        <v>11</v>
      </c>
      <c r="F6058" s="11" t="s">
        <v>12</v>
      </c>
      <c r="G6058" s="11" t="s">
        <v>13</v>
      </c>
      <c r="H6058" s="11" t="s">
        <v>14</v>
      </c>
    </row>
    <row r="6059" spans="3:11" x14ac:dyDescent="0.25">
      <c r="C6059" s="12" t="s">
        <v>15</v>
      </c>
      <c r="D6059" s="13" t="s">
        <v>16</v>
      </c>
      <c r="E6059" s="14"/>
      <c r="F6059" s="14"/>
      <c r="G6059" s="14"/>
      <c r="H6059" s="14"/>
    </row>
    <row r="6060" spans="3:11" x14ac:dyDescent="0.3">
      <c r="C6060" s="16">
        <v>1</v>
      </c>
      <c r="D6060" s="13" t="s">
        <v>18</v>
      </c>
      <c r="E6060" s="17" t="s">
        <v>19</v>
      </c>
      <c r="F6060" s="18">
        <v>6.4000000000000001E-2</v>
      </c>
      <c r="G6060" s="19">
        <f>VLOOKUP(D6060,upahbahan,3,FALSE)</f>
        <v>100000</v>
      </c>
      <c r="H6060" s="19">
        <f t="shared" ref="H6060:H6063" si="622">F6060*G6060</f>
        <v>6400</v>
      </c>
    </row>
    <row r="6061" spans="3:11" x14ac:dyDescent="0.3">
      <c r="C6061" s="16">
        <v>2</v>
      </c>
      <c r="D6061" s="13" t="s">
        <v>214</v>
      </c>
      <c r="E6061" s="17" t="s">
        <v>19</v>
      </c>
      <c r="F6061" s="18">
        <v>0.107</v>
      </c>
      <c r="G6061" s="19">
        <f>VLOOKUP(D6061,upahbahan,3,FALSE)</f>
        <v>145000</v>
      </c>
      <c r="H6061" s="19">
        <f t="shared" si="622"/>
        <v>15515</v>
      </c>
    </row>
    <row r="6062" spans="3:11" x14ac:dyDescent="0.3">
      <c r="C6062" s="16">
        <v>3</v>
      </c>
      <c r="D6062" s="13" t="s">
        <v>22</v>
      </c>
      <c r="E6062" s="17" t="s">
        <v>19</v>
      </c>
      <c r="F6062" s="18">
        <v>1.0999999999999999E-2</v>
      </c>
      <c r="G6062" s="19">
        <f>VLOOKUP(D6062,upahbahan,3,FALSE)</f>
        <v>175000</v>
      </c>
      <c r="H6062" s="19">
        <f t="shared" si="622"/>
        <v>1925</v>
      </c>
    </row>
    <row r="6063" spans="3:11" x14ac:dyDescent="0.3">
      <c r="C6063" s="16">
        <v>4</v>
      </c>
      <c r="D6063" s="13" t="s">
        <v>23</v>
      </c>
      <c r="E6063" s="17" t="s">
        <v>19</v>
      </c>
      <c r="F6063" s="18">
        <v>4.0000000000000001E-3</v>
      </c>
      <c r="G6063" s="19">
        <f>VLOOKUP(D6063,upahbahan,3,FALSE)</f>
        <v>200000</v>
      </c>
      <c r="H6063" s="19">
        <f t="shared" si="622"/>
        <v>800</v>
      </c>
    </row>
    <row r="6064" spans="3:11" x14ac:dyDescent="0.3">
      <c r="C6064" s="21" t="s">
        <v>24</v>
      </c>
      <c r="D6064" s="22"/>
      <c r="E6064" s="22"/>
      <c r="F6064" s="54"/>
      <c r="G6064" s="24"/>
      <c r="H6064" s="19">
        <f>SUM(H6060:H6063)</f>
        <v>24640</v>
      </c>
      <c r="I6064" s="25"/>
    </row>
    <row r="6065" spans="3:11" x14ac:dyDescent="0.25">
      <c r="C6065" s="12" t="s">
        <v>25</v>
      </c>
      <c r="D6065" s="13" t="s">
        <v>26</v>
      </c>
      <c r="E6065" s="14"/>
      <c r="F6065" s="55"/>
      <c r="G6065" s="14"/>
      <c r="H6065" s="14"/>
    </row>
    <row r="6066" spans="3:11" x14ac:dyDescent="0.25">
      <c r="C6066" s="12">
        <v>1</v>
      </c>
      <c r="D6066" s="13" t="s">
        <v>1171</v>
      </c>
      <c r="E6066" s="53" t="s">
        <v>949</v>
      </c>
      <c r="F6066" s="115">
        <v>1.1000000000000001</v>
      </c>
      <c r="G6066" s="19">
        <f>VLOOKUP(D6066,upahbahan,3,FALSE)</f>
        <v>34000</v>
      </c>
      <c r="H6066" s="19">
        <f>F6066*G6066</f>
        <v>37400</v>
      </c>
    </row>
    <row r="6067" spans="3:11" x14ac:dyDescent="0.25">
      <c r="C6067" s="12">
        <v>2</v>
      </c>
      <c r="D6067" s="13" t="s">
        <v>1166</v>
      </c>
      <c r="E6067" s="53" t="s">
        <v>949</v>
      </c>
      <c r="F6067" s="115">
        <v>1.1000000000000001</v>
      </c>
      <c r="G6067" s="19">
        <f>VLOOKUP(D6067,upahbahan,3,FALSE)</f>
        <v>16000</v>
      </c>
      <c r="H6067" s="19">
        <f>F6067*G6067</f>
        <v>17600</v>
      </c>
    </row>
    <row r="6068" spans="3:11" x14ac:dyDescent="0.3">
      <c r="C6068" s="21" t="s">
        <v>29</v>
      </c>
      <c r="D6068" s="22"/>
      <c r="E6068" s="22"/>
      <c r="F6068" s="22"/>
      <c r="G6068" s="28"/>
      <c r="H6068" s="19">
        <f>SUM(H6066:H6067)</f>
        <v>55000</v>
      </c>
    </row>
    <row r="6069" spans="3:11" x14ac:dyDescent="0.25">
      <c r="C6069" s="12" t="s">
        <v>30</v>
      </c>
      <c r="D6069" s="13" t="s">
        <v>31</v>
      </c>
      <c r="E6069" s="14"/>
      <c r="F6069" s="14"/>
      <c r="G6069" s="14"/>
      <c r="H6069" s="14"/>
    </row>
    <row r="6070" spans="3:11" x14ac:dyDescent="0.3">
      <c r="C6070" s="21" t="s">
        <v>32</v>
      </c>
      <c r="D6070" s="77"/>
      <c r="E6070" s="77"/>
      <c r="F6070" s="77"/>
      <c r="G6070" s="28"/>
      <c r="H6070" s="29">
        <f>SUM(H6069)</f>
        <v>0</v>
      </c>
    </row>
    <row r="6071" spans="3:11" x14ac:dyDescent="0.3">
      <c r="C6071" s="30" t="s">
        <v>33</v>
      </c>
      <c r="D6071" s="31" t="s">
        <v>34</v>
      </c>
      <c r="E6071" s="32"/>
      <c r="F6071" s="32"/>
      <c r="G6071" s="33"/>
      <c r="H6071" s="46">
        <f>H6070+H6068+H6064</f>
        <v>79640</v>
      </c>
      <c r="I6071" s="47"/>
    </row>
    <row r="6072" spans="3:11" x14ac:dyDescent="0.3">
      <c r="C6072" s="30" t="s">
        <v>35</v>
      </c>
      <c r="D6072" s="31" t="s">
        <v>36</v>
      </c>
      <c r="E6072" s="32"/>
      <c r="F6072" s="33"/>
      <c r="G6072" s="34">
        <f>$M$9</f>
        <v>0.1</v>
      </c>
      <c r="H6072" s="19">
        <f>H6071*G6072</f>
        <v>7964</v>
      </c>
      <c r="I6072" s="47"/>
    </row>
    <row r="6073" spans="3:11" x14ac:dyDescent="0.3">
      <c r="C6073" s="30" t="s">
        <v>37</v>
      </c>
      <c r="D6073" s="31" t="s">
        <v>38</v>
      </c>
      <c r="E6073" s="32"/>
      <c r="F6073" s="32"/>
      <c r="G6073" s="33"/>
      <c r="H6073" s="48">
        <f>SUM(H6071:H6072)</f>
        <v>87604</v>
      </c>
      <c r="I6073" s="47"/>
    </row>
    <row r="6076" spans="3:11" x14ac:dyDescent="0.3">
      <c r="C6076" s="40" t="s">
        <v>1172</v>
      </c>
      <c r="D6076" s="68" t="s">
        <v>1173</v>
      </c>
      <c r="E6076" s="44"/>
      <c r="F6076" s="44"/>
      <c r="G6076" s="44"/>
      <c r="H6076" s="44"/>
      <c r="I6076" s="10">
        <f>ROUNDDOWN(H6093,0)</f>
        <v>220704</v>
      </c>
      <c r="J6076" s="15"/>
      <c r="K6076" s="39"/>
    </row>
    <row r="6077" spans="3:11" ht="27.6" x14ac:dyDescent="0.3">
      <c r="C6077" s="11" t="s">
        <v>9</v>
      </c>
      <c r="D6077" s="11" t="s">
        <v>10</v>
      </c>
      <c r="E6077" s="11" t="s">
        <v>11</v>
      </c>
      <c r="F6077" s="11" t="s">
        <v>12</v>
      </c>
      <c r="G6077" s="11" t="s">
        <v>13</v>
      </c>
      <c r="H6077" s="11" t="s">
        <v>14</v>
      </c>
    </row>
    <row r="6078" spans="3:11" x14ac:dyDescent="0.25">
      <c r="C6078" s="12" t="s">
        <v>15</v>
      </c>
      <c r="D6078" s="13" t="s">
        <v>16</v>
      </c>
      <c r="E6078" s="14"/>
      <c r="F6078" s="14"/>
      <c r="G6078" s="14"/>
      <c r="H6078" s="14"/>
    </row>
    <row r="6079" spans="3:11" x14ac:dyDescent="0.3">
      <c r="C6079" s="16">
        <v>1</v>
      </c>
      <c r="D6079" s="13" t="s">
        <v>18</v>
      </c>
      <c r="E6079" s="17" t="s">
        <v>19</v>
      </c>
      <c r="F6079" s="18">
        <v>6.4000000000000001E-2</v>
      </c>
      <c r="G6079" s="19">
        <f>VLOOKUP(D6079,upahbahan,3,FALSE)</f>
        <v>100000</v>
      </c>
      <c r="H6079" s="19">
        <f t="shared" ref="H6079:H6082" si="623">F6079*G6079</f>
        <v>6400</v>
      </c>
    </row>
    <row r="6080" spans="3:11" x14ac:dyDescent="0.3">
      <c r="C6080" s="16">
        <v>2</v>
      </c>
      <c r="D6080" s="13" t="s">
        <v>214</v>
      </c>
      <c r="E6080" s="17" t="s">
        <v>19</v>
      </c>
      <c r="F6080" s="18">
        <v>0.107</v>
      </c>
      <c r="G6080" s="19">
        <f>VLOOKUP(D6080,upahbahan,3,FALSE)</f>
        <v>145000</v>
      </c>
      <c r="H6080" s="19">
        <f t="shared" si="623"/>
        <v>15515</v>
      </c>
    </row>
    <row r="6081" spans="3:11" x14ac:dyDescent="0.3">
      <c r="C6081" s="16">
        <v>3</v>
      </c>
      <c r="D6081" s="13" t="s">
        <v>22</v>
      </c>
      <c r="E6081" s="17" t="s">
        <v>19</v>
      </c>
      <c r="F6081" s="18">
        <v>1.0999999999999999E-2</v>
      </c>
      <c r="G6081" s="19">
        <f>VLOOKUP(D6081,upahbahan,3,FALSE)</f>
        <v>175000</v>
      </c>
      <c r="H6081" s="19">
        <f t="shared" si="623"/>
        <v>1925</v>
      </c>
    </row>
    <row r="6082" spans="3:11" x14ac:dyDescent="0.3">
      <c r="C6082" s="16">
        <v>4</v>
      </c>
      <c r="D6082" s="13" t="s">
        <v>23</v>
      </c>
      <c r="E6082" s="17" t="s">
        <v>19</v>
      </c>
      <c r="F6082" s="18">
        <v>4.0000000000000001E-3</v>
      </c>
      <c r="G6082" s="19">
        <f>VLOOKUP(D6082,upahbahan,3,FALSE)</f>
        <v>200000</v>
      </c>
      <c r="H6082" s="19">
        <f t="shared" si="623"/>
        <v>800</v>
      </c>
    </row>
    <row r="6083" spans="3:11" x14ac:dyDescent="0.3">
      <c r="C6083" s="21" t="s">
        <v>24</v>
      </c>
      <c r="D6083" s="22"/>
      <c r="E6083" s="22"/>
      <c r="F6083" s="54"/>
      <c r="G6083" s="24"/>
      <c r="H6083" s="19">
        <f>SUM(H6079:H6082)</f>
        <v>24640</v>
      </c>
      <c r="I6083" s="25"/>
    </row>
    <row r="6084" spans="3:11" x14ac:dyDescent="0.25">
      <c r="C6084" s="12" t="s">
        <v>25</v>
      </c>
      <c r="D6084" s="13" t="s">
        <v>26</v>
      </c>
      <c r="E6084" s="14"/>
      <c r="F6084" s="55"/>
      <c r="G6084" s="14"/>
      <c r="H6084" s="14"/>
    </row>
    <row r="6085" spans="3:11" x14ac:dyDescent="0.25">
      <c r="C6085" s="12">
        <v>1</v>
      </c>
      <c r="D6085" s="13" t="s">
        <v>1171</v>
      </c>
      <c r="E6085" s="53" t="s">
        <v>949</v>
      </c>
      <c r="F6085" s="115">
        <v>1.1000000000000001</v>
      </c>
      <c r="G6085" s="19">
        <f>VLOOKUP(D6085,upahbahan,3,FALSE)</f>
        <v>34000</v>
      </c>
      <c r="H6085" s="19">
        <f>F6085*G6085</f>
        <v>37400</v>
      </c>
    </row>
    <row r="6086" spans="3:11" x14ac:dyDescent="0.25">
      <c r="C6086" s="12">
        <v>2</v>
      </c>
      <c r="D6086" s="13" t="s">
        <v>1166</v>
      </c>
      <c r="E6086" s="53" t="s">
        <v>949</v>
      </c>
      <c r="F6086" s="115">
        <v>1.1000000000000001</v>
      </c>
      <c r="G6086" s="19">
        <f>VLOOKUP(D6086,upahbahan,3,FALSE)</f>
        <v>16000</v>
      </c>
      <c r="H6086" s="19">
        <f>F6086*G6086</f>
        <v>17600</v>
      </c>
    </row>
    <row r="6087" spans="3:11" x14ac:dyDescent="0.25">
      <c r="C6087" s="12">
        <v>3</v>
      </c>
      <c r="D6087" s="13" t="s">
        <v>1118</v>
      </c>
      <c r="E6087" s="53" t="s">
        <v>949</v>
      </c>
      <c r="F6087" s="115">
        <v>1.1000000000000001</v>
      </c>
      <c r="G6087" s="19">
        <f>VLOOKUP(D6087,upahbahan,3,FALSE)</f>
        <v>110000</v>
      </c>
      <c r="H6087" s="19">
        <f>F6087*G6087</f>
        <v>121000.00000000001</v>
      </c>
    </row>
    <row r="6088" spans="3:11" x14ac:dyDescent="0.3">
      <c r="C6088" s="21" t="s">
        <v>29</v>
      </c>
      <c r="D6088" s="22"/>
      <c r="E6088" s="22"/>
      <c r="F6088" s="22"/>
      <c r="G6088" s="28"/>
      <c r="H6088" s="19">
        <f>SUM(H6085:H6087)</f>
        <v>176000</v>
      </c>
    </row>
    <row r="6089" spans="3:11" x14ac:dyDescent="0.25">
      <c r="C6089" s="12" t="s">
        <v>30</v>
      </c>
      <c r="D6089" s="13" t="s">
        <v>31</v>
      </c>
      <c r="E6089" s="14"/>
      <c r="F6089" s="14"/>
      <c r="G6089" s="14"/>
      <c r="H6089" s="14"/>
    </row>
    <row r="6090" spans="3:11" x14ac:dyDescent="0.3">
      <c r="C6090" s="21" t="s">
        <v>32</v>
      </c>
      <c r="D6090" s="77"/>
      <c r="E6090" s="77"/>
      <c r="F6090" s="77"/>
      <c r="G6090" s="28"/>
      <c r="H6090" s="29">
        <f>SUM(H6089)</f>
        <v>0</v>
      </c>
    </row>
    <row r="6091" spans="3:11" x14ac:dyDescent="0.3">
      <c r="C6091" s="30" t="s">
        <v>33</v>
      </c>
      <c r="D6091" s="31" t="s">
        <v>34</v>
      </c>
      <c r="E6091" s="32"/>
      <c r="F6091" s="32"/>
      <c r="G6091" s="33"/>
      <c r="H6091" s="46">
        <f>H6090+H6088+H6083</f>
        <v>200640</v>
      </c>
      <c r="I6091" s="47"/>
    </row>
    <row r="6092" spans="3:11" x14ac:dyDescent="0.3">
      <c r="C6092" s="30" t="s">
        <v>35</v>
      </c>
      <c r="D6092" s="31" t="s">
        <v>36</v>
      </c>
      <c r="E6092" s="32"/>
      <c r="F6092" s="33"/>
      <c r="G6092" s="34">
        <f>$M$9</f>
        <v>0.1</v>
      </c>
      <c r="H6092" s="19">
        <f>H6091*G6092</f>
        <v>20064</v>
      </c>
      <c r="I6092" s="47"/>
    </row>
    <row r="6093" spans="3:11" x14ac:dyDescent="0.3">
      <c r="C6093" s="30" t="s">
        <v>37</v>
      </c>
      <c r="D6093" s="31" t="s">
        <v>38</v>
      </c>
      <c r="E6093" s="32"/>
      <c r="F6093" s="32"/>
      <c r="G6093" s="33"/>
      <c r="H6093" s="48">
        <f>SUM(H6091:H6092)</f>
        <v>220704</v>
      </c>
      <c r="I6093" s="47"/>
    </row>
    <row r="6095" spans="3:11" x14ac:dyDescent="0.3">
      <c r="C6095" s="40" t="s">
        <v>1174</v>
      </c>
      <c r="D6095" s="68" t="s">
        <v>1175</v>
      </c>
      <c r="E6095" s="44"/>
      <c r="F6095" s="44"/>
      <c r="G6095" s="44"/>
      <c r="H6095" s="44"/>
      <c r="I6095" s="10">
        <f>ROUNDDOWN(H6112,0)</f>
        <v>272734</v>
      </c>
      <c r="J6095" s="15"/>
      <c r="K6095" s="39"/>
    </row>
    <row r="6096" spans="3:11" ht="27.6" x14ac:dyDescent="0.3">
      <c r="C6096" s="11" t="s">
        <v>9</v>
      </c>
      <c r="D6096" s="11" t="s">
        <v>10</v>
      </c>
      <c r="E6096" s="11" t="s">
        <v>11</v>
      </c>
      <c r="F6096" s="11" t="s">
        <v>12</v>
      </c>
      <c r="G6096" s="11" t="s">
        <v>13</v>
      </c>
      <c r="H6096" s="11" t="s">
        <v>14</v>
      </c>
    </row>
    <row r="6097" spans="3:9" x14ac:dyDescent="0.25">
      <c r="C6097" s="12" t="s">
        <v>15</v>
      </c>
      <c r="D6097" s="13" t="s">
        <v>16</v>
      </c>
      <c r="E6097" s="14"/>
      <c r="F6097" s="14"/>
      <c r="G6097" s="14"/>
      <c r="H6097" s="14"/>
    </row>
    <row r="6098" spans="3:9" x14ac:dyDescent="0.3">
      <c r="C6098" s="16">
        <v>1</v>
      </c>
      <c r="D6098" s="13" t="s">
        <v>18</v>
      </c>
      <c r="E6098" s="17" t="s">
        <v>19</v>
      </c>
      <c r="F6098" s="18">
        <v>6.4000000000000001E-2</v>
      </c>
      <c r="G6098" s="19">
        <f>VLOOKUP(D6098,upahbahan,3,FALSE)</f>
        <v>100000</v>
      </c>
      <c r="H6098" s="19">
        <f t="shared" ref="H6098:H6101" si="624">F6098*G6098</f>
        <v>6400</v>
      </c>
    </row>
    <row r="6099" spans="3:9" x14ac:dyDescent="0.3">
      <c r="C6099" s="16">
        <v>2</v>
      </c>
      <c r="D6099" s="13" t="s">
        <v>214</v>
      </c>
      <c r="E6099" s="17" t="s">
        <v>19</v>
      </c>
      <c r="F6099" s="18">
        <v>0.107</v>
      </c>
      <c r="G6099" s="19">
        <f>VLOOKUP(D6099,upahbahan,3,FALSE)</f>
        <v>145000</v>
      </c>
      <c r="H6099" s="19">
        <f t="shared" si="624"/>
        <v>15515</v>
      </c>
    </row>
    <row r="6100" spans="3:9" x14ac:dyDescent="0.3">
      <c r="C6100" s="16">
        <v>3</v>
      </c>
      <c r="D6100" s="13" t="s">
        <v>22</v>
      </c>
      <c r="E6100" s="17" t="s">
        <v>19</v>
      </c>
      <c r="F6100" s="18">
        <v>1.0999999999999999E-2</v>
      </c>
      <c r="G6100" s="19">
        <f>VLOOKUP(D6100,upahbahan,3,FALSE)</f>
        <v>175000</v>
      </c>
      <c r="H6100" s="19">
        <f t="shared" si="624"/>
        <v>1925</v>
      </c>
    </row>
    <row r="6101" spans="3:9" x14ac:dyDescent="0.3">
      <c r="C6101" s="16">
        <v>4</v>
      </c>
      <c r="D6101" s="13" t="s">
        <v>23</v>
      </c>
      <c r="E6101" s="17" t="s">
        <v>19</v>
      </c>
      <c r="F6101" s="18">
        <v>4.0000000000000001E-3</v>
      </c>
      <c r="G6101" s="19">
        <f>VLOOKUP(D6101,upahbahan,3,FALSE)</f>
        <v>200000</v>
      </c>
      <c r="H6101" s="19">
        <f t="shared" si="624"/>
        <v>800</v>
      </c>
    </row>
    <row r="6102" spans="3:9" x14ac:dyDescent="0.3">
      <c r="C6102" s="21" t="s">
        <v>24</v>
      </c>
      <c r="D6102" s="22"/>
      <c r="E6102" s="22"/>
      <c r="F6102" s="54"/>
      <c r="G6102" s="24"/>
      <c r="H6102" s="19">
        <f>SUM(H6098:H6101)</f>
        <v>24640</v>
      </c>
      <c r="I6102" s="25"/>
    </row>
    <row r="6103" spans="3:9" x14ac:dyDescent="0.25">
      <c r="C6103" s="12" t="s">
        <v>25</v>
      </c>
      <c r="D6103" s="13" t="s">
        <v>26</v>
      </c>
      <c r="E6103" s="14"/>
      <c r="F6103" s="55"/>
      <c r="G6103" s="14"/>
      <c r="H6103" s="14"/>
    </row>
    <row r="6104" spans="3:9" x14ac:dyDescent="0.25">
      <c r="C6104" s="12">
        <v>1</v>
      </c>
      <c r="D6104" s="13" t="s">
        <v>1176</v>
      </c>
      <c r="E6104" s="53" t="s">
        <v>949</v>
      </c>
      <c r="F6104" s="115">
        <v>1.1000000000000001</v>
      </c>
      <c r="G6104" s="19">
        <f>VLOOKUP(D6104,upahbahan,3,FALSE)</f>
        <v>77000</v>
      </c>
      <c r="H6104" s="19">
        <f>F6104*G6104</f>
        <v>84700</v>
      </c>
    </row>
    <row r="6105" spans="3:9" x14ac:dyDescent="0.25">
      <c r="C6105" s="12">
        <v>2</v>
      </c>
      <c r="D6105" s="13" t="s">
        <v>1166</v>
      </c>
      <c r="E6105" s="53" t="s">
        <v>949</v>
      </c>
      <c r="F6105" s="115">
        <v>1.1000000000000001</v>
      </c>
      <c r="G6105" s="19">
        <f>VLOOKUP(D6105,upahbahan,3,FALSE)</f>
        <v>16000</v>
      </c>
      <c r="H6105" s="19">
        <f>F6105*G6105</f>
        <v>17600</v>
      </c>
    </row>
    <row r="6106" spans="3:9" x14ac:dyDescent="0.25">
      <c r="C6106" s="12">
        <v>3</v>
      </c>
      <c r="D6106" s="13" t="s">
        <v>1118</v>
      </c>
      <c r="E6106" s="53" t="s">
        <v>949</v>
      </c>
      <c r="F6106" s="115">
        <v>1.1000000000000001</v>
      </c>
      <c r="G6106" s="19">
        <f>VLOOKUP(D6106,upahbahan,3,FALSE)</f>
        <v>110000</v>
      </c>
      <c r="H6106" s="19">
        <f>F6106*G6106</f>
        <v>121000.00000000001</v>
      </c>
    </row>
    <row r="6107" spans="3:9" x14ac:dyDescent="0.3">
      <c r="C6107" s="21" t="s">
        <v>29</v>
      </c>
      <c r="D6107" s="22"/>
      <c r="E6107" s="22"/>
      <c r="F6107" s="22"/>
      <c r="G6107" s="28"/>
      <c r="H6107" s="19">
        <f>SUM(H6104:H6106)</f>
        <v>223300</v>
      </c>
    </row>
    <row r="6108" spans="3:9" x14ac:dyDescent="0.25">
      <c r="C6108" s="12" t="s">
        <v>30</v>
      </c>
      <c r="D6108" s="13" t="s">
        <v>31</v>
      </c>
      <c r="E6108" s="14"/>
      <c r="F6108" s="14"/>
      <c r="G6108" s="14"/>
      <c r="H6108" s="14"/>
    </row>
    <row r="6109" spans="3:9" x14ac:dyDescent="0.3">
      <c r="C6109" s="21" t="s">
        <v>32</v>
      </c>
      <c r="D6109" s="77"/>
      <c r="E6109" s="77"/>
      <c r="F6109" s="77"/>
      <c r="G6109" s="28"/>
      <c r="H6109" s="29">
        <f>SUM(H6108)</f>
        <v>0</v>
      </c>
    </row>
    <row r="6110" spans="3:9" x14ac:dyDescent="0.3">
      <c r="C6110" s="30" t="s">
        <v>33</v>
      </c>
      <c r="D6110" s="31" t="s">
        <v>34</v>
      </c>
      <c r="E6110" s="32"/>
      <c r="F6110" s="32"/>
      <c r="G6110" s="33"/>
      <c r="H6110" s="46">
        <f>H6109+H6107+H6102</f>
        <v>247940</v>
      </c>
      <c r="I6110" s="47"/>
    </row>
    <row r="6111" spans="3:9" x14ac:dyDescent="0.3">
      <c r="C6111" s="30" t="s">
        <v>35</v>
      </c>
      <c r="D6111" s="31" t="s">
        <v>36</v>
      </c>
      <c r="E6111" s="32"/>
      <c r="F6111" s="33"/>
      <c r="G6111" s="34">
        <f>$M$9</f>
        <v>0.1</v>
      </c>
      <c r="H6111" s="19">
        <f>H6110*G6111</f>
        <v>24794</v>
      </c>
      <c r="I6111" s="47"/>
    </row>
    <row r="6112" spans="3:9" x14ac:dyDescent="0.3">
      <c r="C6112" s="30" t="s">
        <v>37</v>
      </c>
      <c r="D6112" s="31" t="s">
        <v>38</v>
      </c>
      <c r="E6112" s="32"/>
      <c r="F6112" s="32"/>
      <c r="G6112" s="33"/>
      <c r="H6112" s="48">
        <f>SUM(H6110:H6111)</f>
        <v>272734</v>
      </c>
      <c r="I6112" s="47"/>
    </row>
    <row r="6114" spans="3:11" x14ac:dyDescent="0.3">
      <c r="C6114" s="40" t="s">
        <v>1177</v>
      </c>
      <c r="D6114" s="68" t="s">
        <v>1178</v>
      </c>
      <c r="E6114" s="44"/>
      <c r="F6114" s="44"/>
      <c r="G6114" s="44"/>
      <c r="H6114" s="44"/>
      <c r="I6114" s="10">
        <f>ROUNDDOWN(H6131,0)</f>
        <v>296934</v>
      </c>
      <c r="J6114" s="15"/>
      <c r="K6114" s="39"/>
    </row>
    <row r="6115" spans="3:11" ht="27.6" x14ac:dyDescent="0.3">
      <c r="C6115" s="11" t="s">
        <v>9</v>
      </c>
      <c r="D6115" s="11" t="s">
        <v>10</v>
      </c>
      <c r="E6115" s="11" t="s">
        <v>11</v>
      </c>
      <c r="F6115" s="11" t="s">
        <v>12</v>
      </c>
      <c r="G6115" s="11" t="s">
        <v>13</v>
      </c>
      <c r="H6115" s="11" t="s">
        <v>14</v>
      </c>
    </row>
    <row r="6116" spans="3:11" x14ac:dyDescent="0.25">
      <c r="C6116" s="12" t="s">
        <v>15</v>
      </c>
      <c r="D6116" s="13" t="s">
        <v>16</v>
      </c>
      <c r="E6116" s="14"/>
      <c r="F6116" s="14"/>
      <c r="G6116" s="14"/>
      <c r="H6116" s="14"/>
    </row>
    <row r="6117" spans="3:11" x14ac:dyDescent="0.3">
      <c r="C6117" s="16">
        <v>1</v>
      </c>
      <c r="D6117" s="13" t="s">
        <v>18</v>
      </c>
      <c r="E6117" s="17" t="s">
        <v>19</v>
      </c>
      <c r="F6117" s="18">
        <v>6.4000000000000001E-2</v>
      </c>
      <c r="G6117" s="19">
        <f>VLOOKUP(D6117,upahbahan,3,FALSE)</f>
        <v>100000</v>
      </c>
      <c r="H6117" s="19">
        <f t="shared" ref="H6117:H6120" si="625">F6117*G6117</f>
        <v>6400</v>
      </c>
    </row>
    <row r="6118" spans="3:11" x14ac:dyDescent="0.3">
      <c r="C6118" s="16">
        <v>2</v>
      </c>
      <c r="D6118" s="13" t="s">
        <v>214</v>
      </c>
      <c r="E6118" s="17" t="s">
        <v>19</v>
      </c>
      <c r="F6118" s="18">
        <v>0.107</v>
      </c>
      <c r="G6118" s="19">
        <f>VLOOKUP(D6118,upahbahan,3,FALSE)</f>
        <v>145000</v>
      </c>
      <c r="H6118" s="19">
        <f t="shared" si="625"/>
        <v>15515</v>
      </c>
    </row>
    <row r="6119" spans="3:11" x14ac:dyDescent="0.3">
      <c r="C6119" s="16">
        <v>3</v>
      </c>
      <c r="D6119" s="13" t="s">
        <v>22</v>
      </c>
      <c r="E6119" s="17" t="s">
        <v>19</v>
      </c>
      <c r="F6119" s="18">
        <v>1.0999999999999999E-2</v>
      </c>
      <c r="G6119" s="19">
        <f>VLOOKUP(D6119,upahbahan,3,FALSE)</f>
        <v>175000</v>
      </c>
      <c r="H6119" s="19">
        <f t="shared" si="625"/>
        <v>1925</v>
      </c>
    </row>
    <row r="6120" spans="3:11" x14ac:dyDescent="0.3">
      <c r="C6120" s="16">
        <v>4</v>
      </c>
      <c r="D6120" s="13" t="s">
        <v>23</v>
      </c>
      <c r="E6120" s="17" t="s">
        <v>19</v>
      </c>
      <c r="F6120" s="18">
        <v>4.0000000000000001E-3</v>
      </c>
      <c r="G6120" s="19">
        <f>VLOOKUP(D6120,upahbahan,3,FALSE)</f>
        <v>200000</v>
      </c>
      <c r="H6120" s="19">
        <f t="shared" si="625"/>
        <v>800</v>
      </c>
    </row>
    <row r="6121" spans="3:11" x14ac:dyDescent="0.3">
      <c r="C6121" s="21" t="s">
        <v>24</v>
      </c>
      <c r="D6121" s="22"/>
      <c r="E6121" s="22"/>
      <c r="F6121" s="54"/>
      <c r="G6121" s="24"/>
      <c r="H6121" s="19">
        <f>SUM(H6117:H6120)</f>
        <v>24640</v>
      </c>
      <c r="I6121" s="25"/>
    </row>
    <row r="6122" spans="3:11" x14ac:dyDescent="0.25">
      <c r="C6122" s="12" t="s">
        <v>25</v>
      </c>
      <c r="D6122" s="13" t="s">
        <v>26</v>
      </c>
      <c r="E6122" s="14"/>
      <c r="F6122" s="55"/>
      <c r="G6122" s="14"/>
      <c r="H6122" s="14"/>
    </row>
    <row r="6123" spans="3:11" x14ac:dyDescent="0.25">
      <c r="C6123" s="12">
        <v>1</v>
      </c>
      <c r="D6123" s="13" t="s">
        <v>1179</v>
      </c>
      <c r="E6123" s="53" t="s">
        <v>949</v>
      </c>
      <c r="F6123" s="115">
        <v>1.1000000000000001</v>
      </c>
      <c r="G6123" s="19">
        <f>VLOOKUP(D6123,upahbahan,3,FALSE)</f>
        <v>97000</v>
      </c>
      <c r="H6123" s="19">
        <f>F6123*G6123</f>
        <v>106700.00000000001</v>
      </c>
    </row>
    <row r="6124" spans="3:11" x14ac:dyDescent="0.25">
      <c r="C6124" s="12">
        <v>2</v>
      </c>
      <c r="D6124" s="13" t="s">
        <v>1166</v>
      </c>
      <c r="E6124" s="53" t="s">
        <v>949</v>
      </c>
      <c r="F6124" s="115">
        <v>1.1000000000000001</v>
      </c>
      <c r="G6124" s="19">
        <f>VLOOKUP(D6124,upahbahan,3,FALSE)</f>
        <v>16000</v>
      </c>
      <c r="H6124" s="19">
        <f>F6124*G6124</f>
        <v>17600</v>
      </c>
    </row>
    <row r="6125" spans="3:11" x14ac:dyDescent="0.25">
      <c r="C6125" s="12">
        <v>3</v>
      </c>
      <c r="D6125" s="13" t="s">
        <v>1118</v>
      </c>
      <c r="E6125" s="53" t="s">
        <v>949</v>
      </c>
      <c r="F6125" s="115">
        <v>1.1000000000000001</v>
      </c>
      <c r="G6125" s="19">
        <f>VLOOKUP(D6125,upahbahan,3,FALSE)</f>
        <v>110000</v>
      </c>
      <c r="H6125" s="19">
        <f>F6125*G6125</f>
        <v>121000.00000000001</v>
      </c>
    </row>
    <row r="6126" spans="3:11" x14ac:dyDescent="0.3">
      <c r="C6126" s="21" t="s">
        <v>29</v>
      </c>
      <c r="D6126" s="22"/>
      <c r="E6126" s="22"/>
      <c r="F6126" s="22"/>
      <c r="G6126" s="28"/>
      <c r="H6126" s="19">
        <f>SUM(H6123:H6125)</f>
        <v>245300.00000000003</v>
      </c>
    </row>
    <row r="6127" spans="3:11" x14ac:dyDescent="0.25">
      <c r="C6127" s="12" t="s">
        <v>30</v>
      </c>
      <c r="D6127" s="13" t="s">
        <v>31</v>
      </c>
      <c r="E6127" s="14"/>
      <c r="F6127" s="14"/>
      <c r="G6127" s="14"/>
      <c r="H6127" s="14"/>
    </row>
    <row r="6128" spans="3:11" x14ac:dyDescent="0.3">
      <c r="C6128" s="21" t="s">
        <v>32</v>
      </c>
      <c r="D6128" s="77"/>
      <c r="E6128" s="77"/>
      <c r="F6128" s="77"/>
      <c r="G6128" s="28"/>
      <c r="H6128" s="29">
        <f>SUM(H6127)</f>
        <v>0</v>
      </c>
    </row>
    <row r="6129" spans="3:11" x14ac:dyDescent="0.3">
      <c r="C6129" s="30" t="s">
        <v>33</v>
      </c>
      <c r="D6129" s="31" t="s">
        <v>34</v>
      </c>
      <c r="E6129" s="32"/>
      <c r="F6129" s="32"/>
      <c r="G6129" s="33"/>
      <c r="H6129" s="46">
        <f>H6128+H6126+H6121</f>
        <v>269940</v>
      </c>
      <c r="I6129" s="47"/>
    </row>
    <row r="6130" spans="3:11" x14ac:dyDescent="0.3">
      <c r="C6130" s="30" t="s">
        <v>35</v>
      </c>
      <c r="D6130" s="31" t="s">
        <v>36</v>
      </c>
      <c r="E6130" s="32"/>
      <c r="F6130" s="33"/>
      <c r="G6130" s="34">
        <f>$M$9</f>
        <v>0.1</v>
      </c>
      <c r="H6130" s="19">
        <f>H6129*G6130</f>
        <v>26994</v>
      </c>
      <c r="I6130" s="47"/>
    </row>
    <row r="6131" spans="3:11" x14ac:dyDescent="0.3">
      <c r="C6131" s="30" t="s">
        <v>37</v>
      </c>
      <c r="D6131" s="31" t="s">
        <v>38</v>
      </c>
      <c r="E6131" s="32"/>
      <c r="F6131" s="32"/>
      <c r="G6131" s="33"/>
      <c r="H6131" s="48">
        <f>SUM(H6129:H6130)</f>
        <v>296934</v>
      </c>
      <c r="I6131" s="47"/>
    </row>
    <row r="6133" spans="3:11" x14ac:dyDescent="0.3">
      <c r="C6133" s="40" t="s">
        <v>1180</v>
      </c>
      <c r="D6133" s="68" t="s">
        <v>1181</v>
      </c>
      <c r="E6133" s="44"/>
      <c r="F6133" s="44"/>
      <c r="G6133" s="44"/>
      <c r="H6133" s="44"/>
      <c r="I6133" s="10">
        <f>ROUNDDOWN(H6149,0)</f>
        <v>80344</v>
      </c>
      <c r="J6133" s="15"/>
      <c r="K6133" s="39"/>
    </row>
    <row r="6134" spans="3:11" ht="27.6" x14ac:dyDescent="0.3">
      <c r="C6134" s="11" t="s">
        <v>9</v>
      </c>
      <c r="D6134" s="11" t="s">
        <v>10</v>
      </c>
      <c r="E6134" s="11" t="s">
        <v>11</v>
      </c>
      <c r="F6134" s="11" t="s">
        <v>12</v>
      </c>
      <c r="G6134" s="11" t="s">
        <v>13</v>
      </c>
      <c r="H6134" s="11" t="s">
        <v>14</v>
      </c>
    </row>
    <row r="6135" spans="3:11" x14ac:dyDescent="0.25">
      <c r="C6135" s="12" t="s">
        <v>15</v>
      </c>
      <c r="D6135" s="13" t="s">
        <v>16</v>
      </c>
      <c r="E6135" s="14"/>
      <c r="F6135" s="14"/>
      <c r="G6135" s="14"/>
      <c r="H6135" s="14"/>
    </row>
    <row r="6136" spans="3:11" x14ac:dyDescent="0.3">
      <c r="C6136" s="16">
        <v>1</v>
      </c>
      <c r="D6136" s="13" t="s">
        <v>18</v>
      </c>
      <c r="E6136" s="17" t="s">
        <v>19</v>
      </c>
      <c r="F6136" s="18">
        <v>6.4000000000000001E-2</v>
      </c>
      <c r="G6136" s="19">
        <f>VLOOKUP(D6136,upahbahan,3,FALSE)</f>
        <v>100000</v>
      </c>
      <c r="H6136" s="19">
        <f t="shared" ref="H6136:H6139" si="626">F6136*G6136</f>
        <v>6400</v>
      </c>
    </row>
    <row r="6137" spans="3:11" x14ac:dyDescent="0.3">
      <c r="C6137" s="16">
        <v>2</v>
      </c>
      <c r="D6137" s="13" t="s">
        <v>214</v>
      </c>
      <c r="E6137" s="17" t="s">
        <v>19</v>
      </c>
      <c r="F6137" s="18">
        <v>0.107</v>
      </c>
      <c r="G6137" s="19">
        <f>VLOOKUP(D6137,upahbahan,3,FALSE)</f>
        <v>145000</v>
      </c>
      <c r="H6137" s="19">
        <f t="shared" si="626"/>
        <v>15515</v>
      </c>
    </row>
    <row r="6138" spans="3:11" x14ac:dyDescent="0.3">
      <c r="C6138" s="16">
        <v>3</v>
      </c>
      <c r="D6138" s="13" t="s">
        <v>22</v>
      </c>
      <c r="E6138" s="17" t="s">
        <v>19</v>
      </c>
      <c r="F6138" s="18">
        <v>1.0999999999999999E-2</v>
      </c>
      <c r="G6138" s="19">
        <f>VLOOKUP(D6138,upahbahan,3,FALSE)</f>
        <v>175000</v>
      </c>
      <c r="H6138" s="19">
        <f t="shared" si="626"/>
        <v>1925</v>
      </c>
    </row>
    <row r="6139" spans="3:11" x14ac:dyDescent="0.3">
      <c r="C6139" s="16">
        <v>4</v>
      </c>
      <c r="D6139" s="13" t="s">
        <v>23</v>
      </c>
      <c r="E6139" s="17" t="s">
        <v>19</v>
      </c>
      <c r="F6139" s="18">
        <v>4.0000000000000001E-3</v>
      </c>
      <c r="G6139" s="19">
        <f>VLOOKUP(D6139,upahbahan,3,FALSE)</f>
        <v>200000</v>
      </c>
      <c r="H6139" s="19">
        <f t="shared" si="626"/>
        <v>800</v>
      </c>
    </row>
    <row r="6140" spans="3:11" x14ac:dyDescent="0.3">
      <c r="C6140" s="21" t="s">
        <v>24</v>
      </c>
      <c r="D6140" s="22"/>
      <c r="E6140" s="22"/>
      <c r="F6140" s="54"/>
      <c r="G6140" s="24"/>
      <c r="H6140" s="19">
        <f>SUM(H6136:H6139)</f>
        <v>24640</v>
      </c>
      <c r="I6140" s="25"/>
    </row>
    <row r="6141" spans="3:11" x14ac:dyDescent="0.25">
      <c r="C6141" s="12" t="s">
        <v>25</v>
      </c>
      <c r="D6141" s="13" t="s">
        <v>26</v>
      </c>
      <c r="E6141" s="14"/>
      <c r="F6141" s="55"/>
      <c r="G6141" s="14"/>
      <c r="H6141" s="14"/>
    </row>
    <row r="6142" spans="3:11" x14ac:dyDescent="0.25">
      <c r="C6142" s="12">
        <v>1</v>
      </c>
      <c r="D6142" s="13" t="s">
        <v>1182</v>
      </c>
      <c r="E6142" s="53" t="s">
        <v>949</v>
      </c>
      <c r="F6142" s="115">
        <v>1.1000000000000001</v>
      </c>
      <c r="G6142" s="19">
        <f>VLOOKUP(D6142,upahbahan,3,FALSE)</f>
        <v>28000</v>
      </c>
      <c r="H6142" s="19">
        <f>F6142*G6142</f>
        <v>30800.000000000004</v>
      </c>
    </row>
    <row r="6143" spans="3:11" x14ac:dyDescent="0.25">
      <c r="C6143" s="12">
        <v>2</v>
      </c>
      <c r="D6143" s="13" t="s">
        <v>1166</v>
      </c>
      <c r="E6143" s="53" t="s">
        <v>949</v>
      </c>
      <c r="F6143" s="115">
        <v>1.1000000000000001</v>
      </c>
      <c r="G6143" s="19">
        <f>VLOOKUP(D6143,upahbahan,3,FALSE)</f>
        <v>16000</v>
      </c>
      <c r="H6143" s="19">
        <f>F6143*G6143</f>
        <v>17600</v>
      </c>
    </row>
    <row r="6144" spans="3:11" x14ac:dyDescent="0.3">
      <c r="C6144" s="21" t="s">
        <v>29</v>
      </c>
      <c r="D6144" s="22"/>
      <c r="E6144" s="22"/>
      <c r="F6144" s="22"/>
      <c r="G6144" s="28"/>
      <c r="H6144" s="19">
        <f>SUM(H6142:H6143)</f>
        <v>48400</v>
      </c>
    </row>
    <row r="6145" spans="3:11" x14ac:dyDescent="0.25">
      <c r="C6145" s="12" t="s">
        <v>30</v>
      </c>
      <c r="D6145" s="13" t="s">
        <v>31</v>
      </c>
      <c r="E6145" s="14"/>
      <c r="F6145" s="14"/>
      <c r="G6145" s="14"/>
      <c r="H6145" s="14"/>
    </row>
    <row r="6146" spans="3:11" x14ac:dyDescent="0.3">
      <c r="C6146" s="21" t="s">
        <v>32</v>
      </c>
      <c r="D6146" s="77"/>
      <c r="E6146" s="77"/>
      <c r="F6146" s="77"/>
      <c r="G6146" s="28"/>
      <c r="H6146" s="29">
        <f>SUM(H6145)</f>
        <v>0</v>
      </c>
    </row>
    <row r="6147" spans="3:11" x14ac:dyDescent="0.3">
      <c r="C6147" s="30" t="s">
        <v>33</v>
      </c>
      <c r="D6147" s="31" t="s">
        <v>34</v>
      </c>
      <c r="E6147" s="32"/>
      <c r="F6147" s="32"/>
      <c r="G6147" s="33"/>
      <c r="H6147" s="46">
        <f>H6146+H6144+H6140</f>
        <v>73040</v>
      </c>
      <c r="I6147" s="47"/>
    </row>
    <row r="6148" spans="3:11" x14ac:dyDescent="0.3">
      <c r="C6148" s="30" t="s">
        <v>35</v>
      </c>
      <c r="D6148" s="31" t="s">
        <v>36</v>
      </c>
      <c r="E6148" s="32"/>
      <c r="F6148" s="33"/>
      <c r="G6148" s="34">
        <f>$M$9</f>
        <v>0.1</v>
      </c>
      <c r="H6148" s="19">
        <f>H6147*G6148</f>
        <v>7304</v>
      </c>
      <c r="I6148" s="47"/>
    </row>
    <row r="6149" spans="3:11" x14ac:dyDescent="0.3">
      <c r="C6149" s="30" t="s">
        <v>37</v>
      </c>
      <c r="D6149" s="31" t="s">
        <v>38</v>
      </c>
      <c r="E6149" s="32"/>
      <c r="F6149" s="32"/>
      <c r="G6149" s="33"/>
      <c r="H6149" s="48">
        <f>SUM(H6147:H6148)</f>
        <v>80344</v>
      </c>
      <c r="I6149" s="47"/>
    </row>
    <row r="6151" spans="3:11" x14ac:dyDescent="0.3">
      <c r="C6151" s="40" t="s">
        <v>1183</v>
      </c>
      <c r="D6151" s="68" t="s">
        <v>1184</v>
      </c>
      <c r="E6151" s="44"/>
      <c r="F6151" s="44"/>
      <c r="G6151" s="44"/>
      <c r="H6151" s="44"/>
      <c r="I6151" s="10">
        <f>ROUNDDOWN(H6166,0)</f>
        <v>72182</v>
      </c>
      <c r="J6151" s="15"/>
      <c r="K6151" s="39"/>
    </row>
    <row r="6152" spans="3:11" ht="27.6" x14ac:dyDescent="0.3">
      <c r="C6152" s="11" t="s">
        <v>9</v>
      </c>
      <c r="D6152" s="11" t="s">
        <v>10</v>
      </c>
      <c r="E6152" s="11" t="s">
        <v>11</v>
      </c>
      <c r="F6152" s="11" t="s">
        <v>12</v>
      </c>
      <c r="G6152" s="11" t="s">
        <v>13</v>
      </c>
      <c r="H6152" s="11" t="s">
        <v>14</v>
      </c>
    </row>
    <row r="6153" spans="3:11" x14ac:dyDescent="0.25">
      <c r="C6153" s="12" t="s">
        <v>15</v>
      </c>
      <c r="D6153" s="13" t="s">
        <v>16</v>
      </c>
      <c r="E6153" s="14"/>
      <c r="F6153" s="14"/>
      <c r="G6153" s="14"/>
      <c r="H6153" s="14"/>
    </row>
    <row r="6154" spans="3:11" x14ac:dyDescent="0.3">
      <c r="C6154" s="16">
        <v>1</v>
      </c>
      <c r="D6154" s="13" t="s">
        <v>18</v>
      </c>
      <c r="E6154" s="17" t="s">
        <v>19</v>
      </c>
      <c r="F6154" s="18">
        <v>0.114</v>
      </c>
      <c r="G6154" s="19">
        <f>VLOOKUP(D6154,upahbahan,3,FALSE)</f>
        <v>100000</v>
      </c>
      <c r="H6154" s="19">
        <f t="shared" ref="H6154:H6157" si="627">F6154*G6154</f>
        <v>11400</v>
      </c>
    </row>
    <row r="6155" spans="3:11" x14ac:dyDescent="0.3">
      <c r="C6155" s="16">
        <v>2</v>
      </c>
      <c r="D6155" s="13" t="s">
        <v>214</v>
      </c>
      <c r="E6155" s="17" t="s">
        <v>19</v>
      </c>
      <c r="F6155" s="18">
        <v>0.191</v>
      </c>
      <c r="G6155" s="19">
        <f>VLOOKUP(D6155,upahbahan,3,FALSE)</f>
        <v>145000</v>
      </c>
      <c r="H6155" s="19">
        <f t="shared" si="627"/>
        <v>27695</v>
      </c>
    </row>
    <row r="6156" spans="3:11" x14ac:dyDescent="0.3">
      <c r="C6156" s="16">
        <v>3</v>
      </c>
      <c r="D6156" s="13" t="s">
        <v>22</v>
      </c>
      <c r="E6156" s="17" t="s">
        <v>19</v>
      </c>
      <c r="F6156" s="18">
        <v>1.9E-2</v>
      </c>
      <c r="G6156" s="19">
        <f>VLOOKUP(D6156,upahbahan,3,FALSE)</f>
        <v>175000</v>
      </c>
      <c r="H6156" s="19">
        <f t="shared" si="627"/>
        <v>3325</v>
      </c>
    </row>
    <row r="6157" spans="3:11" x14ac:dyDescent="0.3">
      <c r="C6157" s="16">
        <v>4</v>
      </c>
      <c r="D6157" s="13" t="s">
        <v>23</v>
      </c>
      <c r="E6157" s="17" t="s">
        <v>19</v>
      </c>
      <c r="F6157" s="18">
        <v>6.0000000000000001E-3</v>
      </c>
      <c r="G6157" s="19">
        <f>VLOOKUP(D6157,upahbahan,3,FALSE)</f>
        <v>200000</v>
      </c>
      <c r="H6157" s="19">
        <f t="shared" si="627"/>
        <v>1200</v>
      </c>
    </row>
    <row r="6158" spans="3:11" x14ac:dyDescent="0.3">
      <c r="C6158" s="21" t="s">
        <v>24</v>
      </c>
      <c r="D6158" s="22"/>
      <c r="E6158" s="22"/>
      <c r="F6158" s="54"/>
      <c r="G6158" s="24"/>
      <c r="H6158" s="19">
        <f>SUM(H6154:H6157)</f>
        <v>43620</v>
      </c>
      <c r="I6158" s="25"/>
    </row>
    <row r="6159" spans="3:11" x14ac:dyDescent="0.25">
      <c r="C6159" s="12" t="s">
        <v>25</v>
      </c>
      <c r="D6159" s="13" t="s">
        <v>26</v>
      </c>
      <c r="E6159" s="14"/>
      <c r="F6159" s="55"/>
      <c r="G6159" s="14"/>
      <c r="H6159" s="14"/>
    </row>
    <row r="6160" spans="3:11" x14ac:dyDescent="0.25">
      <c r="C6160" s="12">
        <v>1</v>
      </c>
      <c r="D6160" s="13" t="s">
        <v>1185</v>
      </c>
      <c r="E6160" s="53" t="s">
        <v>949</v>
      </c>
      <c r="F6160" s="115">
        <v>1.1000000000000001</v>
      </c>
      <c r="G6160" s="19">
        <f>VLOOKUP(D6160,upahbahan,3,FALSE)</f>
        <v>20000</v>
      </c>
      <c r="H6160" s="19">
        <f>F6160*G6160</f>
        <v>22000</v>
      </c>
    </row>
    <row r="6161" spans="3:11" x14ac:dyDescent="0.3">
      <c r="C6161" s="21" t="s">
        <v>29</v>
      </c>
      <c r="D6161" s="22"/>
      <c r="E6161" s="22"/>
      <c r="F6161" s="22"/>
      <c r="G6161" s="28"/>
      <c r="H6161" s="19">
        <f>SUM(H6160:H6160)</f>
        <v>22000</v>
      </c>
    </row>
    <row r="6162" spans="3:11" x14ac:dyDescent="0.25">
      <c r="C6162" s="12" t="s">
        <v>30</v>
      </c>
      <c r="D6162" s="13" t="s">
        <v>31</v>
      </c>
      <c r="E6162" s="14"/>
      <c r="F6162" s="14"/>
      <c r="G6162" s="14"/>
      <c r="H6162" s="14"/>
    </row>
    <row r="6163" spans="3:11" x14ac:dyDescent="0.3">
      <c r="C6163" s="21" t="s">
        <v>32</v>
      </c>
      <c r="D6163" s="77"/>
      <c r="E6163" s="77"/>
      <c r="F6163" s="77"/>
      <c r="G6163" s="28"/>
      <c r="H6163" s="29">
        <f>SUM(H6162)</f>
        <v>0</v>
      </c>
    </row>
    <row r="6164" spans="3:11" x14ac:dyDescent="0.3">
      <c r="C6164" s="30" t="s">
        <v>33</v>
      </c>
      <c r="D6164" s="31" t="s">
        <v>34</v>
      </c>
      <c r="E6164" s="32"/>
      <c r="F6164" s="32"/>
      <c r="G6164" s="33"/>
      <c r="H6164" s="46">
        <f>H6163+H6161+H6158</f>
        <v>65620</v>
      </c>
      <c r="I6164" s="47"/>
    </row>
    <row r="6165" spans="3:11" x14ac:dyDescent="0.3">
      <c r="C6165" s="30" t="s">
        <v>35</v>
      </c>
      <c r="D6165" s="31" t="s">
        <v>36</v>
      </c>
      <c r="E6165" s="32"/>
      <c r="F6165" s="33"/>
      <c r="G6165" s="34">
        <f>$M$9</f>
        <v>0.1</v>
      </c>
      <c r="H6165" s="19">
        <f>H6164*G6165</f>
        <v>6562</v>
      </c>
      <c r="I6165" s="47"/>
    </row>
    <row r="6166" spans="3:11" x14ac:dyDescent="0.3">
      <c r="C6166" s="30" t="s">
        <v>37</v>
      </c>
      <c r="D6166" s="31" t="s">
        <v>38</v>
      </c>
      <c r="E6166" s="32"/>
      <c r="F6166" s="32"/>
      <c r="G6166" s="33"/>
      <c r="H6166" s="48">
        <f>SUM(H6164:H6165)</f>
        <v>72182</v>
      </c>
      <c r="I6166" s="47"/>
    </row>
    <row r="6168" spans="3:11" x14ac:dyDescent="0.3">
      <c r="C6168" s="40" t="s">
        <v>1186</v>
      </c>
      <c r="D6168" s="68" t="s">
        <v>1187</v>
      </c>
      <c r="E6168" s="44"/>
      <c r="F6168" s="44"/>
      <c r="G6168" s="44"/>
      <c r="H6168" s="44"/>
      <c r="I6168" s="10">
        <f>ROUNDDOWN(H6183,0)</f>
        <v>84282</v>
      </c>
      <c r="J6168" s="15"/>
      <c r="K6168" s="39"/>
    </row>
    <row r="6169" spans="3:11" ht="27.6" x14ac:dyDescent="0.3">
      <c r="C6169" s="11" t="s">
        <v>9</v>
      </c>
      <c r="D6169" s="11" t="s">
        <v>10</v>
      </c>
      <c r="E6169" s="11" t="s">
        <v>11</v>
      </c>
      <c r="F6169" s="11" t="s">
        <v>12</v>
      </c>
      <c r="G6169" s="11" t="s">
        <v>13</v>
      </c>
      <c r="H6169" s="11" t="s">
        <v>14</v>
      </c>
    </row>
    <row r="6170" spans="3:11" x14ac:dyDescent="0.25">
      <c r="C6170" s="12" t="s">
        <v>15</v>
      </c>
      <c r="D6170" s="13" t="s">
        <v>16</v>
      </c>
      <c r="E6170" s="14"/>
      <c r="F6170" s="14"/>
      <c r="G6170" s="14"/>
      <c r="H6170" s="14"/>
    </row>
    <row r="6171" spans="3:11" x14ac:dyDescent="0.3">
      <c r="C6171" s="16">
        <v>1</v>
      </c>
      <c r="D6171" s="13" t="s">
        <v>18</v>
      </c>
      <c r="E6171" s="17" t="s">
        <v>19</v>
      </c>
      <c r="F6171" s="18">
        <v>0.114</v>
      </c>
      <c r="G6171" s="19">
        <f>VLOOKUP(D6171,upahbahan,3,FALSE)</f>
        <v>100000</v>
      </c>
      <c r="H6171" s="19">
        <f t="shared" ref="H6171:H6174" si="628">F6171*G6171</f>
        <v>11400</v>
      </c>
    </row>
    <row r="6172" spans="3:11" x14ac:dyDescent="0.3">
      <c r="C6172" s="16">
        <v>2</v>
      </c>
      <c r="D6172" s="13" t="s">
        <v>214</v>
      </c>
      <c r="E6172" s="17" t="s">
        <v>19</v>
      </c>
      <c r="F6172" s="18">
        <v>0.191</v>
      </c>
      <c r="G6172" s="19">
        <f>VLOOKUP(D6172,upahbahan,3,FALSE)</f>
        <v>145000</v>
      </c>
      <c r="H6172" s="19">
        <f t="shared" si="628"/>
        <v>27695</v>
      </c>
    </row>
    <row r="6173" spans="3:11" x14ac:dyDescent="0.3">
      <c r="C6173" s="16">
        <v>3</v>
      </c>
      <c r="D6173" s="13" t="s">
        <v>22</v>
      </c>
      <c r="E6173" s="17" t="s">
        <v>19</v>
      </c>
      <c r="F6173" s="18">
        <v>1.9E-2</v>
      </c>
      <c r="G6173" s="19">
        <f>VLOOKUP(D6173,upahbahan,3,FALSE)</f>
        <v>175000</v>
      </c>
      <c r="H6173" s="19">
        <f t="shared" si="628"/>
        <v>3325</v>
      </c>
    </row>
    <row r="6174" spans="3:11" x14ac:dyDescent="0.3">
      <c r="C6174" s="16">
        <v>4</v>
      </c>
      <c r="D6174" s="13" t="s">
        <v>23</v>
      </c>
      <c r="E6174" s="17" t="s">
        <v>19</v>
      </c>
      <c r="F6174" s="18">
        <v>6.0000000000000001E-3</v>
      </c>
      <c r="G6174" s="19">
        <f>VLOOKUP(D6174,upahbahan,3,FALSE)</f>
        <v>200000</v>
      </c>
      <c r="H6174" s="19">
        <f t="shared" si="628"/>
        <v>1200</v>
      </c>
    </row>
    <row r="6175" spans="3:11" x14ac:dyDescent="0.3">
      <c r="C6175" s="21" t="s">
        <v>24</v>
      </c>
      <c r="D6175" s="22"/>
      <c r="E6175" s="22"/>
      <c r="F6175" s="54"/>
      <c r="G6175" s="24"/>
      <c r="H6175" s="19">
        <f>SUM(H6171:H6174)</f>
        <v>43620</v>
      </c>
      <c r="I6175" s="25"/>
    </row>
    <row r="6176" spans="3:11" x14ac:dyDescent="0.25">
      <c r="C6176" s="12" t="s">
        <v>25</v>
      </c>
      <c r="D6176" s="13" t="s">
        <v>26</v>
      </c>
      <c r="E6176" s="14"/>
      <c r="F6176" s="55"/>
      <c r="G6176" s="14"/>
      <c r="H6176" s="14"/>
    </row>
    <row r="6177" spans="3:11" x14ac:dyDescent="0.25">
      <c r="C6177" s="12">
        <v>1</v>
      </c>
      <c r="D6177" s="13" t="s">
        <v>1188</v>
      </c>
      <c r="E6177" s="53" t="s">
        <v>949</v>
      </c>
      <c r="F6177" s="115">
        <v>1.1000000000000001</v>
      </c>
      <c r="G6177" s="19">
        <f>VLOOKUP(D6177,upahbahan,3,FALSE)</f>
        <v>30000</v>
      </c>
      <c r="H6177" s="19">
        <f>F6177*G6177</f>
        <v>33000</v>
      </c>
    </row>
    <row r="6178" spans="3:11" x14ac:dyDescent="0.3">
      <c r="C6178" s="21" t="s">
        <v>29</v>
      </c>
      <c r="D6178" s="22"/>
      <c r="E6178" s="22"/>
      <c r="F6178" s="22"/>
      <c r="G6178" s="28"/>
      <c r="H6178" s="19">
        <f>SUM(H6177:H6177)</f>
        <v>33000</v>
      </c>
    </row>
    <row r="6179" spans="3:11" x14ac:dyDescent="0.25">
      <c r="C6179" s="12" t="s">
        <v>30</v>
      </c>
      <c r="D6179" s="13" t="s">
        <v>31</v>
      </c>
      <c r="E6179" s="14"/>
      <c r="F6179" s="14"/>
      <c r="G6179" s="14"/>
      <c r="H6179" s="14"/>
    </row>
    <row r="6180" spans="3:11" x14ac:dyDescent="0.3">
      <c r="C6180" s="21" t="s">
        <v>32</v>
      </c>
      <c r="D6180" s="77"/>
      <c r="E6180" s="77"/>
      <c r="F6180" s="77"/>
      <c r="G6180" s="28"/>
      <c r="H6180" s="29">
        <f>SUM(H6179)</f>
        <v>0</v>
      </c>
    </row>
    <row r="6181" spans="3:11" x14ac:dyDescent="0.3">
      <c r="C6181" s="30" t="s">
        <v>33</v>
      </c>
      <c r="D6181" s="31" t="s">
        <v>34</v>
      </c>
      <c r="E6181" s="32"/>
      <c r="F6181" s="32"/>
      <c r="G6181" s="33"/>
      <c r="H6181" s="46">
        <f>H6180+H6178+H6175</f>
        <v>76620</v>
      </c>
      <c r="I6181" s="47"/>
    </row>
    <row r="6182" spans="3:11" x14ac:dyDescent="0.3">
      <c r="C6182" s="30" t="s">
        <v>35</v>
      </c>
      <c r="D6182" s="31" t="s">
        <v>36</v>
      </c>
      <c r="E6182" s="32"/>
      <c r="F6182" s="33"/>
      <c r="G6182" s="34">
        <f>$M$9</f>
        <v>0.1</v>
      </c>
      <c r="H6182" s="19">
        <f>H6181*G6182</f>
        <v>7662</v>
      </c>
      <c r="I6182" s="47"/>
    </row>
    <row r="6183" spans="3:11" x14ac:dyDescent="0.3">
      <c r="C6183" s="30" t="s">
        <v>37</v>
      </c>
      <c r="D6183" s="31" t="s">
        <v>38</v>
      </c>
      <c r="E6183" s="32"/>
      <c r="F6183" s="32"/>
      <c r="G6183" s="33"/>
      <c r="H6183" s="48">
        <f>SUM(H6181:H6182)</f>
        <v>84282</v>
      </c>
      <c r="I6183" s="47"/>
    </row>
    <row r="6186" spans="3:11" x14ac:dyDescent="0.3">
      <c r="C6186" s="40" t="s">
        <v>1189</v>
      </c>
      <c r="D6186" s="68" t="s">
        <v>1190</v>
      </c>
      <c r="E6186" s="44"/>
      <c r="F6186" s="44"/>
      <c r="G6186" s="44"/>
      <c r="H6186" s="44"/>
      <c r="I6186" s="10">
        <f>ROUNDDOWN(H6201,0)</f>
        <v>78232</v>
      </c>
      <c r="J6186" s="15"/>
      <c r="K6186" s="39"/>
    </row>
    <row r="6187" spans="3:11" ht="27.6" x14ac:dyDescent="0.3">
      <c r="C6187" s="11" t="s">
        <v>9</v>
      </c>
      <c r="D6187" s="11" t="s">
        <v>10</v>
      </c>
      <c r="E6187" s="11" t="s">
        <v>11</v>
      </c>
      <c r="F6187" s="11" t="s">
        <v>12</v>
      </c>
      <c r="G6187" s="11" t="s">
        <v>13</v>
      </c>
      <c r="H6187" s="11" t="s">
        <v>14</v>
      </c>
    </row>
    <row r="6188" spans="3:11" x14ac:dyDescent="0.25">
      <c r="C6188" s="12" t="s">
        <v>15</v>
      </c>
      <c r="D6188" s="13" t="s">
        <v>16</v>
      </c>
      <c r="E6188" s="14"/>
      <c r="F6188" s="14"/>
      <c r="G6188" s="14"/>
      <c r="H6188" s="14"/>
    </row>
    <row r="6189" spans="3:11" x14ac:dyDescent="0.3">
      <c r="C6189" s="16">
        <v>1</v>
      </c>
      <c r="D6189" s="13" t="s">
        <v>18</v>
      </c>
      <c r="E6189" s="17" t="s">
        <v>19</v>
      </c>
      <c r="F6189" s="18">
        <v>0.114</v>
      </c>
      <c r="G6189" s="19">
        <f>VLOOKUP(D6189,upahbahan,3,FALSE)</f>
        <v>100000</v>
      </c>
      <c r="H6189" s="19">
        <f t="shared" ref="H6189:H6192" si="629">F6189*G6189</f>
        <v>11400</v>
      </c>
    </row>
    <row r="6190" spans="3:11" x14ac:dyDescent="0.3">
      <c r="C6190" s="16">
        <v>2</v>
      </c>
      <c r="D6190" s="13" t="s">
        <v>214</v>
      </c>
      <c r="E6190" s="17" t="s">
        <v>19</v>
      </c>
      <c r="F6190" s="18">
        <v>0.191</v>
      </c>
      <c r="G6190" s="19">
        <f>VLOOKUP(D6190,upahbahan,3,FALSE)</f>
        <v>145000</v>
      </c>
      <c r="H6190" s="19">
        <f t="shared" si="629"/>
        <v>27695</v>
      </c>
    </row>
    <row r="6191" spans="3:11" x14ac:dyDescent="0.3">
      <c r="C6191" s="16">
        <v>3</v>
      </c>
      <c r="D6191" s="13" t="s">
        <v>22</v>
      </c>
      <c r="E6191" s="17" t="s">
        <v>19</v>
      </c>
      <c r="F6191" s="18">
        <v>1.9E-2</v>
      </c>
      <c r="G6191" s="19">
        <f>VLOOKUP(D6191,upahbahan,3,FALSE)</f>
        <v>175000</v>
      </c>
      <c r="H6191" s="19">
        <f t="shared" si="629"/>
        <v>3325</v>
      </c>
    </row>
    <row r="6192" spans="3:11" x14ac:dyDescent="0.3">
      <c r="C6192" s="16">
        <v>4</v>
      </c>
      <c r="D6192" s="13" t="s">
        <v>23</v>
      </c>
      <c r="E6192" s="17" t="s">
        <v>19</v>
      </c>
      <c r="F6192" s="18">
        <v>6.0000000000000001E-3</v>
      </c>
      <c r="G6192" s="19">
        <f>VLOOKUP(D6192,upahbahan,3,FALSE)</f>
        <v>200000</v>
      </c>
      <c r="H6192" s="19">
        <f t="shared" si="629"/>
        <v>1200</v>
      </c>
    </row>
    <row r="6193" spans="3:11" x14ac:dyDescent="0.3">
      <c r="C6193" s="21" t="s">
        <v>24</v>
      </c>
      <c r="D6193" s="22"/>
      <c r="E6193" s="22"/>
      <c r="F6193" s="54"/>
      <c r="G6193" s="24"/>
      <c r="H6193" s="19">
        <f>SUM(H6189:H6192)</f>
        <v>43620</v>
      </c>
      <c r="I6193" s="25"/>
    </row>
    <row r="6194" spans="3:11" x14ac:dyDescent="0.25">
      <c r="C6194" s="12" t="s">
        <v>25</v>
      </c>
      <c r="D6194" s="13" t="s">
        <v>26</v>
      </c>
      <c r="E6194" s="14"/>
      <c r="F6194" s="55"/>
      <c r="G6194" s="14"/>
      <c r="H6194" s="14"/>
    </row>
    <row r="6195" spans="3:11" x14ac:dyDescent="0.25">
      <c r="C6195" s="12">
        <v>1</v>
      </c>
      <c r="D6195" s="13" t="s">
        <v>1191</v>
      </c>
      <c r="E6195" s="53" t="s">
        <v>949</v>
      </c>
      <c r="F6195" s="115">
        <v>1.1000000000000001</v>
      </c>
      <c r="G6195" s="19">
        <f>VLOOKUP(D6195,upahbahan,3,FALSE)</f>
        <v>25000</v>
      </c>
      <c r="H6195" s="19">
        <f>F6195*G6195</f>
        <v>27500.000000000004</v>
      </c>
    </row>
    <row r="6196" spans="3:11" x14ac:dyDescent="0.3">
      <c r="C6196" s="21" t="s">
        <v>29</v>
      </c>
      <c r="D6196" s="22"/>
      <c r="E6196" s="22"/>
      <c r="F6196" s="22"/>
      <c r="G6196" s="28"/>
      <c r="H6196" s="19">
        <f>SUM(H6195:H6195)</f>
        <v>27500.000000000004</v>
      </c>
    </row>
    <row r="6197" spans="3:11" x14ac:dyDescent="0.25">
      <c r="C6197" s="12" t="s">
        <v>30</v>
      </c>
      <c r="D6197" s="13" t="s">
        <v>31</v>
      </c>
      <c r="E6197" s="14"/>
      <c r="F6197" s="14"/>
      <c r="G6197" s="14"/>
      <c r="H6197" s="14"/>
    </row>
    <row r="6198" spans="3:11" x14ac:dyDescent="0.3">
      <c r="C6198" s="21" t="s">
        <v>32</v>
      </c>
      <c r="D6198" s="77"/>
      <c r="E6198" s="77"/>
      <c r="F6198" s="77"/>
      <c r="G6198" s="28"/>
      <c r="H6198" s="29">
        <f>SUM(H6197)</f>
        <v>0</v>
      </c>
    </row>
    <row r="6199" spans="3:11" x14ac:dyDescent="0.3">
      <c r="C6199" s="30" t="s">
        <v>33</v>
      </c>
      <c r="D6199" s="31" t="s">
        <v>34</v>
      </c>
      <c r="E6199" s="32"/>
      <c r="F6199" s="32"/>
      <c r="G6199" s="33"/>
      <c r="H6199" s="46">
        <f>H6198+H6196+H6193</f>
        <v>71120</v>
      </c>
      <c r="I6199" s="47"/>
    </row>
    <row r="6200" spans="3:11" x14ac:dyDescent="0.3">
      <c r="C6200" s="30" t="s">
        <v>35</v>
      </c>
      <c r="D6200" s="31" t="s">
        <v>36</v>
      </c>
      <c r="E6200" s="32"/>
      <c r="F6200" s="33"/>
      <c r="G6200" s="34">
        <f>$M$9</f>
        <v>0.1</v>
      </c>
      <c r="H6200" s="19">
        <f>H6199*G6200</f>
        <v>7112</v>
      </c>
      <c r="I6200" s="47"/>
    </row>
    <row r="6201" spans="3:11" x14ac:dyDescent="0.3">
      <c r="C6201" s="30" t="s">
        <v>37</v>
      </c>
      <c r="D6201" s="31" t="s">
        <v>38</v>
      </c>
      <c r="E6201" s="32"/>
      <c r="F6201" s="32"/>
      <c r="G6201" s="33"/>
      <c r="H6201" s="48">
        <f>SUM(H6199:H6200)</f>
        <v>78232</v>
      </c>
      <c r="I6201" s="47"/>
    </row>
    <row r="6204" spans="3:11" x14ac:dyDescent="0.3">
      <c r="C6204" s="40" t="s">
        <v>1192</v>
      </c>
      <c r="D6204" s="68" t="s">
        <v>1193</v>
      </c>
      <c r="E6204" s="44"/>
      <c r="F6204" s="44"/>
      <c r="G6204" s="44"/>
      <c r="H6204" s="44"/>
      <c r="I6204" s="10">
        <f>ROUNDDOWN(H6219,0)</f>
        <v>138732</v>
      </c>
      <c r="J6204" s="15"/>
      <c r="K6204" s="39"/>
    </row>
    <row r="6205" spans="3:11" ht="27.6" x14ac:dyDescent="0.3">
      <c r="C6205" s="11" t="s">
        <v>9</v>
      </c>
      <c r="D6205" s="11" t="s">
        <v>10</v>
      </c>
      <c r="E6205" s="11" t="s">
        <v>11</v>
      </c>
      <c r="F6205" s="11" t="s">
        <v>12</v>
      </c>
      <c r="G6205" s="11" t="s">
        <v>13</v>
      </c>
      <c r="H6205" s="11" t="s">
        <v>14</v>
      </c>
    </row>
    <row r="6206" spans="3:11" x14ac:dyDescent="0.25">
      <c r="C6206" s="12" t="s">
        <v>15</v>
      </c>
      <c r="D6206" s="13" t="s">
        <v>16</v>
      </c>
      <c r="E6206" s="14"/>
      <c r="F6206" s="14"/>
      <c r="G6206" s="14"/>
      <c r="H6206" s="14"/>
    </row>
    <row r="6207" spans="3:11" x14ac:dyDescent="0.3">
      <c r="C6207" s="16">
        <v>1</v>
      </c>
      <c r="D6207" s="13" t="s">
        <v>18</v>
      </c>
      <c r="E6207" s="17" t="s">
        <v>19</v>
      </c>
      <c r="F6207" s="18">
        <v>0.114</v>
      </c>
      <c r="G6207" s="19">
        <f>VLOOKUP(D6207,upahbahan,3,FALSE)</f>
        <v>100000</v>
      </c>
      <c r="H6207" s="19">
        <f t="shared" ref="H6207:H6210" si="630">F6207*G6207</f>
        <v>11400</v>
      </c>
    </row>
    <row r="6208" spans="3:11" x14ac:dyDescent="0.3">
      <c r="C6208" s="16">
        <v>2</v>
      </c>
      <c r="D6208" s="13" t="s">
        <v>214</v>
      </c>
      <c r="E6208" s="17" t="s">
        <v>19</v>
      </c>
      <c r="F6208" s="18">
        <v>0.191</v>
      </c>
      <c r="G6208" s="19">
        <f>VLOOKUP(D6208,upahbahan,3,FALSE)</f>
        <v>145000</v>
      </c>
      <c r="H6208" s="19">
        <f t="shared" si="630"/>
        <v>27695</v>
      </c>
    </row>
    <row r="6209" spans="3:11" x14ac:dyDescent="0.3">
      <c r="C6209" s="16">
        <v>3</v>
      </c>
      <c r="D6209" s="13" t="s">
        <v>22</v>
      </c>
      <c r="E6209" s="17" t="s">
        <v>19</v>
      </c>
      <c r="F6209" s="18">
        <v>1.9E-2</v>
      </c>
      <c r="G6209" s="19">
        <f>VLOOKUP(D6209,upahbahan,3,FALSE)</f>
        <v>175000</v>
      </c>
      <c r="H6209" s="19">
        <f t="shared" si="630"/>
        <v>3325</v>
      </c>
    </row>
    <row r="6210" spans="3:11" x14ac:dyDescent="0.3">
      <c r="C6210" s="16">
        <v>4</v>
      </c>
      <c r="D6210" s="13" t="s">
        <v>23</v>
      </c>
      <c r="E6210" s="17" t="s">
        <v>19</v>
      </c>
      <c r="F6210" s="18">
        <v>6.0000000000000001E-3</v>
      </c>
      <c r="G6210" s="19">
        <f>VLOOKUP(D6210,upahbahan,3,FALSE)</f>
        <v>200000</v>
      </c>
      <c r="H6210" s="19">
        <f t="shared" si="630"/>
        <v>1200</v>
      </c>
    </row>
    <row r="6211" spans="3:11" x14ac:dyDescent="0.3">
      <c r="C6211" s="21" t="s">
        <v>24</v>
      </c>
      <c r="D6211" s="22"/>
      <c r="E6211" s="22"/>
      <c r="F6211" s="54"/>
      <c r="G6211" s="24"/>
      <c r="H6211" s="19">
        <f>SUM(H6207:H6210)</f>
        <v>43620</v>
      </c>
      <c r="I6211" s="25"/>
    </row>
    <row r="6212" spans="3:11" x14ac:dyDescent="0.25">
      <c r="C6212" s="12" t="s">
        <v>25</v>
      </c>
      <c r="D6212" s="13" t="s">
        <v>26</v>
      </c>
      <c r="E6212" s="14"/>
      <c r="F6212" s="55"/>
      <c r="G6212" s="14"/>
      <c r="H6212" s="14"/>
    </row>
    <row r="6213" spans="3:11" x14ac:dyDescent="0.25">
      <c r="C6213" s="12">
        <v>1</v>
      </c>
      <c r="D6213" s="13" t="s">
        <v>1194</v>
      </c>
      <c r="E6213" s="53" t="s">
        <v>949</v>
      </c>
      <c r="F6213" s="115">
        <v>1.1000000000000001</v>
      </c>
      <c r="G6213" s="19">
        <f>VLOOKUP(D6213,upahbahan,3,FALSE)</f>
        <v>75000</v>
      </c>
      <c r="H6213" s="19">
        <f>F6213*G6213</f>
        <v>82500</v>
      </c>
    </row>
    <row r="6214" spans="3:11" x14ac:dyDescent="0.3">
      <c r="C6214" s="21" t="s">
        <v>29</v>
      </c>
      <c r="D6214" s="22"/>
      <c r="E6214" s="22"/>
      <c r="F6214" s="22"/>
      <c r="G6214" s="28"/>
      <c r="H6214" s="19">
        <f>SUM(H6213:H6213)</f>
        <v>82500</v>
      </c>
    </row>
    <row r="6215" spans="3:11" x14ac:dyDescent="0.25">
      <c r="C6215" s="12" t="s">
        <v>30</v>
      </c>
      <c r="D6215" s="13" t="s">
        <v>31</v>
      </c>
      <c r="E6215" s="14"/>
      <c r="F6215" s="14"/>
      <c r="G6215" s="14"/>
      <c r="H6215" s="14"/>
    </row>
    <row r="6216" spans="3:11" x14ac:dyDescent="0.3">
      <c r="C6216" s="21" t="s">
        <v>32</v>
      </c>
      <c r="D6216" s="77"/>
      <c r="E6216" s="77"/>
      <c r="F6216" s="77"/>
      <c r="G6216" s="28"/>
      <c r="H6216" s="29">
        <f>SUM(H6215)</f>
        <v>0</v>
      </c>
    </row>
    <row r="6217" spans="3:11" x14ac:dyDescent="0.3">
      <c r="C6217" s="30" t="s">
        <v>33</v>
      </c>
      <c r="D6217" s="31" t="s">
        <v>34</v>
      </c>
      <c r="E6217" s="32"/>
      <c r="F6217" s="32"/>
      <c r="G6217" s="33"/>
      <c r="H6217" s="46">
        <f>H6216+H6214+H6211</f>
        <v>126120</v>
      </c>
      <c r="I6217" s="47"/>
    </row>
    <row r="6218" spans="3:11" x14ac:dyDescent="0.3">
      <c r="C6218" s="30" t="s">
        <v>35</v>
      </c>
      <c r="D6218" s="31" t="s">
        <v>36</v>
      </c>
      <c r="E6218" s="32"/>
      <c r="F6218" s="33"/>
      <c r="G6218" s="34">
        <f>$M$9</f>
        <v>0.1</v>
      </c>
      <c r="H6218" s="19">
        <f>H6217*G6218</f>
        <v>12612</v>
      </c>
      <c r="I6218" s="47"/>
    </row>
    <row r="6219" spans="3:11" x14ac:dyDescent="0.3">
      <c r="C6219" s="30" t="s">
        <v>37</v>
      </c>
      <c r="D6219" s="31" t="s">
        <v>38</v>
      </c>
      <c r="E6219" s="32"/>
      <c r="F6219" s="32"/>
      <c r="G6219" s="33"/>
      <c r="H6219" s="48">
        <f>SUM(H6217:H6218)</f>
        <v>138732</v>
      </c>
      <c r="I6219" s="47"/>
    </row>
    <row r="6222" spans="3:11" x14ac:dyDescent="0.3">
      <c r="C6222" s="40" t="s">
        <v>1195</v>
      </c>
      <c r="D6222" s="68" t="s">
        <v>1196</v>
      </c>
      <c r="E6222" s="44"/>
      <c r="F6222" s="44"/>
      <c r="G6222" s="44"/>
      <c r="H6222" s="44"/>
      <c r="I6222" s="10">
        <f>ROUNDDOWN(H6240,0)</f>
        <v>683878</v>
      </c>
      <c r="J6222" s="15" t="s">
        <v>296</v>
      </c>
      <c r="K6222" s="39" t="s">
        <v>1197</v>
      </c>
    </row>
    <row r="6223" spans="3:11" ht="27.6" x14ac:dyDescent="0.3">
      <c r="C6223" s="11" t="s">
        <v>9</v>
      </c>
      <c r="D6223" s="11" t="s">
        <v>10</v>
      </c>
      <c r="E6223" s="11" t="s">
        <v>11</v>
      </c>
      <c r="F6223" s="11" t="s">
        <v>12</v>
      </c>
      <c r="G6223" s="11" t="s">
        <v>13</v>
      </c>
      <c r="H6223" s="11" t="s">
        <v>14</v>
      </c>
    </row>
    <row r="6224" spans="3:11" x14ac:dyDescent="0.25">
      <c r="C6224" s="12" t="s">
        <v>15</v>
      </c>
      <c r="D6224" s="13" t="s">
        <v>16</v>
      </c>
      <c r="E6224" s="14"/>
      <c r="F6224" s="14"/>
      <c r="G6224" s="14"/>
      <c r="H6224" s="14"/>
    </row>
    <row r="6225" spans="3:9" x14ac:dyDescent="0.3">
      <c r="C6225" s="16">
        <v>1</v>
      </c>
      <c r="D6225" s="13" t="s">
        <v>18</v>
      </c>
      <c r="E6225" s="17" t="s">
        <v>19</v>
      </c>
      <c r="F6225" s="18">
        <v>0.19</v>
      </c>
      <c r="G6225" s="19">
        <f>VLOOKUP(D6225,upahbahan,3,FALSE)</f>
        <v>100000</v>
      </c>
      <c r="H6225" s="19">
        <f t="shared" ref="H6225:H6228" si="631">F6225*G6225</f>
        <v>19000</v>
      </c>
    </row>
    <row r="6226" spans="3:9" x14ac:dyDescent="0.3">
      <c r="C6226" s="16">
        <v>2</v>
      </c>
      <c r="D6226" s="13" t="s">
        <v>214</v>
      </c>
      <c r="E6226" s="17" t="s">
        <v>19</v>
      </c>
      <c r="F6226" s="18">
        <v>0.318</v>
      </c>
      <c r="G6226" s="19">
        <f>VLOOKUP(D6226,upahbahan,3,FALSE)</f>
        <v>145000</v>
      </c>
      <c r="H6226" s="19">
        <f t="shared" si="631"/>
        <v>46110</v>
      </c>
    </row>
    <row r="6227" spans="3:9" x14ac:dyDescent="0.3">
      <c r="C6227" s="16">
        <v>3</v>
      </c>
      <c r="D6227" s="13" t="s">
        <v>22</v>
      </c>
      <c r="E6227" s="17" t="s">
        <v>19</v>
      </c>
      <c r="F6227" s="18">
        <v>3.2000000000000001E-2</v>
      </c>
      <c r="G6227" s="19">
        <f>VLOOKUP(D6227,upahbahan,3,FALSE)</f>
        <v>175000</v>
      </c>
      <c r="H6227" s="19">
        <f t="shared" si="631"/>
        <v>5600</v>
      </c>
    </row>
    <row r="6228" spans="3:9" x14ac:dyDescent="0.3">
      <c r="C6228" s="16">
        <v>4</v>
      </c>
      <c r="D6228" s="13" t="s">
        <v>23</v>
      </c>
      <c r="E6228" s="17" t="s">
        <v>19</v>
      </c>
      <c r="F6228" s="18">
        <v>1.0999999999999999E-2</v>
      </c>
      <c r="G6228" s="19">
        <f>VLOOKUP(D6228,upahbahan,3,FALSE)</f>
        <v>200000</v>
      </c>
      <c r="H6228" s="19">
        <f t="shared" si="631"/>
        <v>2200</v>
      </c>
    </row>
    <row r="6229" spans="3:9" x14ac:dyDescent="0.3">
      <c r="C6229" s="21" t="s">
        <v>24</v>
      </c>
      <c r="D6229" s="22"/>
      <c r="E6229" s="22"/>
      <c r="F6229" s="54"/>
      <c r="G6229" s="24"/>
      <c r="H6229" s="19">
        <f>SUM(H6225:H6228)</f>
        <v>72910</v>
      </c>
      <c r="I6229" s="25"/>
    </row>
    <row r="6230" spans="3:9" x14ac:dyDescent="0.25">
      <c r="C6230" s="12" t="s">
        <v>25</v>
      </c>
      <c r="D6230" s="13" t="s">
        <v>26</v>
      </c>
      <c r="E6230" s="14"/>
      <c r="F6230" s="55"/>
      <c r="G6230" s="14"/>
      <c r="H6230" s="14"/>
    </row>
    <row r="6231" spans="3:9" x14ac:dyDescent="0.25">
      <c r="C6231" s="12">
        <v>1</v>
      </c>
      <c r="D6231" s="13" t="s">
        <v>327</v>
      </c>
      <c r="E6231" s="53" t="s">
        <v>974</v>
      </c>
      <c r="F6231" s="115">
        <v>16.5</v>
      </c>
      <c r="G6231" s="19">
        <f>VLOOKUP(D6231,upahbahan,3,FALSE)</f>
        <v>32900</v>
      </c>
      <c r="H6231" s="19">
        <f t="shared" ref="H6231:H6233" si="632">F6231*G6231</f>
        <v>542850</v>
      </c>
    </row>
    <row r="6232" spans="3:9" x14ac:dyDescent="0.25">
      <c r="C6232" s="12">
        <v>2</v>
      </c>
      <c r="D6232" s="13" t="s">
        <v>976</v>
      </c>
      <c r="E6232" s="53" t="s">
        <v>949</v>
      </c>
      <c r="F6232" s="115">
        <v>1</v>
      </c>
      <c r="G6232" s="19">
        <f>VLOOKUP(D6232,upahbahan,3,FALSE)</f>
        <v>4000</v>
      </c>
      <c r="H6232" s="19">
        <f t="shared" si="632"/>
        <v>4000</v>
      </c>
    </row>
    <row r="6233" spans="3:9" x14ac:dyDescent="0.25">
      <c r="C6233" s="12">
        <v>3</v>
      </c>
      <c r="D6233" s="13" t="s">
        <v>981</v>
      </c>
      <c r="E6233" s="53" t="s">
        <v>1105</v>
      </c>
      <c r="F6233" s="115">
        <v>0.5</v>
      </c>
      <c r="G6233" s="19">
        <f>VLOOKUP(D6233,upahbahan,3,FALSE)</f>
        <v>416</v>
      </c>
      <c r="H6233" s="19">
        <f t="shared" si="632"/>
        <v>208</v>
      </c>
    </row>
    <row r="6234" spans="3:9" x14ac:dyDescent="0.25">
      <c r="C6234" s="12">
        <v>4</v>
      </c>
      <c r="D6234" s="13" t="s">
        <v>982</v>
      </c>
      <c r="E6234" s="53" t="s">
        <v>949</v>
      </c>
      <c r="F6234" s="115">
        <v>3</v>
      </c>
      <c r="G6234" s="19">
        <f>VLOOKUP(D6234,upahbahan,3,FALSE)</f>
        <v>580</v>
      </c>
      <c r="H6234" s="19">
        <f>F6234*G6234</f>
        <v>1740</v>
      </c>
    </row>
    <row r="6235" spans="3:9" x14ac:dyDescent="0.3">
      <c r="C6235" s="21" t="s">
        <v>29</v>
      </c>
      <c r="D6235" s="22"/>
      <c r="E6235" s="22"/>
      <c r="F6235" s="22"/>
      <c r="G6235" s="28"/>
      <c r="H6235" s="19">
        <f>SUM(H6231:H6234)</f>
        <v>548798</v>
      </c>
    </row>
    <row r="6236" spans="3:9" x14ac:dyDescent="0.25">
      <c r="C6236" s="12" t="s">
        <v>30</v>
      </c>
      <c r="D6236" s="13" t="s">
        <v>31</v>
      </c>
      <c r="E6236" s="14"/>
      <c r="F6236" s="14"/>
      <c r="G6236" s="14"/>
      <c r="H6236" s="14"/>
    </row>
    <row r="6237" spans="3:9" x14ac:dyDescent="0.3">
      <c r="C6237" s="21" t="s">
        <v>32</v>
      </c>
      <c r="D6237" s="77"/>
      <c r="E6237" s="77"/>
      <c r="F6237" s="77"/>
      <c r="G6237" s="28"/>
      <c r="H6237" s="29">
        <f>SUM(H6236)</f>
        <v>0</v>
      </c>
    </row>
    <row r="6238" spans="3:9" x14ac:dyDescent="0.3">
      <c r="C6238" s="30" t="s">
        <v>33</v>
      </c>
      <c r="D6238" s="31" t="s">
        <v>34</v>
      </c>
      <c r="E6238" s="32"/>
      <c r="F6238" s="32"/>
      <c r="G6238" s="33"/>
      <c r="H6238" s="46">
        <f>H6237+H6235+H6229</f>
        <v>621708</v>
      </c>
      <c r="I6238" s="47"/>
    </row>
    <row r="6239" spans="3:9" x14ac:dyDescent="0.3">
      <c r="C6239" s="30" t="s">
        <v>35</v>
      </c>
      <c r="D6239" s="31" t="s">
        <v>36</v>
      </c>
      <c r="E6239" s="32"/>
      <c r="F6239" s="33"/>
      <c r="G6239" s="34">
        <f>$M$9</f>
        <v>0.1</v>
      </c>
      <c r="H6239" s="19">
        <f>H6238*G6239</f>
        <v>62170.8</v>
      </c>
      <c r="I6239" s="47"/>
    </row>
    <row r="6240" spans="3:9" x14ac:dyDescent="0.3">
      <c r="C6240" s="30" t="s">
        <v>37</v>
      </c>
      <c r="D6240" s="31" t="s">
        <v>38</v>
      </c>
      <c r="E6240" s="32"/>
      <c r="F6240" s="32"/>
      <c r="G6240" s="33"/>
      <c r="H6240" s="48">
        <f>SUM(H6238:H6239)</f>
        <v>683878.8</v>
      </c>
      <c r="I6240" s="47"/>
    </row>
    <row r="6243" spans="3:11" x14ac:dyDescent="0.3">
      <c r="C6243" s="40" t="s">
        <v>1198</v>
      </c>
      <c r="D6243" s="68" t="s">
        <v>1199</v>
      </c>
      <c r="E6243" s="44"/>
      <c r="F6243" s="44"/>
      <c r="G6243" s="44"/>
      <c r="H6243" s="44"/>
      <c r="I6243" s="10">
        <f>ROUNDDOWN(H6264,0)</f>
        <v>3340048</v>
      </c>
      <c r="J6243" s="15"/>
      <c r="K6243" s="39"/>
    </row>
    <row r="6244" spans="3:11" ht="27.6" x14ac:dyDescent="0.3">
      <c r="C6244" s="11" t="s">
        <v>9</v>
      </c>
      <c r="D6244" s="11" t="s">
        <v>10</v>
      </c>
      <c r="E6244" s="11" t="s">
        <v>11</v>
      </c>
      <c r="F6244" s="11" t="s">
        <v>12</v>
      </c>
      <c r="G6244" s="11" t="s">
        <v>13</v>
      </c>
      <c r="H6244" s="11" t="s">
        <v>14</v>
      </c>
    </row>
    <row r="6245" spans="3:11" x14ac:dyDescent="0.25">
      <c r="C6245" s="12" t="s">
        <v>15</v>
      </c>
      <c r="D6245" s="13" t="s">
        <v>16</v>
      </c>
      <c r="E6245" s="14"/>
      <c r="F6245" s="14"/>
      <c r="G6245" s="14"/>
      <c r="H6245" s="14"/>
    </row>
    <row r="6246" spans="3:11" x14ac:dyDescent="0.3">
      <c r="C6246" s="16">
        <v>1</v>
      </c>
      <c r="D6246" s="13" t="s">
        <v>18</v>
      </c>
      <c r="E6246" s="17" t="s">
        <v>19</v>
      </c>
      <c r="F6246" s="18">
        <v>0.19</v>
      </c>
      <c r="G6246" s="19">
        <f>VLOOKUP(D6246,upahbahan,3,FALSE)</f>
        <v>100000</v>
      </c>
      <c r="H6246" s="19">
        <f t="shared" ref="H6246:H6249" si="633">F6246*G6246</f>
        <v>19000</v>
      </c>
    </row>
    <row r="6247" spans="3:11" x14ac:dyDescent="0.3">
      <c r="C6247" s="16">
        <v>2</v>
      </c>
      <c r="D6247" s="13" t="s">
        <v>214</v>
      </c>
      <c r="E6247" s="17" t="s">
        <v>19</v>
      </c>
      <c r="F6247" s="18">
        <v>0.318</v>
      </c>
      <c r="G6247" s="19">
        <f>VLOOKUP(D6247,upahbahan,3,FALSE)</f>
        <v>145000</v>
      </c>
      <c r="H6247" s="19">
        <f t="shared" si="633"/>
        <v>46110</v>
      </c>
    </row>
    <row r="6248" spans="3:11" x14ac:dyDescent="0.3">
      <c r="C6248" s="16">
        <v>3</v>
      </c>
      <c r="D6248" s="13" t="s">
        <v>22</v>
      </c>
      <c r="E6248" s="17" t="s">
        <v>19</v>
      </c>
      <c r="F6248" s="18">
        <v>3.2000000000000001E-2</v>
      </c>
      <c r="G6248" s="19">
        <f>VLOOKUP(D6248,upahbahan,3,FALSE)</f>
        <v>175000</v>
      </c>
      <c r="H6248" s="19">
        <f t="shared" si="633"/>
        <v>5600</v>
      </c>
    </row>
    <row r="6249" spans="3:11" x14ac:dyDescent="0.3">
      <c r="C6249" s="16">
        <v>4</v>
      </c>
      <c r="D6249" s="13" t="s">
        <v>23</v>
      </c>
      <c r="E6249" s="17" t="s">
        <v>19</v>
      </c>
      <c r="F6249" s="18">
        <v>1.0999999999999999E-2</v>
      </c>
      <c r="G6249" s="19">
        <f>VLOOKUP(D6249,upahbahan,3,FALSE)</f>
        <v>200000</v>
      </c>
      <c r="H6249" s="19">
        <f t="shared" si="633"/>
        <v>2200</v>
      </c>
    </row>
    <row r="6250" spans="3:11" x14ac:dyDescent="0.3">
      <c r="C6250" s="21" t="s">
        <v>24</v>
      </c>
      <c r="D6250" s="22"/>
      <c r="E6250" s="22"/>
      <c r="F6250" s="54"/>
      <c r="G6250" s="24"/>
      <c r="H6250" s="19">
        <f>SUM(H6246:H6249)</f>
        <v>72910</v>
      </c>
      <c r="I6250" s="25"/>
    </row>
    <row r="6251" spans="3:11" x14ac:dyDescent="0.25">
      <c r="C6251" s="12" t="s">
        <v>25</v>
      </c>
      <c r="D6251" s="13" t="s">
        <v>26</v>
      </c>
      <c r="E6251" s="14"/>
      <c r="F6251" s="55"/>
      <c r="G6251" s="14"/>
      <c r="H6251" s="14"/>
    </row>
    <row r="6252" spans="3:11" x14ac:dyDescent="0.25">
      <c r="C6252" s="12">
        <v>1</v>
      </c>
      <c r="D6252" s="13" t="s">
        <v>125</v>
      </c>
      <c r="E6252" s="53" t="s">
        <v>974</v>
      </c>
      <c r="F6252" s="115">
        <v>16.5</v>
      </c>
      <c r="G6252" s="19">
        <f t="shared" ref="G6252:G6258" si="634">VLOOKUP(D6252,upahbahan,3,FALSE)</f>
        <v>174900</v>
      </c>
      <c r="H6252" s="19">
        <f t="shared" ref="H6252:H6258" si="635">F6252*G6252</f>
        <v>2885850</v>
      </c>
    </row>
    <row r="6253" spans="3:11" x14ac:dyDescent="0.25">
      <c r="C6253" s="12">
        <v>2</v>
      </c>
      <c r="D6253" s="13" t="s">
        <v>975</v>
      </c>
      <c r="E6253" s="53" t="s">
        <v>974</v>
      </c>
      <c r="F6253" s="115">
        <v>16.5</v>
      </c>
      <c r="G6253" s="19">
        <f t="shared" si="634"/>
        <v>4000</v>
      </c>
      <c r="H6253" s="19">
        <f t="shared" si="635"/>
        <v>66000</v>
      </c>
    </row>
    <row r="6254" spans="3:11" x14ac:dyDescent="0.25">
      <c r="C6254" s="12">
        <v>3</v>
      </c>
      <c r="D6254" s="13" t="s">
        <v>976</v>
      </c>
      <c r="E6254" s="53" t="s">
        <v>949</v>
      </c>
      <c r="F6254" s="115">
        <v>1</v>
      </c>
      <c r="G6254" s="19">
        <f t="shared" si="634"/>
        <v>4000</v>
      </c>
      <c r="H6254" s="19">
        <f t="shared" si="635"/>
        <v>4000</v>
      </c>
    </row>
    <row r="6255" spans="3:11" x14ac:dyDescent="0.25">
      <c r="C6255" s="12">
        <v>4</v>
      </c>
      <c r="D6255" s="13" t="s">
        <v>977</v>
      </c>
      <c r="E6255" s="53" t="s">
        <v>949</v>
      </c>
      <c r="F6255" s="115">
        <v>5</v>
      </c>
      <c r="G6255" s="19">
        <f t="shared" si="634"/>
        <v>700</v>
      </c>
      <c r="H6255" s="19">
        <f t="shared" si="635"/>
        <v>3500</v>
      </c>
    </row>
    <row r="6256" spans="3:11" x14ac:dyDescent="0.25">
      <c r="C6256" s="12">
        <v>5</v>
      </c>
      <c r="D6256" s="13" t="s">
        <v>980</v>
      </c>
      <c r="E6256" s="53" t="s">
        <v>949</v>
      </c>
      <c r="F6256" s="115">
        <v>4</v>
      </c>
      <c r="G6256" s="19">
        <f t="shared" si="634"/>
        <v>550</v>
      </c>
      <c r="H6256" s="19">
        <f t="shared" si="635"/>
        <v>2200</v>
      </c>
    </row>
    <row r="6257" spans="3:11" x14ac:dyDescent="0.25">
      <c r="C6257" s="12">
        <v>6</v>
      </c>
      <c r="D6257" s="13" t="s">
        <v>981</v>
      </c>
      <c r="E6257" s="53" t="s">
        <v>1105</v>
      </c>
      <c r="F6257" s="115">
        <v>0.5</v>
      </c>
      <c r="G6257" s="19">
        <f t="shared" si="634"/>
        <v>416</v>
      </c>
      <c r="H6257" s="19">
        <f t="shared" si="635"/>
        <v>208</v>
      </c>
    </row>
    <row r="6258" spans="3:11" x14ac:dyDescent="0.25">
      <c r="C6258" s="12">
        <v>7</v>
      </c>
      <c r="D6258" s="13" t="s">
        <v>982</v>
      </c>
      <c r="E6258" s="53" t="s">
        <v>949</v>
      </c>
      <c r="F6258" s="115">
        <v>3</v>
      </c>
      <c r="G6258" s="19">
        <f t="shared" si="634"/>
        <v>580</v>
      </c>
      <c r="H6258" s="19">
        <f t="shared" si="635"/>
        <v>1740</v>
      </c>
    </row>
    <row r="6259" spans="3:11" x14ac:dyDescent="0.3">
      <c r="C6259" s="21" t="s">
        <v>29</v>
      </c>
      <c r="D6259" s="22"/>
      <c r="E6259" s="22"/>
      <c r="F6259" s="22"/>
      <c r="G6259" s="28"/>
      <c r="H6259" s="19">
        <f>SUM(H6252:H6258)</f>
        <v>2963498</v>
      </c>
    </row>
    <row r="6260" spans="3:11" x14ac:dyDescent="0.25">
      <c r="C6260" s="12" t="s">
        <v>30</v>
      </c>
      <c r="D6260" s="13" t="s">
        <v>31</v>
      </c>
      <c r="E6260" s="14"/>
      <c r="F6260" s="14"/>
      <c r="G6260" s="14"/>
      <c r="H6260" s="14"/>
    </row>
    <row r="6261" spans="3:11" x14ac:dyDescent="0.3">
      <c r="C6261" s="21" t="s">
        <v>32</v>
      </c>
      <c r="D6261" s="77"/>
      <c r="E6261" s="77"/>
      <c r="F6261" s="77"/>
      <c r="G6261" s="28"/>
      <c r="H6261" s="29">
        <f>SUM(H6260)</f>
        <v>0</v>
      </c>
    </row>
    <row r="6262" spans="3:11" x14ac:dyDescent="0.3">
      <c r="C6262" s="30" t="s">
        <v>33</v>
      </c>
      <c r="D6262" s="31" t="s">
        <v>34</v>
      </c>
      <c r="E6262" s="32"/>
      <c r="F6262" s="32"/>
      <c r="G6262" s="33"/>
      <c r="H6262" s="46">
        <f>H6261+H6259+H6250</f>
        <v>3036408</v>
      </c>
      <c r="I6262" s="47"/>
    </row>
    <row r="6263" spans="3:11" x14ac:dyDescent="0.3">
      <c r="C6263" s="30" t="s">
        <v>35</v>
      </c>
      <c r="D6263" s="31" t="s">
        <v>36</v>
      </c>
      <c r="E6263" s="32"/>
      <c r="F6263" s="33"/>
      <c r="G6263" s="34">
        <f>$M$9</f>
        <v>0.1</v>
      </c>
      <c r="H6263" s="19">
        <f>H6262*G6263</f>
        <v>303640.8</v>
      </c>
      <c r="I6263" s="47"/>
    </row>
    <row r="6264" spans="3:11" x14ac:dyDescent="0.3">
      <c r="C6264" s="30" t="s">
        <v>37</v>
      </c>
      <c r="D6264" s="31" t="s">
        <v>38</v>
      </c>
      <c r="E6264" s="32"/>
      <c r="F6264" s="32"/>
      <c r="G6264" s="33"/>
      <c r="H6264" s="48">
        <f>SUM(H6262:H6263)</f>
        <v>3340048.8</v>
      </c>
      <c r="I6264" s="47"/>
    </row>
    <row r="6266" spans="3:11" x14ac:dyDescent="0.3">
      <c r="C6266" s="40" t="s">
        <v>1200</v>
      </c>
      <c r="D6266" s="68" t="s">
        <v>1201</v>
      </c>
      <c r="E6266" s="44"/>
      <c r="F6266" s="44"/>
      <c r="G6266" s="44"/>
      <c r="H6266" s="44"/>
      <c r="I6266" s="10">
        <f>ROUNDDOWN(H6283,0)</f>
        <v>159662</v>
      </c>
      <c r="J6266" s="15"/>
      <c r="K6266" s="39"/>
    </row>
    <row r="6267" spans="3:11" ht="27.6" x14ac:dyDescent="0.3">
      <c r="C6267" s="11" t="s">
        <v>9</v>
      </c>
      <c r="D6267" s="11" t="s">
        <v>10</v>
      </c>
      <c r="E6267" s="11" t="s">
        <v>11</v>
      </c>
      <c r="F6267" s="11" t="s">
        <v>12</v>
      </c>
      <c r="G6267" s="11" t="s">
        <v>13</v>
      </c>
      <c r="H6267" s="11" t="s">
        <v>14</v>
      </c>
    </row>
    <row r="6268" spans="3:11" x14ac:dyDescent="0.25">
      <c r="C6268" s="12" t="s">
        <v>15</v>
      </c>
      <c r="D6268" s="13" t="s">
        <v>16</v>
      </c>
      <c r="E6268" s="14"/>
      <c r="F6268" s="14"/>
      <c r="G6268" s="14"/>
      <c r="H6268" s="14"/>
    </row>
    <row r="6269" spans="3:11" x14ac:dyDescent="0.3">
      <c r="C6269" s="16">
        <v>1</v>
      </c>
      <c r="D6269" s="13" t="s">
        <v>18</v>
      </c>
      <c r="E6269" s="17" t="s">
        <v>19</v>
      </c>
      <c r="F6269" s="18">
        <v>0.19</v>
      </c>
      <c r="G6269" s="19">
        <f>VLOOKUP(D6269,upahbahan,3,FALSE)</f>
        <v>100000</v>
      </c>
      <c r="H6269" s="19">
        <f t="shared" ref="H6269:H6272" si="636">F6269*G6269</f>
        <v>19000</v>
      </c>
    </row>
    <row r="6270" spans="3:11" x14ac:dyDescent="0.3">
      <c r="C6270" s="16">
        <v>2</v>
      </c>
      <c r="D6270" s="13" t="s">
        <v>214</v>
      </c>
      <c r="E6270" s="17" t="s">
        <v>19</v>
      </c>
      <c r="F6270" s="18">
        <v>0.318</v>
      </c>
      <c r="G6270" s="19">
        <f>VLOOKUP(D6270,upahbahan,3,FALSE)</f>
        <v>145000</v>
      </c>
      <c r="H6270" s="19">
        <f t="shared" si="636"/>
        <v>46110</v>
      </c>
    </row>
    <row r="6271" spans="3:11" x14ac:dyDescent="0.3">
      <c r="C6271" s="16">
        <v>3</v>
      </c>
      <c r="D6271" s="13" t="s">
        <v>22</v>
      </c>
      <c r="E6271" s="17" t="s">
        <v>19</v>
      </c>
      <c r="F6271" s="18">
        <v>3.2000000000000001E-2</v>
      </c>
      <c r="G6271" s="19">
        <f>VLOOKUP(D6271,upahbahan,3,FALSE)</f>
        <v>175000</v>
      </c>
      <c r="H6271" s="19">
        <f t="shared" si="636"/>
        <v>5600</v>
      </c>
    </row>
    <row r="6272" spans="3:11" x14ac:dyDescent="0.3">
      <c r="C6272" s="16">
        <v>4</v>
      </c>
      <c r="D6272" s="13" t="s">
        <v>23</v>
      </c>
      <c r="E6272" s="17" t="s">
        <v>19</v>
      </c>
      <c r="F6272" s="18">
        <v>1.0999999999999999E-2</v>
      </c>
      <c r="G6272" s="19">
        <f>VLOOKUP(D6272,upahbahan,3,FALSE)</f>
        <v>200000</v>
      </c>
      <c r="H6272" s="19">
        <f t="shared" si="636"/>
        <v>2200</v>
      </c>
    </row>
    <row r="6273" spans="3:11" x14ac:dyDescent="0.3">
      <c r="C6273" s="21" t="s">
        <v>24</v>
      </c>
      <c r="D6273" s="22"/>
      <c r="E6273" s="22"/>
      <c r="F6273" s="54"/>
      <c r="G6273" s="24"/>
      <c r="H6273" s="19">
        <f>SUM(H6269:H6272)</f>
        <v>72910</v>
      </c>
      <c r="I6273" s="25"/>
    </row>
    <row r="6274" spans="3:11" x14ac:dyDescent="0.25">
      <c r="C6274" s="12" t="s">
        <v>25</v>
      </c>
      <c r="D6274" s="13" t="s">
        <v>26</v>
      </c>
      <c r="E6274" s="14"/>
      <c r="F6274" s="55"/>
      <c r="G6274" s="14"/>
      <c r="H6274" s="14"/>
    </row>
    <row r="6275" spans="3:11" x14ac:dyDescent="0.25">
      <c r="C6275" s="12">
        <v>1</v>
      </c>
      <c r="D6275" s="13" t="s">
        <v>249</v>
      </c>
      <c r="E6275" s="53" t="s">
        <v>974</v>
      </c>
      <c r="F6275" s="115">
        <v>3.3</v>
      </c>
      <c r="G6275" s="19">
        <f>VLOOKUP(D6275,upahbahan,3,FALSE)</f>
        <v>21300</v>
      </c>
      <c r="H6275" s="19">
        <f t="shared" ref="H6275:H6277" si="637">F6275*G6275</f>
        <v>70290</v>
      </c>
    </row>
    <row r="6276" spans="3:11" x14ac:dyDescent="0.25">
      <c r="C6276" s="12">
        <v>2</v>
      </c>
      <c r="D6276" s="13" t="s">
        <v>981</v>
      </c>
      <c r="E6276" s="53" t="s">
        <v>1105</v>
      </c>
      <c r="F6276" s="115">
        <v>0.5</v>
      </c>
      <c r="G6276" s="19">
        <f>VLOOKUP(D6276,upahbahan,3,FALSE)</f>
        <v>416</v>
      </c>
      <c r="H6276" s="19">
        <f t="shared" si="637"/>
        <v>208</v>
      </c>
    </row>
    <row r="6277" spans="3:11" x14ac:dyDescent="0.25">
      <c r="C6277" s="12">
        <v>3</v>
      </c>
      <c r="D6277" s="13" t="s">
        <v>982</v>
      </c>
      <c r="E6277" s="53" t="s">
        <v>949</v>
      </c>
      <c r="F6277" s="115">
        <v>3</v>
      </c>
      <c r="G6277" s="19">
        <f>VLOOKUP(D6277,upahbahan,3,FALSE)</f>
        <v>580</v>
      </c>
      <c r="H6277" s="19">
        <f t="shared" si="637"/>
        <v>1740</v>
      </c>
    </row>
    <row r="6278" spans="3:11" x14ac:dyDescent="0.3">
      <c r="C6278" s="21" t="s">
        <v>29</v>
      </c>
      <c r="D6278" s="22"/>
      <c r="E6278" s="22"/>
      <c r="F6278" s="22"/>
      <c r="G6278" s="28"/>
      <c r="H6278" s="19">
        <f>SUM(H6275:H6277)</f>
        <v>72238</v>
      </c>
    </row>
    <row r="6279" spans="3:11" x14ac:dyDescent="0.25">
      <c r="C6279" s="12" t="s">
        <v>30</v>
      </c>
      <c r="D6279" s="13" t="s">
        <v>31</v>
      </c>
      <c r="E6279" s="14"/>
      <c r="F6279" s="14"/>
      <c r="G6279" s="14"/>
      <c r="H6279" s="14"/>
    </row>
    <row r="6280" spans="3:11" x14ac:dyDescent="0.3">
      <c r="C6280" s="21" t="s">
        <v>32</v>
      </c>
      <c r="D6280" s="77"/>
      <c r="E6280" s="77"/>
      <c r="F6280" s="77"/>
      <c r="G6280" s="28"/>
      <c r="H6280" s="29">
        <f>SUM(H6279)</f>
        <v>0</v>
      </c>
    </row>
    <row r="6281" spans="3:11" x14ac:dyDescent="0.3">
      <c r="C6281" s="30" t="s">
        <v>33</v>
      </c>
      <c r="D6281" s="31" t="s">
        <v>34</v>
      </c>
      <c r="E6281" s="32"/>
      <c r="F6281" s="32"/>
      <c r="G6281" s="33"/>
      <c r="H6281" s="46">
        <f>H6280+H6278+H6273</f>
        <v>145148</v>
      </c>
      <c r="I6281" s="47"/>
    </row>
    <row r="6282" spans="3:11" x14ac:dyDescent="0.3">
      <c r="C6282" s="30" t="s">
        <v>35</v>
      </c>
      <c r="D6282" s="31" t="s">
        <v>36</v>
      </c>
      <c r="E6282" s="32"/>
      <c r="F6282" s="33"/>
      <c r="G6282" s="34">
        <f>$M$9</f>
        <v>0.1</v>
      </c>
      <c r="H6282" s="19">
        <f>H6281*G6282</f>
        <v>14514.800000000001</v>
      </c>
      <c r="I6282" s="47"/>
    </row>
    <row r="6283" spans="3:11" x14ac:dyDescent="0.3">
      <c r="C6283" s="30" t="s">
        <v>37</v>
      </c>
      <c r="D6283" s="31" t="s">
        <v>38</v>
      </c>
      <c r="E6283" s="32"/>
      <c r="F6283" s="32"/>
      <c r="G6283" s="33"/>
      <c r="H6283" s="48">
        <f>SUM(H6281:H6282)</f>
        <v>159662.79999999999</v>
      </c>
      <c r="I6283" s="47"/>
    </row>
    <row r="6285" spans="3:11" x14ac:dyDescent="0.3">
      <c r="C6285" s="40" t="s">
        <v>1202</v>
      </c>
      <c r="D6285" s="68" t="s">
        <v>1203</v>
      </c>
      <c r="E6285" s="44"/>
      <c r="F6285" s="44"/>
      <c r="G6285" s="44"/>
      <c r="H6285" s="44"/>
      <c r="I6285" s="10">
        <f>ROUNDDOWN(H6303,0)</f>
        <v>1281013</v>
      </c>
      <c r="J6285" s="15"/>
      <c r="K6285" s="39"/>
    </row>
    <row r="6286" spans="3:11" ht="27.6" x14ac:dyDescent="0.3">
      <c r="C6286" s="11" t="s">
        <v>9</v>
      </c>
      <c r="D6286" s="11" t="s">
        <v>10</v>
      </c>
      <c r="E6286" s="11" t="s">
        <v>11</v>
      </c>
      <c r="F6286" s="11" t="s">
        <v>12</v>
      </c>
      <c r="G6286" s="11" t="s">
        <v>13</v>
      </c>
      <c r="H6286" s="11" t="s">
        <v>14</v>
      </c>
    </row>
    <row r="6287" spans="3:11" x14ac:dyDescent="0.25">
      <c r="C6287" s="12" t="s">
        <v>15</v>
      </c>
      <c r="D6287" s="13" t="s">
        <v>16</v>
      </c>
      <c r="E6287" s="14"/>
      <c r="F6287" s="14"/>
      <c r="G6287" s="14"/>
      <c r="H6287" s="14"/>
    </row>
    <row r="6288" spans="3:11" x14ac:dyDescent="0.3">
      <c r="C6288" s="16">
        <v>1</v>
      </c>
      <c r="D6288" s="13" t="s">
        <v>18</v>
      </c>
      <c r="E6288" s="17" t="s">
        <v>19</v>
      </c>
      <c r="F6288" s="18">
        <v>0.19</v>
      </c>
      <c r="G6288" s="19">
        <f>VLOOKUP(D6288,upahbahan,3,FALSE)</f>
        <v>100000</v>
      </c>
      <c r="H6288" s="19">
        <f t="shared" ref="H6288:H6291" si="638">F6288*G6288</f>
        <v>19000</v>
      </c>
    </row>
    <row r="6289" spans="3:9" x14ac:dyDescent="0.3">
      <c r="C6289" s="16">
        <v>2</v>
      </c>
      <c r="D6289" s="13" t="s">
        <v>214</v>
      </c>
      <c r="E6289" s="17" t="s">
        <v>19</v>
      </c>
      <c r="F6289" s="18">
        <v>0.318</v>
      </c>
      <c r="G6289" s="19">
        <f>VLOOKUP(D6289,upahbahan,3,FALSE)</f>
        <v>145000</v>
      </c>
      <c r="H6289" s="19">
        <f t="shared" si="638"/>
        <v>46110</v>
      </c>
    </row>
    <row r="6290" spans="3:9" x14ac:dyDescent="0.3">
      <c r="C6290" s="16">
        <v>3</v>
      </c>
      <c r="D6290" s="13" t="s">
        <v>22</v>
      </c>
      <c r="E6290" s="17" t="s">
        <v>19</v>
      </c>
      <c r="F6290" s="18">
        <v>3.2000000000000001E-2</v>
      </c>
      <c r="G6290" s="19">
        <f>VLOOKUP(D6290,upahbahan,3,FALSE)</f>
        <v>175000</v>
      </c>
      <c r="H6290" s="19">
        <f t="shared" si="638"/>
        <v>5600</v>
      </c>
    </row>
    <row r="6291" spans="3:9" x14ac:dyDescent="0.3">
      <c r="C6291" s="16">
        <v>4</v>
      </c>
      <c r="D6291" s="13" t="s">
        <v>23</v>
      </c>
      <c r="E6291" s="17" t="s">
        <v>19</v>
      </c>
      <c r="F6291" s="18">
        <v>1.0999999999999999E-2</v>
      </c>
      <c r="G6291" s="19">
        <f>VLOOKUP(D6291,upahbahan,3,FALSE)</f>
        <v>200000</v>
      </c>
      <c r="H6291" s="19">
        <f t="shared" si="638"/>
        <v>2200</v>
      </c>
    </row>
    <row r="6292" spans="3:9" x14ac:dyDescent="0.3">
      <c r="C6292" s="21" t="s">
        <v>24</v>
      </c>
      <c r="D6292" s="22"/>
      <c r="E6292" s="22"/>
      <c r="F6292" s="54"/>
      <c r="G6292" s="24"/>
      <c r="H6292" s="19">
        <f>SUM(H6288:H6291)</f>
        <v>72910</v>
      </c>
      <c r="I6292" s="25"/>
    </row>
    <row r="6293" spans="3:9" x14ac:dyDescent="0.25">
      <c r="C6293" s="12" t="s">
        <v>25</v>
      </c>
      <c r="D6293" s="13" t="s">
        <v>26</v>
      </c>
      <c r="E6293" s="14"/>
      <c r="F6293" s="55"/>
      <c r="G6293" s="14"/>
      <c r="H6293" s="14"/>
    </row>
    <row r="6294" spans="3:9" x14ac:dyDescent="0.25">
      <c r="C6294" s="12">
        <v>1</v>
      </c>
      <c r="D6294" s="13" t="s">
        <v>327</v>
      </c>
      <c r="E6294" s="53" t="s">
        <v>974</v>
      </c>
      <c r="F6294" s="115">
        <v>33</v>
      </c>
      <c r="G6294" s="19">
        <f>VLOOKUP(D6294,upahbahan,3,FALSE)</f>
        <v>32900</v>
      </c>
      <c r="H6294" s="19">
        <f t="shared" ref="H6294:H6297" si="639">F6294*G6294</f>
        <v>1085700</v>
      </c>
    </row>
    <row r="6295" spans="3:9" x14ac:dyDescent="0.25">
      <c r="C6295" s="12">
        <v>2</v>
      </c>
      <c r="D6295" s="13" t="s">
        <v>976</v>
      </c>
      <c r="E6295" s="53" t="s">
        <v>949</v>
      </c>
      <c r="F6295" s="115">
        <v>1</v>
      </c>
      <c r="G6295" s="19">
        <f>VLOOKUP(D6295,upahbahan,3,FALSE)</f>
        <v>4000</v>
      </c>
      <c r="H6295" s="19">
        <f t="shared" si="639"/>
        <v>4000</v>
      </c>
    </row>
    <row r="6296" spans="3:9" x14ac:dyDescent="0.25">
      <c r="C6296" s="12">
        <v>3</v>
      </c>
      <c r="D6296" s="13" t="s">
        <v>981</v>
      </c>
      <c r="E6296" s="53" t="s">
        <v>1105</v>
      </c>
      <c r="F6296" s="115">
        <v>0.5</v>
      </c>
      <c r="G6296" s="19">
        <f>VLOOKUP(D6296,upahbahan,3,FALSE)</f>
        <v>416</v>
      </c>
      <c r="H6296" s="19">
        <f t="shared" si="639"/>
        <v>208</v>
      </c>
    </row>
    <row r="6297" spans="3:9" x14ac:dyDescent="0.25">
      <c r="C6297" s="12">
        <v>4</v>
      </c>
      <c r="D6297" s="13" t="s">
        <v>982</v>
      </c>
      <c r="E6297" s="53" t="s">
        <v>949</v>
      </c>
      <c r="F6297" s="115">
        <v>3</v>
      </c>
      <c r="G6297" s="19">
        <f>VLOOKUP(D6297,upahbahan,3,FALSE)</f>
        <v>580</v>
      </c>
      <c r="H6297" s="19">
        <f t="shared" si="639"/>
        <v>1740</v>
      </c>
    </row>
    <row r="6298" spans="3:9" x14ac:dyDescent="0.3">
      <c r="C6298" s="21" t="s">
        <v>29</v>
      </c>
      <c r="D6298" s="22"/>
      <c r="E6298" s="22"/>
      <c r="F6298" s="22"/>
      <c r="G6298" s="28"/>
      <c r="H6298" s="19">
        <f>SUM(H6294:H6297)</f>
        <v>1091648</v>
      </c>
    </row>
    <row r="6299" spans="3:9" x14ac:dyDescent="0.25">
      <c r="C6299" s="12" t="s">
        <v>30</v>
      </c>
      <c r="D6299" s="13" t="s">
        <v>31</v>
      </c>
      <c r="E6299" s="14"/>
      <c r="F6299" s="14"/>
      <c r="G6299" s="14"/>
      <c r="H6299" s="14"/>
    </row>
    <row r="6300" spans="3:9" x14ac:dyDescent="0.3">
      <c r="C6300" s="21" t="s">
        <v>32</v>
      </c>
      <c r="D6300" s="77"/>
      <c r="E6300" s="77"/>
      <c r="F6300" s="77"/>
      <c r="G6300" s="28"/>
      <c r="H6300" s="29">
        <f>SUM(H6299)</f>
        <v>0</v>
      </c>
    </row>
    <row r="6301" spans="3:9" x14ac:dyDescent="0.3">
      <c r="C6301" s="30" t="s">
        <v>33</v>
      </c>
      <c r="D6301" s="31" t="s">
        <v>34</v>
      </c>
      <c r="E6301" s="32"/>
      <c r="F6301" s="32"/>
      <c r="G6301" s="33"/>
      <c r="H6301" s="46">
        <f>H6300+H6298+H6292</f>
        <v>1164558</v>
      </c>
      <c r="I6301" s="47"/>
    </row>
    <row r="6302" spans="3:9" x14ac:dyDescent="0.3">
      <c r="C6302" s="30" t="s">
        <v>35</v>
      </c>
      <c r="D6302" s="31" t="s">
        <v>36</v>
      </c>
      <c r="E6302" s="32"/>
      <c r="F6302" s="33"/>
      <c r="G6302" s="34">
        <f>$M$9</f>
        <v>0.1</v>
      </c>
      <c r="H6302" s="19">
        <f>H6301*G6302</f>
        <v>116455.8</v>
      </c>
      <c r="I6302" s="47"/>
    </row>
    <row r="6303" spans="3:9" x14ac:dyDescent="0.3">
      <c r="C6303" s="30" t="s">
        <v>37</v>
      </c>
      <c r="D6303" s="31" t="s">
        <v>38</v>
      </c>
      <c r="E6303" s="32"/>
      <c r="F6303" s="32"/>
      <c r="G6303" s="33"/>
      <c r="H6303" s="48">
        <f>SUM(H6301:H6302)</f>
        <v>1281013.8</v>
      </c>
      <c r="I6303" s="47"/>
    </row>
    <row r="6305" spans="3:11" x14ac:dyDescent="0.3">
      <c r="C6305" s="40" t="s">
        <v>1204</v>
      </c>
      <c r="D6305" s="68" t="s">
        <v>1205</v>
      </c>
      <c r="E6305" s="44"/>
      <c r="F6305" s="44"/>
      <c r="G6305" s="44"/>
      <c r="H6305" s="44"/>
      <c r="I6305" s="10">
        <f>ROUNDDOWN(H6326,0)</f>
        <v>1018663</v>
      </c>
      <c r="J6305" s="15"/>
      <c r="K6305" s="39"/>
    </row>
    <row r="6306" spans="3:11" ht="27.6" x14ac:dyDescent="0.3">
      <c r="C6306" s="11" t="s">
        <v>9</v>
      </c>
      <c r="D6306" s="11" t="s">
        <v>10</v>
      </c>
      <c r="E6306" s="11" t="s">
        <v>11</v>
      </c>
      <c r="F6306" s="11" t="s">
        <v>12</v>
      </c>
      <c r="G6306" s="11" t="s">
        <v>13</v>
      </c>
      <c r="H6306" s="11" t="s">
        <v>14</v>
      </c>
    </row>
    <row r="6307" spans="3:11" x14ac:dyDescent="0.25">
      <c r="C6307" s="12" t="s">
        <v>15</v>
      </c>
      <c r="D6307" s="13" t="s">
        <v>16</v>
      </c>
      <c r="E6307" s="14"/>
      <c r="F6307" s="14"/>
      <c r="G6307" s="14"/>
      <c r="H6307" s="14"/>
    </row>
    <row r="6308" spans="3:11" x14ac:dyDescent="0.3">
      <c r="C6308" s="16">
        <v>1</v>
      </c>
      <c r="D6308" s="13" t="s">
        <v>18</v>
      </c>
      <c r="E6308" s="17" t="s">
        <v>19</v>
      </c>
      <c r="F6308" s="18">
        <v>0.19</v>
      </c>
      <c r="G6308" s="19">
        <f>VLOOKUP(D6308,upahbahan,3,FALSE)</f>
        <v>100000</v>
      </c>
      <c r="H6308" s="19">
        <f t="shared" ref="H6308:H6311" si="640">F6308*G6308</f>
        <v>19000</v>
      </c>
    </row>
    <row r="6309" spans="3:11" x14ac:dyDescent="0.3">
      <c r="C6309" s="16">
        <v>2</v>
      </c>
      <c r="D6309" s="13" t="s">
        <v>214</v>
      </c>
      <c r="E6309" s="17" t="s">
        <v>19</v>
      </c>
      <c r="F6309" s="18">
        <v>0.318</v>
      </c>
      <c r="G6309" s="19">
        <f>VLOOKUP(D6309,upahbahan,3,FALSE)</f>
        <v>145000</v>
      </c>
      <c r="H6309" s="19">
        <f t="shared" si="640"/>
        <v>46110</v>
      </c>
    </row>
    <row r="6310" spans="3:11" x14ac:dyDescent="0.3">
      <c r="C6310" s="16">
        <v>3</v>
      </c>
      <c r="D6310" s="13" t="s">
        <v>22</v>
      </c>
      <c r="E6310" s="17" t="s">
        <v>19</v>
      </c>
      <c r="F6310" s="18">
        <v>3.2000000000000001E-2</v>
      </c>
      <c r="G6310" s="19">
        <f>VLOOKUP(D6310,upahbahan,3,FALSE)</f>
        <v>175000</v>
      </c>
      <c r="H6310" s="19">
        <f t="shared" si="640"/>
        <v>5600</v>
      </c>
    </row>
    <row r="6311" spans="3:11" x14ac:dyDescent="0.3">
      <c r="C6311" s="16">
        <v>4</v>
      </c>
      <c r="D6311" s="13" t="s">
        <v>23</v>
      </c>
      <c r="E6311" s="17" t="s">
        <v>19</v>
      </c>
      <c r="F6311" s="18">
        <v>1.0999999999999999E-2</v>
      </c>
      <c r="G6311" s="19">
        <f>VLOOKUP(D6311,upahbahan,3,FALSE)</f>
        <v>200000</v>
      </c>
      <c r="H6311" s="19">
        <f t="shared" si="640"/>
        <v>2200</v>
      </c>
    </row>
    <row r="6312" spans="3:11" x14ac:dyDescent="0.3">
      <c r="C6312" s="21" t="s">
        <v>24</v>
      </c>
      <c r="D6312" s="22"/>
      <c r="E6312" s="22"/>
      <c r="F6312" s="54"/>
      <c r="G6312" s="24"/>
      <c r="H6312" s="19">
        <f>SUM(H6308:H6311)</f>
        <v>72910</v>
      </c>
      <c r="I6312" s="25"/>
    </row>
    <row r="6313" spans="3:11" x14ac:dyDescent="0.25">
      <c r="C6313" s="12" t="s">
        <v>25</v>
      </c>
      <c r="D6313" s="13" t="s">
        <v>26</v>
      </c>
      <c r="E6313" s="14"/>
      <c r="F6313" s="55"/>
      <c r="G6313" s="14"/>
      <c r="H6313" s="14"/>
    </row>
    <row r="6314" spans="3:11" x14ac:dyDescent="0.25">
      <c r="C6314" s="12">
        <v>1</v>
      </c>
      <c r="D6314" s="13" t="s">
        <v>110</v>
      </c>
      <c r="E6314" s="53" t="s">
        <v>974</v>
      </c>
      <c r="F6314" s="115">
        <v>33</v>
      </c>
      <c r="G6314" s="19">
        <f t="shared" ref="G6314:G6320" si="641">VLOOKUP(D6314,upahbahan,3,FALSE)</f>
        <v>21500</v>
      </c>
      <c r="H6314" s="19">
        <f t="shared" ref="H6314:H6320" si="642">F6314*G6314</f>
        <v>709500</v>
      </c>
    </row>
    <row r="6315" spans="3:11" x14ac:dyDescent="0.25">
      <c r="C6315" s="12">
        <v>2</v>
      </c>
      <c r="D6315" s="13" t="s">
        <v>975</v>
      </c>
      <c r="E6315" s="53" t="s">
        <v>974</v>
      </c>
      <c r="F6315" s="115">
        <v>33</v>
      </c>
      <c r="G6315" s="19">
        <f t="shared" si="641"/>
        <v>4000</v>
      </c>
      <c r="H6315" s="19">
        <f t="shared" si="642"/>
        <v>132000</v>
      </c>
    </row>
    <row r="6316" spans="3:11" x14ac:dyDescent="0.25">
      <c r="C6316" s="12">
        <v>3</v>
      </c>
      <c r="D6316" s="13" t="s">
        <v>976</v>
      </c>
      <c r="E6316" s="53" t="s">
        <v>949</v>
      </c>
      <c r="F6316" s="115">
        <v>1</v>
      </c>
      <c r="G6316" s="19">
        <f t="shared" si="641"/>
        <v>4000</v>
      </c>
      <c r="H6316" s="19">
        <f t="shared" si="642"/>
        <v>4000</v>
      </c>
    </row>
    <row r="6317" spans="3:11" x14ac:dyDescent="0.25">
      <c r="C6317" s="12">
        <v>4</v>
      </c>
      <c r="D6317" s="13" t="s">
        <v>977</v>
      </c>
      <c r="E6317" s="53" t="s">
        <v>949</v>
      </c>
      <c r="F6317" s="115">
        <v>5</v>
      </c>
      <c r="G6317" s="19">
        <f t="shared" si="641"/>
        <v>700</v>
      </c>
      <c r="H6317" s="19">
        <f t="shared" si="642"/>
        <v>3500</v>
      </c>
    </row>
    <row r="6318" spans="3:11" x14ac:dyDescent="0.25">
      <c r="C6318" s="12">
        <v>5</v>
      </c>
      <c r="D6318" s="13" t="s">
        <v>980</v>
      </c>
      <c r="E6318" s="53" t="s">
        <v>949</v>
      </c>
      <c r="F6318" s="115">
        <v>4</v>
      </c>
      <c r="G6318" s="19">
        <f t="shared" si="641"/>
        <v>550</v>
      </c>
      <c r="H6318" s="19">
        <f t="shared" si="642"/>
        <v>2200</v>
      </c>
    </row>
    <row r="6319" spans="3:11" x14ac:dyDescent="0.25">
      <c r="C6319" s="12">
        <v>6</v>
      </c>
      <c r="D6319" s="13" t="s">
        <v>981</v>
      </c>
      <c r="E6319" s="53" t="s">
        <v>1105</v>
      </c>
      <c r="F6319" s="115">
        <v>0.5</v>
      </c>
      <c r="G6319" s="19">
        <f t="shared" si="641"/>
        <v>416</v>
      </c>
      <c r="H6319" s="19">
        <f t="shared" si="642"/>
        <v>208</v>
      </c>
    </row>
    <row r="6320" spans="3:11" x14ac:dyDescent="0.25">
      <c r="C6320" s="12">
        <v>7</v>
      </c>
      <c r="D6320" s="13" t="s">
        <v>982</v>
      </c>
      <c r="E6320" s="53" t="s">
        <v>949</v>
      </c>
      <c r="F6320" s="115">
        <v>3</v>
      </c>
      <c r="G6320" s="19">
        <f t="shared" si="641"/>
        <v>580</v>
      </c>
      <c r="H6320" s="19">
        <f t="shared" si="642"/>
        <v>1740</v>
      </c>
    </row>
    <row r="6321" spans="3:11" x14ac:dyDescent="0.3">
      <c r="C6321" s="21" t="s">
        <v>29</v>
      </c>
      <c r="D6321" s="22"/>
      <c r="E6321" s="22"/>
      <c r="F6321" s="22"/>
      <c r="G6321" s="28"/>
      <c r="H6321" s="19">
        <f>SUM(H6314:H6320)</f>
        <v>853148</v>
      </c>
    </row>
    <row r="6322" spans="3:11" x14ac:dyDescent="0.25">
      <c r="C6322" s="12" t="s">
        <v>30</v>
      </c>
      <c r="D6322" s="13" t="s">
        <v>31</v>
      </c>
      <c r="E6322" s="14"/>
      <c r="F6322" s="14"/>
      <c r="G6322" s="14"/>
      <c r="H6322" s="14"/>
    </row>
    <row r="6323" spans="3:11" x14ac:dyDescent="0.3">
      <c r="C6323" s="21" t="s">
        <v>32</v>
      </c>
      <c r="D6323" s="77"/>
      <c r="E6323" s="77"/>
      <c r="F6323" s="77"/>
      <c r="G6323" s="28"/>
      <c r="H6323" s="29">
        <f>SUM(H6322)</f>
        <v>0</v>
      </c>
    </row>
    <row r="6324" spans="3:11" x14ac:dyDescent="0.3">
      <c r="C6324" s="30" t="s">
        <v>33</v>
      </c>
      <c r="D6324" s="31" t="s">
        <v>34</v>
      </c>
      <c r="E6324" s="32"/>
      <c r="F6324" s="32"/>
      <c r="G6324" s="33"/>
      <c r="H6324" s="46">
        <f>H6323+H6321+H6312</f>
        <v>926058</v>
      </c>
      <c r="I6324" s="47"/>
    </row>
    <row r="6325" spans="3:11" x14ac:dyDescent="0.3">
      <c r="C6325" s="30" t="s">
        <v>35</v>
      </c>
      <c r="D6325" s="31" t="s">
        <v>36</v>
      </c>
      <c r="E6325" s="32"/>
      <c r="F6325" s="33"/>
      <c r="G6325" s="34">
        <f>$M$9</f>
        <v>0.1</v>
      </c>
      <c r="H6325" s="19">
        <f>H6324*G6325</f>
        <v>92605.8</v>
      </c>
      <c r="I6325" s="47"/>
    </row>
    <row r="6326" spans="3:11" x14ac:dyDescent="0.3">
      <c r="C6326" s="30" t="s">
        <v>37</v>
      </c>
      <c r="D6326" s="31" t="s">
        <v>38</v>
      </c>
      <c r="E6326" s="32"/>
      <c r="F6326" s="32"/>
      <c r="G6326" s="33"/>
      <c r="H6326" s="48">
        <f>SUM(H6324:H6325)</f>
        <v>1018663.8</v>
      </c>
      <c r="I6326" s="47"/>
    </row>
    <row r="6328" spans="3:11" x14ac:dyDescent="0.3">
      <c r="C6328" s="40" t="s">
        <v>1206</v>
      </c>
      <c r="D6328" s="68" t="s">
        <v>1207</v>
      </c>
      <c r="E6328" s="44"/>
      <c r="F6328" s="44"/>
      <c r="G6328" s="44"/>
      <c r="H6328" s="44"/>
      <c r="I6328" s="10">
        <f>ROUNDDOWN(H6345,0)</f>
        <v>288527</v>
      </c>
      <c r="J6328" s="15"/>
      <c r="K6328" s="39"/>
    </row>
    <row r="6329" spans="3:11" ht="27.6" x14ac:dyDescent="0.3">
      <c r="C6329" s="11" t="s">
        <v>9</v>
      </c>
      <c r="D6329" s="11" t="s">
        <v>10</v>
      </c>
      <c r="E6329" s="11" t="s">
        <v>11</v>
      </c>
      <c r="F6329" s="11" t="s">
        <v>12</v>
      </c>
      <c r="G6329" s="11" t="s">
        <v>13</v>
      </c>
      <c r="H6329" s="11" t="s">
        <v>14</v>
      </c>
    </row>
    <row r="6330" spans="3:11" x14ac:dyDescent="0.25">
      <c r="C6330" s="12" t="s">
        <v>15</v>
      </c>
      <c r="D6330" s="13" t="s">
        <v>16</v>
      </c>
      <c r="E6330" s="14"/>
      <c r="F6330" s="14"/>
      <c r="G6330" s="14"/>
      <c r="H6330" s="14"/>
    </row>
    <row r="6331" spans="3:11" x14ac:dyDescent="0.3">
      <c r="C6331" s="16">
        <v>1</v>
      </c>
      <c r="D6331" s="13" t="s">
        <v>18</v>
      </c>
      <c r="E6331" s="17" t="s">
        <v>19</v>
      </c>
      <c r="F6331" s="18">
        <v>0.19</v>
      </c>
      <c r="G6331" s="19">
        <f>VLOOKUP(D6331,upahbahan,3,FALSE)</f>
        <v>100000</v>
      </c>
      <c r="H6331" s="19">
        <f t="shared" ref="H6331:H6334" si="643">F6331*G6331</f>
        <v>19000</v>
      </c>
    </row>
    <row r="6332" spans="3:11" x14ac:dyDescent="0.3">
      <c r="C6332" s="16">
        <v>2</v>
      </c>
      <c r="D6332" s="13" t="s">
        <v>214</v>
      </c>
      <c r="E6332" s="17" t="s">
        <v>19</v>
      </c>
      <c r="F6332" s="18">
        <v>0.318</v>
      </c>
      <c r="G6332" s="19">
        <f>VLOOKUP(D6332,upahbahan,3,FALSE)</f>
        <v>145000</v>
      </c>
      <c r="H6332" s="19">
        <f t="shared" si="643"/>
        <v>46110</v>
      </c>
    </row>
    <row r="6333" spans="3:11" x14ac:dyDescent="0.3">
      <c r="C6333" s="16">
        <v>3</v>
      </c>
      <c r="D6333" s="13" t="s">
        <v>22</v>
      </c>
      <c r="E6333" s="17" t="s">
        <v>19</v>
      </c>
      <c r="F6333" s="18">
        <v>3.2000000000000001E-2</v>
      </c>
      <c r="G6333" s="19">
        <f>VLOOKUP(D6333,upahbahan,3,FALSE)</f>
        <v>175000</v>
      </c>
      <c r="H6333" s="19">
        <f t="shared" si="643"/>
        <v>5600</v>
      </c>
    </row>
    <row r="6334" spans="3:11" x14ac:dyDescent="0.3">
      <c r="C6334" s="16">
        <v>4</v>
      </c>
      <c r="D6334" s="13" t="s">
        <v>23</v>
      </c>
      <c r="E6334" s="17" t="s">
        <v>19</v>
      </c>
      <c r="F6334" s="18">
        <v>1.0999999999999999E-2</v>
      </c>
      <c r="G6334" s="19">
        <f>VLOOKUP(D6334,upahbahan,3,FALSE)</f>
        <v>200000</v>
      </c>
      <c r="H6334" s="19">
        <f t="shared" si="643"/>
        <v>2200</v>
      </c>
    </row>
    <row r="6335" spans="3:11" x14ac:dyDescent="0.3">
      <c r="C6335" s="21" t="s">
        <v>24</v>
      </c>
      <c r="D6335" s="22"/>
      <c r="E6335" s="22"/>
      <c r="F6335" s="54"/>
      <c r="G6335" s="24"/>
      <c r="H6335" s="19">
        <f>SUM(H6331:H6334)</f>
        <v>72910</v>
      </c>
      <c r="I6335" s="25"/>
    </row>
    <row r="6336" spans="3:11" x14ac:dyDescent="0.25">
      <c r="C6336" s="12" t="s">
        <v>25</v>
      </c>
      <c r="D6336" s="13" t="s">
        <v>26</v>
      </c>
      <c r="E6336" s="14"/>
      <c r="F6336" s="55"/>
      <c r="G6336" s="14"/>
      <c r="H6336" s="14"/>
    </row>
    <row r="6337" spans="3:11" x14ac:dyDescent="0.25">
      <c r="C6337" s="12">
        <v>1</v>
      </c>
      <c r="D6337" s="13" t="s">
        <v>249</v>
      </c>
      <c r="E6337" s="53" t="s">
        <v>974</v>
      </c>
      <c r="F6337" s="115">
        <v>8.8000000000000007</v>
      </c>
      <c r="G6337" s="19">
        <f>VLOOKUP(D6337,upahbahan,3,FALSE)</f>
        <v>21300</v>
      </c>
      <c r="H6337" s="19">
        <f t="shared" ref="H6337:H6339" si="644">F6337*G6337</f>
        <v>187440.00000000003</v>
      </c>
    </row>
    <row r="6338" spans="3:11" x14ac:dyDescent="0.25">
      <c r="C6338" s="12">
        <v>2</v>
      </c>
      <c r="D6338" s="13" t="s">
        <v>981</v>
      </c>
      <c r="E6338" s="53" t="s">
        <v>1105</v>
      </c>
      <c r="F6338" s="115">
        <v>0.5</v>
      </c>
      <c r="G6338" s="19">
        <f>VLOOKUP(D6338,upahbahan,3,FALSE)</f>
        <v>416</v>
      </c>
      <c r="H6338" s="19">
        <f t="shared" si="644"/>
        <v>208</v>
      </c>
    </row>
    <row r="6339" spans="3:11" x14ac:dyDescent="0.25">
      <c r="C6339" s="12">
        <v>3</v>
      </c>
      <c r="D6339" s="13" t="s">
        <v>982</v>
      </c>
      <c r="E6339" s="53" t="s">
        <v>949</v>
      </c>
      <c r="F6339" s="115">
        <v>3</v>
      </c>
      <c r="G6339" s="19">
        <f>VLOOKUP(D6339,upahbahan,3,FALSE)</f>
        <v>580</v>
      </c>
      <c r="H6339" s="19">
        <f t="shared" si="644"/>
        <v>1740</v>
      </c>
    </row>
    <row r="6340" spans="3:11" x14ac:dyDescent="0.3">
      <c r="C6340" s="21" t="s">
        <v>29</v>
      </c>
      <c r="D6340" s="22"/>
      <c r="E6340" s="22"/>
      <c r="F6340" s="22"/>
      <c r="G6340" s="28"/>
      <c r="H6340" s="19">
        <f>SUM(H6337:H6339)</f>
        <v>189388.00000000003</v>
      </c>
    </row>
    <row r="6341" spans="3:11" x14ac:dyDescent="0.25">
      <c r="C6341" s="12" t="s">
        <v>30</v>
      </c>
      <c r="D6341" s="13" t="s">
        <v>31</v>
      </c>
      <c r="E6341" s="14"/>
      <c r="F6341" s="14"/>
      <c r="G6341" s="14"/>
      <c r="H6341" s="14"/>
    </row>
    <row r="6342" spans="3:11" x14ac:dyDescent="0.3">
      <c r="C6342" s="21" t="s">
        <v>32</v>
      </c>
      <c r="D6342" s="77"/>
      <c r="E6342" s="77"/>
      <c r="F6342" s="77"/>
      <c r="G6342" s="28"/>
      <c r="H6342" s="29">
        <f>SUM(H6341)</f>
        <v>0</v>
      </c>
    </row>
    <row r="6343" spans="3:11" x14ac:dyDescent="0.3">
      <c r="C6343" s="30" t="s">
        <v>33</v>
      </c>
      <c r="D6343" s="31" t="s">
        <v>34</v>
      </c>
      <c r="E6343" s="32"/>
      <c r="F6343" s="32"/>
      <c r="G6343" s="33"/>
      <c r="H6343" s="46">
        <f>H6342+H6340+H6335</f>
        <v>262298</v>
      </c>
      <c r="I6343" s="47"/>
    </row>
    <row r="6344" spans="3:11" x14ac:dyDescent="0.3">
      <c r="C6344" s="30" t="s">
        <v>35</v>
      </c>
      <c r="D6344" s="31" t="s">
        <v>36</v>
      </c>
      <c r="E6344" s="32"/>
      <c r="F6344" s="33"/>
      <c r="G6344" s="34">
        <f>$M$9</f>
        <v>0.1</v>
      </c>
      <c r="H6344" s="19">
        <f>H6343*G6344</f>
        <v>26229.800000000003</v>
      </c>
      <c r="I6344" s="47"/>
    </row>
    <row r="6345" spans="3:11" x14ac:dyDescent="0.3">
      <c r="C6345" s="30" t="s">
        <v>37</v>
      </c>
      <c r="D6345" s="31" t="s">
        <v>38</v>
      </c>
      <c r="E6345" s="32"/>
      <c r="F6345" s="32"/>
      <c r="G6345" s="33"/>
      <c r="H6345" s="48">
        <f>SUM(H6343:H6344)</f>
        <v>288527.8</v>
      </c>
      <c r="I6345" s="47"/>
    </row>
    <row r="6348" spans="3:11" x14ac:dyDescent="0.3">
      <c r="C6348" s="40" t="s">
        <v>1208</v>
      </c>
      <c r="D6348" s="68" t="s">
        <v>1209</v>
      </c>
      <c r="E6348" s="44"/>
      <c r="F6348" s="44"/>
      <c r="G6348" s="44"/>
      <c r="H6348" s="44"/>
      <c r="I6348" s="10">
        <f>ROUNDDOWN(H6365,0)</f>
        <v>340073</v>
      </c>
      <c r="J6348" s="15"/>
      <c r="K6348" s="39"/>
    </row>
    <row r="6349" spans="3:11" ht="27.6" x14ac:dyDescent="0.3">
      <c r="C6349" s="11" t="s">
        <v>9</v>
      </c>
      <c r="D6349" s="11" t="s">
        <v>10</v>
      </c>
      <c r="E6349" s="11" t="s">
        <v>11</v>
      </c>
      <c r="F6349" s="11" t="s">
        <v>12</v>
      </c>
      <c r="G6349" s="11" t="s">
        <v>13</v>
      </c>
      <c r="H6349" s="11" t="s">
        <v>14</v>
      </c>
    </row>
    <row r="6350" spans="3:11" x14ac:dyDescent="0.25">
      <c r="C6350" s="12" t="s">
        <v>15</v>
      </c>
      <c r="D6350" s="13" t="s">
        <v>16</v>
      </c>
      <c r="E6350" s="14"/>
      <c r="F6350" s="14"/>
      <c r="G6350" s="14"/>
      <c r="H6350" s="14"/>
    </row>
    <row r="6351" spans="3:11" x14ac:dyDescent="0.3">
      <c r="C6351" s="16">
        <v>1</v>
      </c>
      <c r="D6351" s="13" t="s">
        <v>18</v>
      </c>
      <c r="E6351" s="17" t="s">
        <v>19</v>
      </c>
      <c r="F6351" s="18">
        <v>0.19</v>
      </c>
      <c r="G6351" s="19">
        <f>VLOOKUP(D6351,upahbahan,3,FALSE)</f>
        <v>100000</v>
      </c>
      <c r="H6351" s="19">
        <f t="shared" ref="H6351:H6354" si="645">F6351*G6351</f>
        <v>19000</v>
      </c>
    </row>
    <row r="6352" spans="3:11" x14ac:dyDescent="0.3">
      <c r="C6352" s="16">
        <v>2</v>
      </c>
      <c r="D6352" s="13" t="s">
        <v>214</v>
      </c>
      <c r="E6352" s="17" t="s">
        <v>19</v>
      </c>
      <c r="F6352" s="18">
        <v>0.318</v>
      </c>
      <c r="G6352" s="19">
        <f>VLOOKUP(D6352,upahbahan,3,FALSE)</f>
        <v>145000</v>
      </c>
      <c r="H6352" s="19">
        <f t="shared" si="645"/>
        <v>46110</v>
      </c>
    </row>
    <row r="6353" spans="3:11" x14ac:dyDescent="0.3">
      <c r="C6353" s="16">
        <v>3</v>
      </c>
      <c r="D6353" s="13" t="s">
        <v>22</v>
      </c>
      <c r="E6353" s="17" t="s">
        <v>19</v>
      </c>
      <c r="F6353" s="18">
        <v>3.2000000000000001E-2</v>
      </c>
      <c r="G6353" s="19">
        <f>VLOOKUP(D6353,upahbahan,3,FALSE)</f>
        <v>175000</v>
      </c>
      <c r="H6353" s="19">
        <f t="shared" si="645"/>
        <v>5600</v>
      </c>
    </row>
    <row r="6354" spans="3:11" x14ac:dyDescent="0.3">
      <c r="C6354" s="16">
        <v>4</v>
      </c>
      <c r="D6354" s="13" t="s">
        <v>23</v>
      </c>
      <c r="E6354" s="17" t="s">
        <v>19</v>
      </c>
      <c r="F6354" s="18">
        <v>1.0999999999999999E-2</v>
      </c>
      <c r="G6354" s="19">
        <f>VLOOKUP(D6354,upahbahan,3,FALSE)</f>
        <v>200000</v>
      </c>
      <c r="H6354" s="19">
        <f t="shared" si="645"/>
        <v>2200</v>
      </c>
    </row>
    <row r="6355" spans="3:11" x14ac:dyDescent="0.3">
      <c r="C6355" s="21" t="s">
        <v>24</v>
      </c>
      <c r="D6355" s="22"/>
      <c r="E6355" s="22"/>
      <c r="F6355" s="54"/>
      <c r="G6355" s="24"/>
      <c r="H6355" s="19">
        <f>SUM(H6351:H6354)</f>
        <v>72910</v>
      </c>
      <c r="I6355" s="25"/>
    </row>
    <row r="6356" spans="3:11" x14ac:dyDescent="0.25">
      <c r="C6356" s="12" t="s">
        <v>25</v>
      </c>
      <c r="D6356" s="13" t="s">
        <v>26</v>
      </c>
      <c r="E6356" s="14"/>
      <c r="F6356" s="55"/>
      <c r="G6356" s="14"/>
      <c r="H6356" s="14"/>
    </row>
    <row r="6357" spans="3:11" x14ac:dyDescent="0.25">
      <c r="C6357" s="12">
        <v>1</v>
      </c>
      <c r="D6357" s="13" t="s">
        <v>249</v>
      </c>
      <c r="E6357" s="53" t="s">
        <v>974</v>
      </c>
      <c r="F6357" s="115">
        <v>11</v>
      </c>
      <c r="G6357" s="19">
        <f>VLOOKUP(D6357,upahbahan,3,FALSE)</f>
        <v>21300</v>
      </c>
      <c r="H6357" s="19">
        <f t="shared" ref="H6357:H6359" si="646">F6357*G6357</f>
        <v>234300</v>
      </c>
    </row>
    <row r="6358" spans="3:11" x14ac:dyDescent="0.25">
      <c r="C6358" s="12">
        <v>2</v>
      </c>
      <c r="D6358" s="13" t="s">
        <v>981</v>
      </c>
      <c r="E6358" s="53" t="s">
        <v>1105</v>
      </c>
      <c r="F6358" s="115">
        <v>0.5</v>
      </c>
      <c r="G6358" s="19">
        <f>VLOOKUP(D6358,upahbahan,3,FALSE)</f>
        <v>416</v>
      </c>
      <c r="H6358" s="19">
        <f t="shared" si="646"/>
        <v>208</v>
      </c>
    </row>
    <row r="6359" spans="3:11" x14ac:dyDescent="0.25">
      <c r="C6359" s="12">
        <v>3</v>
      </c>
      <c r="D6359" s="13" t="s">
        <v>982</v>
      </c>
      <c r="E6359" s="53" t="s">
        <v>949</v>
      </c>
      <c r="F6359" s="115">
        <v>3</v>
      </c>
      <c r="G6359" s="19">
        <f>VLOOKUP(D6359,upahbahan,3,FALSE)</f>
        <v>580</v>
      </c>
      <c r="H6359" s="19">
        <f t="shared" si="646"/>
        <v>1740</v>
      </c>
    </row>
    <row r="6360" spans="3:11" x14ac:dyDescent="0.3">
      <c r="C6360" s="21" t="s">
        <v>29</v>
      </c>
      <c r="D6360" s="22"/>
      <c r="E6360" s="22"/>
      <c r="F6360" s="22"/>
      <c r="G6360" s="28"/>
      <c r="H6360" s="19">
        <f>SUM(H6357:H6359)</f>
        <v>236248</v>
      </c>
    </row>
    <row r="6361" spans="3:11" x14ac:dyDescent="0.25">
      <c r="C6361" s="12" t="s">
        <v>30</v>
      </c>
      <c r="D6361" s="13" t="s">
        <v>31</v>
      </c>
      <c r="E6361" s="14"/>
      <c r="F6361" s="14"/>
      <c r="G6361" s="14"/>
      <c r="H6361" s="14"/>
    </row>
    <row r="6362" spans="3:11" x14ac:dyDescent="0.3">
      <c r="C6362" s="21" t="s">
        <v>32</v>
      </c>
      <c r="D6362" s="77"/>
      <c r="E6362" s="77"/>
      <c r="F6362" s="77"/>
      <c r="G6362" s="28"/>
      <c r="H6362" s="29">
        <f>SUM(H6361)</f>
        <v>0</v>
      </c>
    </row>
    <row r="6363" spans="3:11" x14ac:dyDescent="0.3">
      <c r="C6363" s="30" t="s">
        <v>33</v>
      </c>
      <c r="D6363" s="31" t="s">
        <v>34</v>
      </c>
      <c r="E6363" s="32"/>
      <c r="F6363" s="32"/>
      <c r="G6363" s="33"/>
      <c r="H6363" s="46">
        <f>H6362+H6360+H6355</f>
        <v>309158</v>
      </c>
      <c r="I6363" s="47"/>
    </row>
    <row r="6364" spans="3:11" x14ac:dyDescent="0.3">
      <c r="C6364" s="30" t="s">
        <v>35</v>
      </c>
      <c r="D6364" s="31" t="s">
        <v>36</v>
      </c>
      <c r="E6364" s="32"/>
      <c r="F6364" s="33"/>
      <c r="G6364" s="34">
        <f>$M$9</f>
        <v>0.1</v>
      </c>
      <c r="H6364" s="19">
        <f>H6363*G6364</f>
        <v>30915.800000000003</v>
      </c>
      <c r="I6364" s="47"/>
    </row>
    <row r="6365" spans="3:11" x14ac:dyDescent="0.3">
      <c r="C6365" s="30" t="s">
        <v>37</v>
      </c>
      <c r="D6365" s="31" t="s">
        <v>38</v>
      </c>
      <c r="E6365" s="32"/>
      <c r="F6365" s="32"/>
      <c r="G6365" s="33"/>
      <c r="H6365" s="48">
        <f>SUM(H6363:H6364)</f>
        <v>340073.8</v>
      </c>
      <c r="I6365" s="47"/>
    </row>
    <row r="6368" spans="3:11" x14ac:dyDescent="0.3">
      <c r="C6368" s="40" t="s">
        <v>1210</v>
      </c>
      <c r="D6368" s="68" t="s">
        <v>1211</v>
      </c>
      <c r="E6368" s="44"/>
      <c r="F6368" s="44"/>
      <c r="G6368" s="44"/>
      <c r="H6368" s="44"/>
      <c r="I6368" s="10">
        <f>ROUNDDOWN(H6385,0)</f>
        <v>1756909</v>
      </c>
      <c r="J6368" s="15"/>
      <c r="K6368" s="39"/>
    </row>
    <row r="6369" spans="3:9" ht="27.6" x14ac:dyDescent="0.3">
      <c r="C6369" s="11" t="s">
        <v>9</v>
      </c>
      <c r="D6369" s="11" t="s">
        <v>10</v>
      </c>
      <c r="E6369" s="11" t="s">
        <v>11</v>
      </c>
      <c r="F6369" s="11" t="s">
        <v>12</v>
      </c>
      <c r="G6369" s="11" t="s">
        <v>13</v>
      </c>
      <c r="H6369" s="11" t="s">
        <v>14</v>
      </c>
    </row>
    <row r="6370" spans="3:9" x14ac:dyDescent="0.25">
      <c r="C6370" s="12" t="s">
        <v>15</v>
      </c>
      <c r="D6370" s="13" t="s">
        <v>16</v>
      </c>
      <c r="E6370" s="14"/>
      <c r="F6370" s="14"/>
      <c r="G6370" s="14"/>
      <c r="H6370" s="14"/>
    </row>
    <row r="6371" spans="3:9" x14ac:dyDescent="0.3">
      <c r="C6371" s="16">
        <v>1</v>
      </c>
      <c r="D6371" s="13" t="s">
        <v>18</v>
      </c>
      <c r="E6371" s="17" t="s">
        <v>19</v>
      </c>
      <c r="F6371" s="18">
        <v>0.6</v>
      </c>
      <c r="G6371" s="19">
        <f>VLOOKUP(D6371,upahbahan,3,FALSE)</f>
        <v>100000</v>
      </c>
      <c r="H6371" s="19">
        <f t="shared" ref="H6371:H6374" si="647">F6371*G6371</f>
        <v>60000</v>
      </c>
    </row>
    <row r="6372" spans="3:9" x14ac:dyDescent="0.3">
      <c r="C6372" s="16">
        <v>2</v>
      </c>
      <c r="D6372" s="13" t="s">
        <v>214</v>
      </c>
      <c r="E6372" s="17" t="s">
        <v>19</v>
      </c>
      <c r="F6372" s="18">
        <v>1.002</v>
      </c>
      <c r="G6372" s="19">
        <f>VLOOKUP(D6372,upahbahan,3,FALSE)</f>
        <v>145000</v>
      </c>
      <c r="H6372" s="19">
        <f t="shared" si="647"/>
        <v>145290</v>
      </c>
    </row>
    <row r="6373" spans="3:9" x14ac:dyDescent="0.3">
      <c r="C6373" s="16">
        <v>3</v>
      </c>
      <c r="D6373" s="13" t="s">
        <v>22</v>
      </c>
      <c r="E6373" s="17" t="s">
        <v>19</v>
      </c>
      <c r="F6373" s="18">
        <v>0.1</v>
      </c>
      <c r="G6373" s="19">
        <f>VLOOKUP(D6373,upahbahan,3,FALSE)</f>
        <v>175000</v>
      </c>
      <c r="H6373" s="19">
        <f t="shared" si="647"/>
        <v>17500</v>
      </c>
    </row>
    <row r="6374" spans="3:9" x14ac:dyDescent="0.3">
      <c r="C6374" s="16">
        <v>4</v>
      </c>
      <c r="D6374" s="13" t="s">
        <v>23</v>
      </c>
      <c r="E6374" s="17" t="s">
        <v>19</v>
      </c>
      <c r="F6374" s="18">
        <v>3.3000000000000002E-2</v>
      </c>
      <c r="G6374" s="19">
        <f>VLOOKUP(D6374,upahbahan,3,FALSE)</f>
        <v>200000</v>
      </c>
      <c r="H6374" s="19">
        <f t="shared" si="647"/>
        <v>6600</v>
      </c>
    </row>
    <row r="6375" spans="3:9" x14ac:dyDescent="0.3">
      <c r="C6375" s="21" t="s">
        <v>24</v>
      </c>
      <c r="D6375" s="22"/>
      <c r="E6375" s="22"/>
      <c r="F6375" s="54"/>
      <c r="G6375" s="24"/>
      <c r="H6375" s="19">
        <f>SUM(H6371:H6374)</f>
        <v>229390</v>
      </c>
      <c r="I6375" s="25"/>
    </row>
    <row r="6376" spans="3:9" x14ac:dyDescent="0.25">
      <c r="C6376" s="12" t="s">
        <v>25</v>
      </c>
      <c r="D6376" s="13" t="s">
        <v>26</v>
      </c>
      <c r="E6376" s="14"/>
      <c r="F6376" s="55"/>
      <c r="G6376" s="14"/>
      <c r="H6376" s="14"/>
    </row>
    <row r="6377" spans="3:9" x14ac:dyDescent="0.25">
      <c r="C6377" s="12">
        <v>1</v>
      </c>
      <c r="D6377" s="13" t="s">
        <v>1212</v>
      </c>
      <c r="E6377" s="53" t="s">
        <v>949</v>
      </c>
      <c r="F6377" s="115">
        <v>1.1000000000000001</v>
      </c>
      <c r="G6377" s="19">
        <f>VLOOKUP(D6377,upahbahan,3,FALSE)</f>
        <v>375000</v>
      </c>
      <c r="H6377" s="19">
        <f t="shared" ref="H6377:H6378" si="648">F6377*G6377</f>
        <v>412500.00000000006</v>
      </c>
    </row>
    <row r="6378" spans="3:9" x14ac:dyDescent="0.25">
      <c r="C6378" s="12">
        <v>2</v>
      </c>
      <c r="D6378" s="13" t="s">
        <v>1213</v>
      </c>
      <c r="E6378" s="53" t="s">
        <v>949</v>
      </c>
      <c r="F6378" s="115">
        <v>1</v>
      </c>
      <c r="G6378" s="19">
        <f>VLOOKUP(D6378,upahbahan,3,FALSE)</f>
        <v>11500</v>
      </c>
      <c r="H6378" s="19">
        <f t="shared" si="648"/>
        <v>11500</v>
      </c>
    </row>
    <row r="6379" spans="3:9" x14ac:dyDescent="0.3">
      <c r="C6379" s="21" t="s">
        <v>29</v>
      </c>
      <c r="D6379" s="22"/>
      <c r="E6379" s="22"/>
      <c r="F6379" s="22"/>
      <c r="G6379" s="28"/>
      <c r="H6379" s="19">
        <f>SUM(H6377:H6378)</f>
        <v>424000.00000000006</v>
      </c>
    </row>
    <row r="6380" spans="3:9" x14ac:dyDescent="0.25">
      <c r="C6380" s="12" t="s">
        <v>30</v>
      </c>
      <c r="D6380" s="13" t="s">
        <v>31</v>
      </c>
      <c r="E6380" s="14"/>
      <c r="F6380" s="14"/>
      <c r="G6380" s="14"/>
      <c r="H6380" s="14"/>
    </row>
    <row r="6381" spans="3:9" x14ac:dyDescent="0.25">
      <c r="C6381" s="12">
        <v>1</v>
      </c>
      <c r="D6381" s="13" t="s">
        <v>1214</v>
      </c>
      <c r="E6381" s="53" t="s">
        <v>915</v>
      </c>
      <c r="F6381" s="115">
        <v>0.28599999999999998</v>
      </c>
      <c r="G6381" s="19">
        <f>VLOOKUP(D6381,upahbahan,3,FALSE)</f>
        <v>3300000</v>
      </c>
      <c r="H6381" s="19">
        <f t="shared" ref="H6381" si="649">F6381*G6381</f>
        <v>943799.99999999988</v>
      </c>
    </row>
    <row r="6382" spans="3:9" x14ac:dyDescent="0.3">
      <c r="C6382" s="21" t="s">
        <v>32</v>
      </c>
      <c r="D6382" s="77"/>
      <c r="E6382" s="77"/>
      <c r="F6382" s="77"/>
      <c r="G6382" s="28"/>
      <c r="H6382" s="29">
        <f>SUM(H6380:H6381)</f>
        <v>943799.99999999988</v>
      </c>
    </row>
    <row r="6383" spans="3:9" x14ac:dyDescent="0.3">
      <c r="C6383" s="30" t="s">
        <v>33</v>
      </c>
      <c r="D6383" s="31" t="s">
        <v>34</v>
      </c>
      <c r="E6383" s="32"/>
      <c r="F6383" s="32"/>
      <c r="G6383" s="33"/>
      <c r="H6383" s="46">
        <f>H6382+H6379+H6375</f>
        <v>1597190</v>
      </c>
      <c r="I6383" s="47"/>
    </row>
    <row r="6384" spans="3:9" x14ac:dyDescent="0.3">
      <c r="C6384" s="30" t="s">
        <v>35</v>
      </c>
      <c r="D6384" s="31" t="s">
        <v>36</v>
      </c>
      <c r="E6384" s="32"/>
      <c r="F6384" s="33"/>
      <c r="G6384" s="34">
        <f>$M$9</f>
        <v>0.1</v>
      </c>
      <c r="H6384" s="19">
        <f>H6383*G6384</f>
        <v>159719</v>
      </c>
      <c r="I6384" s="47"/>
    </row>
    <row r="6385" spans="3:11" x14ac:dyDescent="0.3">
      <c r="C6385" s="30" t="s">
        <v>37</v>
      </c>
      <c r="D6385" s="31" t="s">
        <v>38</v>
      </c>
      <c r="E6385" s="32"/>
      <c r="F6385" s="32"/>
      <c r="G6385" s="33"/>
      <c r="H6385" s="48">
        <f>SUM(H6383:H6384)</f>
        <v>1756909</v>
      </c>
      <c r="I6385" s="47"/>
    </row>
    <row r="6387" spans="3:11" x14ac:dyDescent="0.3">
      <c r="C6387" s="40" t="s">
        <v>1215</v>
      </c>
      <c r="D6387" s="68" t="s">
        <v>1216</v>
      </c>
      <c r="E6387" s="44"/>
      <c r="F6387" s="44"/>
      <c r="G6387" s="44"/>
      <c r="H6387" s="44"/>
      <c r="I6387" s="10">
        <f>ROUNDDOWN(H6402,0)</f>
        <v>207883</v>
      </c>
      <c r="J6387" s="15"/>
      <c r="K6387" s="39"/>
    </row>
    <row r="6388" spans="3:11" ht="27.6" x14ac:dyDescent="0.3">
      <c r="C6388" s="11" t="s">
        <v>9</v>
      </c>
      <c r="D6388" s="11" t="s">
        <v>10</v>
      </c>
      <c r="E6388" s="11" t="s">
        <v>11</v>
      </c>
      <c r="F6388" s="11" t="s">
        <v>12</v>
      </c>
      <c r="G6388" s="11" t="s">
        <v>13</v>
      </c>
      <c r="H6388" s="11" t="s">
        <v>14</v>
      </c>
    </row>
    <row r="6389" spans="3:11" x14ac:dyDescent="0.25">
      <c r="C6389" s="12" t="s">
        <v>15</v>
      </c>
      <c r="D6389" s="13" t="s">
        <v>16</v>
      </c>
      <c r="E6389" s="14"/>
      <c r="F6389" s="14"/>
      <c r="G6389" s="14"/>
      <c r="H6389" s="14"/>
    </row>
    <row r="6390" spans="3:11" x14ac:dyDescent="0.3">
      <c r="C6390" s="16">
        <v>1</v>
      </c>
      <c r="D6390" s="13" t="s">
        <v>18</v>
      </c>
      <c r="E6390" s="17" t="s">
        <v>19</v>
      </c>
      <c r="F6390" s="18">
        <v>8.5999999999999993E-2</v>
      </c>
      <c r="G6390" s="19">
        <f>VLOOKUP(D6390,upahbahan,3,FALSE)</f>
        <v>100000</v>
      </c>
      <c r="H6390" s="19">
        <f t="shared" ref="H6390:H6393" si="650">F6390*G6390</f>
        <v>8600</v>
      </c>
    </row>
    <row r="6391" spans="3:11" x14ac:dyDescent="0.3">
      <c r="C6391" s="16">
        <v>2</v>
      </c>
      <c r="D6391" s="13" t="s">
        <v>214</v>
      </c>
      <c r="E6391" s="17" t="s">
        <v>19</v>
      </c>
      <c r="F6391" s="18">
        <v>0.14299999999999999</v>
      </c>
      <c r="G6391" s="19">
        <f>VLOOKUP(D6391,upahbahan,3,FALSE)</f>
        <v>145000</v>
      </c>
      <c r="H6391" s="19">
        <f t="shared" si="650"/>
        <v>20735</v>
      </c>
    </row>
    <row r="6392" spans="3:11" x14ac:dyDescent="0.3">
      <c r="C6392" s="16">
        <v>3</v>
      </c>
      <c r="D6392" s="13" t="s">
        <v>22</v>
      </c>
      <c r="E6392" s="17" t="s">
        <v>19</v>
      </c>
      <c r="F6392" s="18">
        <v>1.4E-2</v>
      </c>
      <c r="G6392" s="19">
        <f>VLOOKUP(D6392,upahbahan,3,FALSE)</f>
        <v>175000</v>
      </c>
      <c r="H6392" s="19">
        <f t="shared" si="650"/>
        <v>2450</v>
      </c>
    </row>
    <row r="6393" spans="3:11" x14ac:dyDescent="0.3">
      <c r="C6393" s="16">
        <v>4</v>
      </c>
      <c r="D6393" s="13" t="s">
        <v>23</v>
      </c>
      <c r="E6393" s="17" t="s">
        <v>19</v>
      </c>
      <c r="F6393" s="18">
        <v>5.0000000000000001E-3</v>
      </c>
      <c r="G6393" s="19">
        <f>VLOOKUP(D6393,upahbahan,3,FALSE)</f>
        <v>200000</v>
      </c>
      <c r="H6393" s="19">
        <f t="shared" si="650"/>
        <v>1000</v>
      </c>
    </row>
    <row r="6394" spans="3:11" x14ac:dyDescent="0.3">
      <c r="C6394" s="21" t="s">
        <v>24</v>
      </c>
      <c r="D6394" s="22"/>
      <c r="E6394" s="22"/>
      <c r="F6394" s="54"/>
      <c r="G6394" s="24"/>
      <c r="H6394" s="19">
        <f>SUM(H6390:H6393)</f>
        <v>32785</v>
      </c>
      <c r="I6394" s="25"/>
    </row>
    <row r="6395" spans="3:11" x14ac:dyDescent="0.25">
      <c r="C6395" s="12" t="s">
        <v>25</v>
      </c>
      <c r="D6395" s="13" t="s">
        <v>26</v>
      </c>
      <c r="E6395" s="14"/>
      <c r="F6395" s="55"/>
      <c r="G6395" s="14"/>
      <c r="H6395" s="14"/>
    </row>
    <row r="6396" spans="3:11" x14ac:dyDescent="0.25">
      <c r="C6396" s="12">
        <v>1</v>
      </c>
      <c r="D6396" s="13" t="s">
        <v>1217</v>
      </c>
      <c r="E6396" s="53" t="s">
        <v>949</v>
      </c>
      <c r="F6396" s="115">
        <v>1.1000000000000001</v>
      </c>
      <c r="G6396" s="19">
        <f>VLOOKUP(D6396,upahbahan,3,FALSE)</f>
        <v>142000</v>
      </c>
      <c r="H6396" s="19">
        <f t="shared" ref="H6396" si="651">F6396*G6396</f>
        <v>156200</v>
      </c>
    </row>
    <row r="6397" spans="3:11" x14ac:dyDescent="0.3">
      <c r="C6397" s="21" t="s">
        <v>29</v>
      </c>
      <c r="D6397" s="22"/>
      <c r="E6397" s="22"/>
      <c r="F6397" s="22"/>
      <c r="G6397" s="28"/>
      <c r="H6397" s="19">
        <f>SUM(H6396:H6396)</f>
        <v>156200</v>
      </c>
    </row>
    <row r="6398" spans="3:11" x14ac:dyDescent="0.25">
      <c r="C6398" s="12" t="s">
        <v>30</v>
      </c>
      <c r="D6398" s="13" t="s">
        <v>31</v>
      </c>
      <c r="E6398" s="14"/>
      <c r="F6398" s="14"/>
      <c r="G6398" s="14"/>
      <c r="H6398" s="14"/>
    </row>
    <row r="6399" spans="3:11" x14ac:dyDescent="0.3">
      <c r="C6399" s="21" t="s">
        <v>32</v>
      </c>
      <c r="D6399" s="77"/>
      <c r="E6399" s="77"/>
      <c r="F6399" s="77"/>
      <c r="G6399" s="28"/>
      <c r="H6399" s="29">
        <f>SUM(H6398:H6398)</f>
        <v>0</v>
      </c>
    </row>
    <row r="6400" spans="3:11" x14ac:dyDescent="0.3">
      <c r="C6400" s="30" t="s">
        <v>33</v>
      </c>
      <c r="D6400" s="31" t="s">
        <v>34</v>
      </c>
      <c r="E6400" s="32"/>
      <c r="F6400" s="32"/>
      <c r="G6400" s="33"/>
      <c r="H6400" s="46">
        <f>H6399+H6397+H6394</f>
        <v>188985</v>
      </c>
      <c r="I6400" s="47"/>
    </row>
    <row r="6401" spans="3:11" x14ac:dyDescent="0.3">
      <c r="C6401" s="30" t="s">
        <v>35</v>
      </c>
      <c r="D6401" s="31" t="s">
        <v>36</v>
      </c>
      <c r="E6401" s="32"/>
      <c r="F6401" s="33"/>
      <c r="G6401" s="34">
        <f>$M$9</f>
        <v>0.1</v>
      </c>
      <c r="H6401" s="19">
        <f>H6400*G6401</f>
        <v>18898.5</v>
      </c>
      <c r="I6401" s="47"/>
    </row>
    <row r="6402" spans="3:11" x14ac:dyDescent="0.3">
      <c r="C6402" s="30" t="s">
        <v>37</v>
      </c>
      <c r="D6402" s="31" t="s">
        <v>38</v>
      </c>
      <c r="E6402" s="32"/>
      <c r="F6402" s="32"/>
      <c r="G6402" s="33"/>
      <c r="H6402" s="48">
        <f>SUM(H6400:H6401)</f>
        <v>207883.5</v>
      </c>
      <c r="I6402" s="47"/>
    </row>
    <row r="6405" spans="3:11" x14ac:dyDescent="0.3">
      <c r="C6405" s="40" t="s">
        <v>1218</v>
      </c>
      <c r="D6405" s="68" t="s">
        <v>1219</v>
      </c>
      <c r="E6405" s="44"/>
      <c r="F6405" s="44"/>
      <c r="G6405" s="44"/>
      <c r="H6405" s="44"/>
      <c r="I6405" s="10">
        <f>ROUNDDOWN(H6418,0)</f>
        <v>139777</v>
      </c>
      <c r="J6405" s="15"/>
      <c r="K6405" s="39"/>
    </row>
    <row r="6406" spans="3:11" ht="27.6" x14ac:dyDescent="0.3">
      <c r="C6406" s="11" t="s">
        <v>9</v>
      </c>
      <c r="D6406" s="11" t="s">
        <v>10</v>
      </c>
      <c r="E6406" s="11" t="s">
        <v>11</v>
      </c>
      <c r="F6406" s="11" t="s">
        <v>12</v>
      </c>
      <c r="G6406" s="11" t="s">
        <v>13</v>
      </c>
      <c r="H6406" s="11" t="s">
        <v>14</v>
      </c>
    </row>
    <row r="6407" spans="3:11" x14ac:dyDescent="0.25">
      <c r="C6407" s="12" t="s">
        <v>15</v>
      </c>
      <c r="D6407" s="13" t="s">
        <v>16</v>
      </c>
      <c r="E6407" s="14"/>
      <c r="F6407" s="14"/>
      <c r="G6407" s="14"/>
      <c r="H6407" s="14"/>
    </row>
    <row r="6408" spans="3:11" x14ac:dyDescent="0.3">
      <c r="C6408" s="16">
        <v>1</v>
      </c>
      <c r="D6408" s="13" t="s">
        <v>18</v>
      </c>
      <c r="E6408" s="17" t="s">
        <v>19</v>
      </c>
      <c r="F6408" s="18">
        <v>0.76900000000000002</v>
      </c>
      <c r="G6408" s="19">
        <f>VLOOKUP(D6408,upahbahan,3,FALSE)</f>
        <v>100000</v>
      </c>
      <c r="H6408" s="19">
        <f t="shared" ref="H6408:H6410" si="652">F6408*G6408</f>
        <v>76900</v>
      </c>
    </row>
    <row r="6409" spans="3:11" x14ac:dyDescent="0.3">
      <c r="C6409" s="16">
        <v>2</v>
      </c>
      <c r="D6409" s="13" t="s">
        <v>1220</v>
      </c>
      <c r="E6409" s="17" t="s">
        <v>19</v>
      </c>
      <c r="F6409" s="18">
        <v>0.23100000000000001</v>
      </c>
      <c r="G6409" s="19">
        <f>VLOOKUP(D6409,upahbahan,3,FALSE)</f>
        <v>145000</v>
      </c>
      <c r="H6409" s="19">
        <f t="shared" si="652"/>
        <v>33495</v>
      </c>
    </row>
    <row r="6410" spans="3:11" x14ac:dyDescent="0.3">
      <c r="C6410" s="16">
        <v>3</v>
      </c>
      <c r="D6410" s="13" t="s">
        <v>1221</v>
      </c>
      <c r="E6410" s="17" t="s">
        <v>19</v>
      </c>
      <c r="F6410" s="18">
        <v>0.115</v>
      </c>
      <c r="G6410" s="19">
        <f>VLOOKUP(D6410,upahbahan,3,FALSE)</f>
        <v>145000</v>
      </c>
      <c r="H6410" s="19">
        <f t="shared" si="652"/>
        <v>16675</v>
      </c>
    </row>
    <row r="6411" spans="3:11" x14ac:dyDescent="0.3">
      <c r="C6411" s="21" t="s">
        <v>24</v>
      </c>
      <c r="D6411" s="22"/>
      <c r="E6411" s="22"/>
      <c r="F6411" s="54"/>
      <c r="G6411" s="24"/>
      <c r="H6411" s="19">
        <f>SUM(H6408:H6410)</f>
        <v>127070</v>
      </c>
      <c r="I6411" s="25"/>
    </row>
    <row r="6412" spans="3:11" x14ac:dyDescent="0.25">
      <c r="C6412" s="12" t="s">
        <v>25</v>
      </c>
      <c r="D6412" s="13" t="s">
        <v>26</v>
      </c>
      <c r="E6412" s="14"/>
      <c r="F6412" s="55"/>
      <c r="G6412" s="14"/>
      <c r="H6412" s="14"/>
    </row>
    <row r="6413" spans="3:11" x14ac:dyDescent="0.3">
      <c r="C6413" s="21" t="s">
        <v>29</v>
      </c>
      <c r="D6413" s="22"/>
      <c r="E6413" s="22"/>
      <c r="F6413" s="22"/>
      <c r="G6413" s="28"/>
      <c r="H6413" s="19">
        <f>SUM(H6412)</f>
        <v>0</v>
      </c>
    </row>
    <row r="6414" spans="3:11" x14ac:dyDescent="0.25">
      <c r="C6414" s="12" t="s">
        <v>30</v>
      </c>
      <c r="D6414" s="13" t="s">
        <v>31</v>
      </c>
      <c r="E6414" s="14"/>
      <c r="F6414" s="14"/>
      <c r="G6414" s="14"/>
      <c r="H6414" s="14"/>
    </row>
    <row r="6415" spans="3:11" x14ac:dyDescent="0.3">
      <c r="C6415" s="21" t="s">
        <v>32</v>
      </c>
      <c r="D6415" s="77"/>
      <c r="E6415" s="77"/>
      <c r="F6415" s="77"/>
      <c r="G6415" s="28"/>
      <c r="H6415" s="29">
        <f>SUM(H6414:H6414)</f>
        <v>0</v>
      </c>
    </row>
    <row r="6416" spans="3:11" x14ac:dyDescent="0.3">
      <c r="C6416" s="30" t="s">
        <v>33</v>
      </c>
      <c r="D6416" s="31" t="s">
        <v>34</v>
      </c>
      <c r="E6416" s="32"/>
      <c r="F6416" s="32"/>
      <c r="G6416" s="33"/>
      <c r="H6416" s="46">
        <f>H6415+H6413+H6411</f>
        <v>127070</v>
      </c>
      <c r="I6416" s="47"/>
    </row>
    <row r="6417" spans="3:11" x14ac:dyDescent="0.3">
      <c r="C6417" s="30" t="s">
        <v>35</v>
      </c>
      <c r="D6417" s="31" t="s">
        <v>36</v>
      </c>
      <c r="E6417" s="32"/>
      <c r="F6417" s="33"/>
      <c r="G6417" s="34">
        <f>$M$9</f>
        <v>0.1</v>
      </c>
      <c r="H6417" s="19">
        <f>H6416*G6417</f>
        <v>12707</v>
      </c>
      <c r="I6417" s="47"/>
    </row>
    <row r="6418" spans="3:11" x14ac:dyDescent="0.3">
      <c r="C6418" s="30" t="s">
        <v>37</v>
      </c>
      <c r="D6418" s="31" t="s">
        <v>38</v>
      </c>
      <c r="E6418" s="32"/>
      <c r="F6418" s="32"/>
      <c r="G6418" s="33"/>
      <c r="H6418" s="48">
        <f>SUM(H6416:H6417)</f>
        <v>139777</v>
      </c>
      <c r="I6418" s="47"/>
    </row>
    <row r="6420" spans="3:11" x14ac:dyDescent="0.3">
      <c r="C6420" s="40" t="s">
        <v>1222</v>
      </c>
      <c r="D6420" s="68" t="s">
        <v>1223</v>
      </c>
      <c r="E6420" s="44"/>
      <c r="F6420" s="44"/>
      <c r="G6420" s="44"/>
      <c r="H6420" s="44"/>
      <c r="I6420" s="10">
        <f>ROUNDDOWN(H6436,0)</f>
        <v>28281</v>
      </c>
      <c r="J6420" s="15"/>
      <c r="K6420" s="39"/>
    </row>
    <row r="6421" spans="3:11" ht="27.6" x14ac:dyDescent="0.3">
      <c r="C6421" s="11" t="s">
        <v>9</v>
      </c>
      <c r="D6421" s="11" t="s">
        <v>10</v>
      </c>
      <c r="E6421" s="11" t="s">
        <v>11</v>
      </c>
      <c r="F6421" s="11" t="s">
        <v>12</v>
      </c>
      <c r="G6421" s="11" t="s">
        <v>13</v>
      </c>
      <c r="H6421" s="11" t="s">
        <v>14</v>
      </c>
    </row>
    <row r="6422" spans="3:11" x14ac:dyDescent="0.25">
      <c r="C6422" s="12" t="s">
        <v>15</v>
      </c>
      <c r="D6422" s="13" t="s">
        <v>16</v>
      </c>
      <c r="E6422" s="14"/>
      <c r="F6422" s="14"/>
      <c r="G6422" s="14"/>
      <c r="H6422" s="14"/>
    </row>
    <row r="6423" spans="3:11" x14ac:dyDescent="0.3">
      <c r="C6423" s="16">
        <v>1</v>
      </c>
      <c r="D6423" s="13" t="s">
        <v>18</v>
      </c>
      <c r="E6423" s="17" t="s">
        <v>19</v>
      </c>
      <c r="F6423" s="18">
        <v>2.4E-2</v>
      </c>
      <c r="G6423" s="19">
        <f>VLOOKUP(D6423,upahbahan,3,FALSE)</f>
        <v>100000</v>
      </c>
      <c r="H6423" s="19">
        <f t="shared" ref="H6423:H6426" si="653">F6423*G6423</f>
        <v>2400</v>
      </c>
    </row>
    <row r="6424" spans="3:11" x14ac:dyDescent="0.3">
      <c r="C6424" s="16">
        <v>2</v>
      </c>
      <c r="D6424" s="13" t="s">
        <v>21</v>
      </c>
      <c r="E6424" s="17" t="s">
        <v>19</v>
      </c>
      <c r="F6424" s="18">
        <v>0.04</v>
      </c>
      <c r="G6424" s="19">
        <f>VLOOKUP(D6424,upahbahan,3,FALSE)</f>
        <v>145000</v>
      </c>
      <c r="H6424" s="19">
        <f t="shared" si="653"/>
        <v>5800</v>
      </c>
    </row>
    <row r="6425" spans="3:11" x14ac:dyDescent="0.3">
      <c r="C6425" s="16">
        <v>3</v>
      </c>
      <c r="D6425" s="13" t="s">
        <v>1224</v>
      </c>
      <c r="E6425" s="17" t="s">
        <v>19</v>
      </c>
      <c r="F6425" s="18">
        <v>4.0000000000000001E-3</v>
      </c>
      <c r="G6425" s="19">
        <f>VLOOKUP(D6425,upahbahan,3,FALSE)</f>
        <v>175000</v>
      </c>
      <c r="H6425" s="19">
        <f t="shared" si="653"/>
        <v>700</v>
      </c>
    </row>
    <row r="6426" spans="3:11" x14ac:dyDescent="0.3">
      <c r="C6426" s="16">
        <v>4</v>
      </c>
      <c r="D6426" s="13" t="s">
        <v>23</v>
      </c>
      <c r="E6426" s="17" t="s">
        <v>19</v>
      </c>
      <c r="F6426" s="18">
        <v>1E-3</v>
      </c>
      <c r="G6426" s="19">
        <f>VLOOKUP(D6426,upahbahan,3,FALSE)</f>
        <v>200000</v>
      </c>
      <c r="H6426" s="19">
        <f t="shared" si="653"/>
        <v>200</v>
      </c>
    </row>
    <row r="6427" spans="3:11" x14ac:dyDescent="0.3">
      <c r="C6427" s="21" t="s">
        <v>24</v>
      </c>
      <c r="D6427" s="22"/>
      <c r="E6427" s="22"/>
      <c r="F6427" s="54"/>
      <c r="G6427" s="24"/>
      <c r="H6427" s="19">
        <f>SUM(H6423:H6426)</f>
        <v>9100</v>
      </c>
      <c r="I6427" s="25"/>
    </row>
    <row r="6428" spans="3:11" x14ac:dyDescent="0.25">
      <c r="C6428" s="12" t="s">
        <v>25</v>
      </c>
      <c r="D6428" s="13" t="s">
        <v>26</v>
      </c>
      <c r="E6428" s="14"/>
      <c r="F6428" s="55"/>
      <c r="G6428" s="14"/>
      <c r="H6428" s="14"/>
    </row>
    <row r="6429" spans="3:11" x14ac:dyDescent="0.3">
      <c r="C6429" s="16">
        <v>1</v>
      </c>
      <c r="D6429" s="13" t="s">
        <v>1225</v>
      </c>
      <c r="E6429" s="17" t="s">
        <v>974</v>
      </c>
      <c r="F6429" s="18">
        <v>1.1000000000000001</v>
      </c>
      <c r="G6429" s="19">
        <f>VLOOKUP(D6429,upahbahan,3,FALSE)</f>
        <v>11300</v>
      </c>
      <c r="H6429" s="19">
        <f t="shared" ref="H6429:H6430" si="654">F6429*G6429</f>
        <v>12430.000000000002</v>
      </c>
    </row>
    <row r="6430" spans="3:11" x14ac:dyDescent="0.3">
      <c r="C6430" s="16">
        <v>2</v>
      </c>
      <c r="D6430" s="13" t="s">
        <v>1226</v>
      </c>
      <c r="E6430" s="17" t="s">
        <v>974</v>
      </c>
      <c r="F6430" s="18">
        <v>1.1000000000000001</v>
      </c>
      <c r="G6430" s="19">
        <f>VLOOKUP(D6430,upahbahan,3,FALSE)</f>
        <v>3800</v>
      </c>
      <c r="H6430" s="19">
        <f t="shared" si="654"/>
        <v>4180</v>
      </c>
    </row>
    <row r="6431" spans="3:11" x14ac:dyDescent="0.3">
      <c r="C6431" s="21" t="s">
        <v>29</v>
      </c>
      <c r="D6431" s="22"/>
      <c r="E6431" s="22"/>
      <c r="F6431" s="22"/>
      <c r="G6431" s="28"/>
      <c r="H6431" s="19">
        <f>SUM(H6428:H6430)</f>
        <v>16610</v>
      </c>
    </row>
    <row r="6432" spans="3:11" x14ac:dyDescent="0.25">
      <c r="C6432" s="12" t="s">
        <v>30</v>
      </c>
      <c r="D6432" s="13" t="s">
        <v>31</v>
      </c>
      <c r="E6432" s="14"/>
      <c r="F6432" s="14"/>
      <c r="G6432" s="14"/>
      <c r="H6432" s="14"/>
    </row>
    <row r="6433" spans="3:11" x14ac:dyDescent="0.3">
      <c r="C6433" s="21" t="s">
        <v>32</v>
      </c>
      <c r="D6433" s="77"/>
      <c r="E6433" s="77"/>
      <c r="F6433" s="77"/>
      <c r="G6433" s="28"/>
      <c r="H6433" s="29">
        <f>SUM(H6432:H6432)</f>
        <v>0</v>
      </c>
    </row>
    <row r="6434" spans="3:11" x14ac:dyDescent="0.3">
      <c r="C6434" s="30" t="s">
        <v>33</v>
      </c>
      <c r="D6434" s="31" t="s">
        <v>34</v>
      </c>
      <c r="E6434" s="32"/>
      <c r="F6434" s="32"/>
      <c r="G6434" s="33"/>
      <c r="H6434" s="46">
        <f>H6433+H6431+H6427</f>
        <v>25710</v>
      </c>
      <c r="I6434" s="47"/>
    </row>
    <row r="6435" spans="3:11" x14ac:dyDescent="0.3">
      <c r="C6435" s="30" t="s">
        <v>35</v>
      </c>
      <c r="D6435" s="31" t="s">
        <v>36</v>
      </c>
      <c r="E6435" s="32"/>
      <c r="F6435" s="33"/>
      <c r="G6435" s="34">
        <f>$M$9</f>
        <v>0.1</v>
      </c>
      <c r="H6435" s="19">
        <f>H6434*G6435</f>
        <v>2571</v>
      </c>
      <c r="I6435" s="47"/>
    </row>
    <row r="6436" spans="3:11" x14ac:dyDescent="0.3">
      <c r="C6436" s="30" t="s">
        <v>37</v>
      </c>
      <c r="D6436" s="31" t="s">
        <v>38</v>
      </c>
      <c r="E6436" s="32"/>
      <c r="F6436" s="32"/>
      <c r="G6436" s="33"/>
      <c r="H6436" s="48">
        <f>SUM(H6434:H6435)</f>
        <v>28281</v>
      </c>
      <c r="I6436" s="47"/>
    </row>
    <row r="6439" spans="3:11" x14ac:dyDescent="0.3">
      <c r="C6439" s="40" t="s">
        <v>1227</v>
      </c>
      <c r="D6439" s="68" t="s">
        <v>1228</v>
      </c>
      <c r="E6439" s="44"/>
      <c r="F6439" s="44"/>
      <c r="G6439" s="44"/>
      <c r="H6439" s="44"/>
      <c r="I6439" s="10">
        <f>ROUNDDOWN(H6454,0)</f>
        <v>1980566</v>
      </c>
      <c r="J6439" s="15"/>
      <c r="K6439" s="39"/>
    </row>
    <row r="6440" spans="3:11" ht="27.6" x14ac:dyDescent="0.3">
      <c r="C6440" s="11" t="s">
        <v>9</v>
      </c>
      <c r="D6440" s="11" t="s">
        <v>10</v>
      </c>
      <c r="E6440" s="11" t="s">
        <v>11</v>
      </c>
      <c r="F6440" s="11" t="s">
        <v>12</v>
      </c>
      <c r="G6440" s="11" t="s">
        <v>13</v>
      </c>
      <c r="H6440" s="11" t="s">
        <v>14</v>
      </c>
    </row>
    <row r="6441" spans="3:11" x14ac:dyDescent="0.25">
      <c r="C6441" s="12" t="s">
        <v>15</v>
      </c>
      <c r="D6441" s="13" t="s">
        <v>16</v>
      </c>
      <c r="E6441" s="14"/>
      <c r="F6441" s="14"/>
      <c r="G6441" s="14"/>
      <c r="H6441" s="14"/>
    </row>
    <row r="6442" spans="3:11" x14ac:dyDescent="0.3">
      <c r="C6442" s="16">
        <v>1</v>
      </c>
      <c r="D6442" s="13" t="s">
        <v>18</v>
      </c>
      <c r="E6442" s="17" t="s">
        <v>19</v>
      </c>
      <c r="F6442" s="18">
        <v>0.68100000000000005</v>
      </c>
      <c r="G6442" s="19">
        <f>VLOOKUP(D6442,upahbahan,3,FALSE)</f>
        <v>100000</v>
      </c>
      <c r="H6442" s="19">
        <f t="shared" ref="H6442:H6445" si="655">F6442*G6442</f>
        <v>68100</v>
      </c>
    </row>
    <row r="6443" spans="3:11" x14ac:dyDescent="0.3">
      <c r="C6443" s="16">
        <v>2</v>
      </c>
      <c r="D6443" s="13" t="s">
        <v>21</v>
      </c>
      <c r="E6443" s="17" t="s">
        <v>19</v>
      </c>
      <c r="F6443" s="18">
        <v>1.137</v>
      </c>
      <c r="G6443" s="19">
        <f>VLOOKUP(D6443,upahbahan,3,FALSE)</f>
        <v>145000</v>
      </c>
      <c r="H6443" s="19">
        <f t="shared" si="655"/>
        <v>164865</v>
      </c>
    </row>
    <row r="6444" spans="3:11" x14ac:dyDescent="0.3">
      <c r="C6444" s="16">
        <v>3</v>
      </c>
      <c r="D6444" s="13" t="s">
        <v>1224</v>
      </c>
      <c r="E6444" s="17" t="s">
        <v>19</v>
      </c>
      <c r="F6444" s="18">
        <v>0.114</v>
      </c>
      <c r="G6444" s="19">
        <f>VLOOKUP(D6444,upahbahan,3,FALSE)</f>
        <v>175000</v>
      </c>
      <c r="H6444" s="19">
        <f t="shared" si="655"/>
        <v>19950</v>
      </c>
    </row>
    <row r="6445" spans="3:11" x14ac:dyDescent="0.3">
      <c r="C6445" s="16">
        <v>4</v>
      </c>
      <c r="D6445" s="13" t="s">
        <v>23</v>
      </c>
      <c r="E6445" s="17" t="s">
        <v>19</v>
      </c>
      <c r="F6445" s="18">
        <v>3.7999999999999999E-2</v>
      </c>
      <c r="G6445" s="19">
        <f>VLOOKUP(D6445,upahbahan,3,FALSE)</f>
        <v>200000</v>
      </c>
      <c r="H6445" s="19">
        <f t="shared" si="655"/>
        <v>7600</v>
      </c>
    </row>
    <row r="6446" spans="3:11" x14ac:dyDescent="0.3">
      <c r="C6446" s="21" t="s">
        <v>24</v>
      </c>
      <c r="D6446" s="22"/>
      <c r="E6446" s="22"/>
      <c r="F6446" s="54"/>
      <c r="G6446" s="24"/>
      <c r="H6446" s="19">
        <f>SUM(H6442:H6445)</f>
        <v>260515</v>
      </c>
      <c r="I6446" s="25"/>
    </row>
    <row r="6447" spans="3:11" x14ac:dyDescent="0.25">
      <c r="C6447" s="12" t="s">
        <v>25</v>
      </c>
      <c r="D6447" s="13" t="s">
        <v>26</v>
      </c>
      <c r="E6447" s="14"/>
      <c r="F6447" s="55"/>
      <c r="G6447" s="14"/>
      <c r="H6447" s="14"/>
    </row>
    <row r="6448" spans="3:11" ht="21.3" customHeight="1" x14ac:dyDescent="0.3">
      <c r="C6448" s="16">
        <v>1</v>
      </c>
      <c r="D6448" s="13" t="s">
        <v>1229</v>
      </c>
      <c r="E6448" s="17" t="s">
        <v>506</v>
      </c>
      <c r="F6448" s="18">
        <v>1.1000000000000001</v>
      </c>
      <c r="G6448" s="19">
        <f>VLOOKUP(D6448,upahbahan,3,FALSE)</f>
        <v>1400000</v>
      </c>
      <c r="H6448" s="19">
        <f t="shared" ref="H6448" si="656">F6448*G6448</f>
        <v>1540000.0000000002</v>
      </c>
    </row>
    <row r="6449" spans="3:11" x14ac:dyDescent="0.3">
      <c r="C6449" s="21" t="s">
        <v>29</v>
      </c>
      <c r="D6449" s="22"/>
      <c r="E6449" s="22"/>
      <c r="F6449" s="22"/>
      <c r="G6449" s="28"/>
      <c r="H6449" s="19">
        <f>SUM(H6447:H6448)</f>
        <v>1540000.0000000002</v>
      </c>
    </row>
    <row r="6450" spans="3:11" x14ac:dyDescent="0.25">
      <c r="C6450" s="12" t="s">
        <v>30</v>
      </c>
      <c r="D6450" s="13" t="s">
        <v>31</v>
      </c>
      <c r="E6450" s="14"/>
      <c r="F6450" s="14"/>
      <c r="G6450" s="14"/>
      <c r="H6450" s="14"/>
    </row>
    <row r="6451" spans="3:11" x14ac:dyDescent="0.3">
      <c r="C6451" s="21" t="s">
        <v>32</v>
      </c>
      <c r="D6451" s="77"/>
      <c r="E6451" s="77"/>
      <c r="F6451" s="77"/>
      <c r="G6451" s="28"/>
      <c r="H6451" s="29">
        <f>SUM(H6450:H6450)</f>
        <v>0</v>
      </c>
    </row>
    <row r="6452" spans="3:11" x14ac:dyDescent="0.3">
      <c r="C6452" s="30" t="s">
        <v>33</v>
      </c>
      <c r="D6452" s="31" t="s">
        <v>34</v>
      </c>
      <c r="E6452" s="32"/>
      <c r="F6452" s="32"/>
      <c r="G6452" s="33"/>
      <c r="H6452" s="46">
        <f>H6451+H6449+H6446</f>
        <v>1800515.0000000002</v>
      </c>
      <c r="I6452" s="47"/>
    </row>
    <row r="6453" spans="3:11" x14ac:dyDescent="0.3">
      <c r="C6453" s="30" t="s">
        <v>35</v>
      </c>
      <c r="D6453" s="31" t="s">
        <v>36</v>
      </c>
      <c r="E6453" s="32"/>
      <c r="F6453" s="33"/>
      <c r="G6453" s="34">
        <f>$M$9</f>
        <v>0.1</v>
      </c>
      <c r="H6453" s="19">
        <f>H6452*G6453</f>
        <v>180051.50000000003</v>
      </c>
      <c r="I6453" s="47"/>
    </row>
    <row r="6454" spans="3:11" x14ac:dyDescent="0.3">
      <c r="C6454" s="30" t="s">
        <v>37</v>
      </c>
      <c r="D6454" s="31" t="s">
        <v>38</v>
      </c>
      <c r="E6454" s="32"/>
      <c r="F6454" s="32"/>
      <c r="G6454" s="33"/>
      <c r="H6454" s="48">
        <f>SUM(H6452:H6453)</f>
        <v>1980566.5000000002</v>
      </c>
      <c r="I6454" s="47"/>
    </row>
    <row r="6456" spans="3:11" x14ac:dyDescent="0.3">
      <c r="C6456" s="2" t="s">
        <v>1230</v>
      </c>
      <c r="D6456" s="2" t="s">
        <v>1231</v>
      </c>
    </row>
    <row r="6457" spans="3:11" x14ac:dyDescent="0.3">
      <c r="C6457" s="40" t="s">
        <v>1232</v>
      </c>
      <c r="D6457" s="68" t="s">
        <v>1233</v>
      </c>
      <c r="E6457" s="44"/>
      <c r="F6457" s="44"/>
      <c r="G6457" s="44"/>
      <c r="H6457" s="44"/>
      <c r="I6457" s="10">
        <f>ROUNDDOWN(H6472,0)</f>
        <v>97284</v>
      </c>
      <c r="J6457" s="15"/>
      <c r="K6457" s="39"/>
    </row>
    <row r="6458" spans="3:11" ht="27.6" x14ac:dyDescent="0.3">
      <c r="C6458" s="11" t="s">
        <v>9</v>
      </c>
      <c r="D6458" s="11" t="s">
        <v>10</v>
      </c>
      <c r="E6458" s="11" t="s">
        <v>11</v>
      </c>
      <c r="F6458" s="11" t="s">
        <v>12</v>
      </c>
      <c r="G6458" s="11" t="s">
        <v>13</v>
      </c>
      <c r="H6458" s="11" t="s">
        <v>14</v>
      </c>
    </row>
    <row r="6459" spans="3:11" x14ac:dyDescent="0.25">
      <c r="C6459" s="12" t="s">
        <v>15</v>
      </c>
      <c r="D6459" s="13" t="s">
        <v>16</v>
      </c>
      <c r="E6459" s="14"/>
      <c r="F6459" s="14"/>
      <c r="G6459" s="14"/>
      <c r="H6459" s="14"/>
    </row>
    <row r="6460" spans="3:11" x14ac:dyDescent="0.3">
      <c r="C6460" s="16">
        <v>1</v>
      </c>
      <c r="D6460" s="13" t="s">
        <v>18</v>
      </c>
      <c r="E6460" s="17" t="s">
        <v>19</v>
      </c>
      <c r="F6460" s="18">
        <v>6.4000000000000001E-2</v>
      </c>
      <c r="G6460" s="19">
        <f>VLOOKUP(D6460,upahbahan,3,FALSE)</f>
        <v>100000</v>
      </c>
      <c r="H6460" s="19">
        <f t="shared" ref="H6460:H6463" si="657">F6460*G6460</f>
        <v>6400</v>
      </c>
    </row>
    <row r="6461" spans="3:11" x14ac:dyDescent="0.3">
      <c r="C6461" s="16">
        <v>2</v>
      </c>
      <c r="D6461" s="13" t="s">
        <v>21</v>
      </c>
      <c r="E6461" s="17" t="s">
        <v>19</v>
      </c>
      <c r="F6461" s="18">
        <v>0.107</v>
      </c>
      <c r="G6461" s="19">
        <f>VLOOKUP(D6461,upahbahan,3,FALSE)</f>
        <v>145000</v>
      </c>
      <c r="H6461" s="19">
        <f t="shared" si="657"/>
        <v>15515</v>
      </c>
    </row>
    <row r="6462" spans="3:11" x14ac:dyDescent="0.3">
      <c r="C6462" s="16">
        <v>3</v>
      </c>
      <c r="D6462" s="13" t="s">
        <v>1224</v>
      </c>
      <c r="E6462" s="17" t="s">
        <v>19</v>
      </c>
      <c r="F6462" s="18">
        <v>1.0999999999999999E-2</v>
      </c>
      <c r="G6462" s="19">
        <f>VLOOKUP(D6462,upahbahan,3,FALSE)</f>
        <v>175000</v>
      </c>
      <c r="H6462" s="19">
        <f t="shared" si="657"/>
        <v>1925</v>
      </c>
    </row>
    <row r="6463" spans="3:11" x14ac:dyDescent="0.3">
      <c r="C6463" s="16">
        <v>4</v>
      </c>
      <c r="D6463" s="13" t="s">
        <v>23</v>
      </c>
      <c r="E6463" s="17" t="s">
        <v>19</v>
      </c>
      <c r="F6463" s="18">
        <v>4.0000000000000001E-3</v>
      </c>
      <c r="G6463" s="19">
        <f>VLOOKUP(D6463,upahbahan,3,FALSE)</f>
        <v>200000</v>
      </c>
      <c r="H6463" s="19">
        <f t="shared" si="657"/>
        <v>800</v>
      </c>
    </row>
    <row r="6464" spans="3:11" x14ac:dyDescent="0.3">
      <c r="C6464" s="21" t="s">
        <v>24</v>
      </c>
      <c r="D6464" s="22"/>
      <c r="E6464" s="22"/>
      <c r="F6464" s="54"/>
      <c r="G6464" s="24"/>
      <c r="H6464" s="19">
        <f>SUM(H6460:H6463)</f>
        <v>24640</v>
      </c>
      <c r="I6464" s="25"/>
    </row>
    <row r="6465" spans="3:11" x14ac:dyDescent="0.25">
      <c r="C6465" s="12" t="s">
        <v>25</v>
      </c>
      <c r="D6465" s="13" t="s">
        <v>26</v>
      </c>
      <c r="E6465" s="14"/>
      <c r="F6465" s="55"/>
      <c r="G6465" s="14"/>
      <c r="H6465" s="14"/>
    </row>
    <row r="6466" spans="3:11" ht="21.3" customHeight="1" x14ac:dyDescent="0.3">
      <c r="C6466" s="16">
        <v>1</v>
      </c>
      <c r="D6466" s="13" t="s">
        <v>1234</v>
      </c>
      <c r="E6466" s="17" t="s">
        <v>949</v>
      </c>
      <c r="F6466" s="18">
        <v>1.1000000000000001</v>
      </c>
      <c r="G6466" s="19">
        <f>VLOOKUP(D6466,upahbahan,3,FALSE)</f>
        <v>58000</v>
      </c>
      <c r="H6466" s="19">
        <f t="shared" ref="H6466" si="658">F6466*G6466</f>
        <v>63800.000000000007</v>
      </c>
    </row>
    <row r="6467" spans="3:11" x14ac:dyDescent="0.3">
      <c r="C6467" s="21" t="s">
        <v>29</v>
      </c>
      <c r="D6467" s="22"/>
      <c r="E6467" s="22"/>
      <c r="F6467" s="22"/>
      <c r="G6467" s="28"/>
      <c r="H6467" s="19">
        <f>SUM(H6465:H6466)</f>
        <v>63800.000000000007</v>
      </c>
    </row>
    <row r="6468" spans="3:11" x14ac:dyDescent="0.25">
      <c r="C6468" s="12" t="s">
        <v>30</v>
      </c>
      <c r="D6468" s="13" t="s">
        <v>31</v>
      </c>
      <c r="E6468" s="14"/>
      <c r="F6468" s="14"/>
      <c r="G6468" s="14"/>
      <c r="H6468" s="14"/>
    </row>
    <row r="6469" spans="3:11" x14ac:dyDescent="0.3">
      <c r="C6469" s="21" t="s">
        <v>32</v>
      </c>
      <c r="D6469" s="77"/>
      <c r="E6469" s="77"/>
      <c r="F6469" s="77"/>
      <c r="G6469" s="28"/>
      <c r="H6469" s="29">
        <f>SUM(H6468:H6468)</f>
        <v>0</v>
      </c>
    </row>
    <row r="6470" spans="3:11" x14ac:dyDescent="0.3">
      <c r="C6470" s="30" t="s">
        <v>33</v>
      </c>
      <c r="D6470" s="31" t="s">
        <v>34</v>
      </c>
      <c r="E6470" s="32"/>
      <c r="F6470" s="32"/>
      <c r="G6470" s="33"/>
      <c r="H6470" s="46">
        <f>H6469+H6467+H6464</f>
        <v>88440</v>
      </c>
      <c r="I6470" s="47"/>
    </row>
    <row r="6471" spans="3:11" x14ac:dyDescent="0.3">
      <c r="C6471" s="30" t="s">
        <v>35</v>
      </c>
      <c r="D6471" s="31" t="s">
        <v>36</v>
      </c>
      <c r="E6471" s="32"/>
      <c r="F6471" s="33"/>
      <c r="G6471" s="34">
        <f>$M$9</f>
        <v>0.1</v>
      </c>
      <c r="H6471" s="19">
        <f>H6470*G6471</f>
        <v>8844</v>
      </c>
      <c r="I6471" s="47"/>
    </row>
    <row r="6472" spans="3:11" x14ac:dyDescent="0.3">
      <c r="C6472" s="30" t="s">
        <v>37</v>
      </c>
      <c r="D6472" s="31" t="s">
        <v>38</v>
      </c>
      <c r="E6472" s="32"/>
      <c r="F6472" s="32"/>
      <c r="G6472" s="33"/>
      <c r="H6472" s="48">
        <f>SUM(H6470:H6471)</f>
        <v>97284</v>
      </c>
      <c r="I6472" s="47"/>
    </row>
    <row r="6474" spans="3:11" x14ac:dyDescent="0.3">
      <c r="C6474" s="40" t="s">
        <v>1235</v>
      </c>
      <c r="D6474" s="68" t="s">
        <v>1236</v>
      </c>
      <c r="E6474" s="44"/>
      <c r="F6474" s="44"/>
      <c r="G6474" s="44"/>
      <c r="H6474" s="44"/>
      <c r="I6474" s="10">
        <f>ROUNDDOWN(H6489,0)</f>
        <v>106843</v>
      </c>
      <c r="J6474" s="15"/>
      <c r="K6474" s="39"/>
    </row>
    <row r="6475" spans="3:11" ht="27.6" x14ac:dyDescent="0.3">
      <c r="C6475" s="11" t="s">
        <v>9</v>
      </c>
      <c r="D6475" s="11" t="s">
        <v>10</v>
      </c>
      <c r="E6475" s="11" t="s">
        <v>11</v>
      </c>
      <c r="F6475" s="11" t="s">
        <v>12</v>
      </c>
      <c r="G6475" s="11" t="s">
        <v>13</v>
      </c>
      <c r="H6475" s="11" t="s">
        <v>14</v>
      </c>
    </row>
    <row r="6476" spans="3:11" x14ac:dyDescent="0.25">
      <c r="C6476" s="12" t="s">
        <v>15</v>
      </c>
      <c r="D6476" s="13" t="s">
        <v>16</v>
      </c>
      <c r="E6476" s="14"/>
      <c r="F6476" s="14"/>
      <c r="G6476" s="14"/>
      <c r="H6476" s="14"/>
    </row>
    <row r="6477" spans="3:11" x14ac:dyDescent="0.3">
      <c r="C6477" s="16">
        <v>1</v>
      </c>
      <c r="D6477" s="13" t="s">
        <v>18</v>
      </c>
      <c r="E6477" s="17" t="s">
        <v>19</v>
      </c>
      <c r="F6477" s="18">
        <v>6.4000000000000001E-2</v>
      </c>
      <c r="G6477" s="19">
        <f>VLOOKUP(D6477,upahbahan,3,FALSE)</f>
        <v>100000</v>
      </c>
      <c r="H6477" s="19">
        <f t="shared" ref="H6477:H6480" si="659">F6477*G6477</f>
        <v>6400</v>
      </c>
    </row>
    <row r="6478" spans="3:11" x14ac:dyDescent="0.3">
      <c r="C6478" s="16">
        <v>2</v>
      </c>
      <c r="D6478" s="13" t="s">
        <v>21</v>
      </c>
      <c r="E6478" s="17" t="s">
        <v>19</v>
      </c>
      <c r="F6478" s="18">
        <v>0.107</v>
      </c>
      <c r="G6478" s="19">
        <f>VLOOKUP(D6478,upahbahan,3,FALSE)</f>
        <v>145000</v>
      </c>
      <c r="H6478" s="19">
        <f t="shared" si="659"/>
        <v>15515</v>
      </c>
    </row>
    <row r="6479" spans="3:11" x14ac:dyDescent="0.3">
      <c r="C6479" s="16">
        <v>3</v>
      </c>
      <c r="D6479" s="13" t="s">
        <v>1224</v>
      </c>
      <c r="E6479" s="17" t="s">
        <v>19</v>
      </c>
      <c r="F6479" s="18">
        <v>1.0999999999999999E-2</v>
      </c>
      <c r="G6479" s="19">
        <f>VLOOKUP(D6479,upahbahan,3,FALSE)</f>
        <v>175000</v>
      </c>
      <c r="H6479" s="19">
        <f t="shared" si="659"/>
        <v>1925</v>
      </c>
    </row>
    <row r="6480" spans="3:11" x14ac:dyDescent="0.3">
      <c r="C6480" s="16">
        <v>4</v>
      </c>
      <c r="D6480" s="13" t="s">
        <v>23</v>
      </c>
      <c r="E6480" s="17" t="s">
        <v>19</v>
      </c>
      <c r="F6480" s="18">
        <v>4.0000000000000001E-3</v>
      </c>
      <c r="G6480" s="19">
        <f>VLOOKUP(D6480,upahbahan,3,FALSE)</f>
        <v>200000</v>
      </c>
      <c r="H6480" s="19">
        <f t="shared" si="659"/>
        <v>800</v>
      </c>
    </row>
    <row r="6481" spans="3:11" x14ac:dyDescent="0.3">
      <c r="C6481" s="21" t="s">
        <v>24</v>
      </c>
      <c r="D6481" s="22"/>
      <c r="E6481" s="22"/>
      <c r="F6481" s="54"/>
      <c r="G6481" s="24"/>
      <c r="H6481" s="19">
        <f>SUM(H6477:H6480)</f>
        <v>24640</v>
      </c>
      <c r="I6481" s="25"/>
    </row>
    <row r="6482" spans="3:11" x14ac:dyDescent="0.25">
      <c r="C6482" s="12" t="s">
        <v>25</v>
      </c>
      <c r="D6482" s="13" t="s">
        <v>26</v>
      </c>
      <c r="E6482" s="14"/>
      <c r="F6482" s="55"/>
      <c r="G6482" s="14"/>
      <c r="H6482" s="14"/>
    </row>
    <row r="6483" spans="3:11" ht="18" customHeight="1" x14ac:dyDescent="0.3">
      <c r="C6483" s="16">
        <v>1</v>
      </c>
      <c r="D6483" s="13" t="s">
        <v>1237</v>
      </c>
      <c r="E6483" s="17" t="s">
        <v>949</v>
      </c>
      <c r="F6483" s="18">
        <v>1.1000000000000001</v>
      </c>
      <c r="G6483" s="19">
        <f>VLOOKUP(D6483,upahbahan,3,FALSE)</f>
        <v>65900</v>
      </c>
      <c r="H6483" s="19">
        <f t="shared" ref="H6483" si="660">F6483*G6483</f>
        <v>72490</v>
      </c>
    </row>
    <row r="6484" spans="3:11" x14ac:dyDescent="0.3">
      <c r="C6484" s="21" t="s">
        <v>29</v>
      </c>
      <c r="D6484" s="22"/>
      <c r="E6484" s="22"/>
      <c r="F6484" s="22"/>
      <c r="G6484" s="28"/>
      <c r="H6484" s="19">
        <f>SUM(H6482:H6483)</f>
        <v>72490</v>
      </c>
    </row>
    <row r="6485" spans="3:11" x14ac:dyDescent="0.25">
      <c r="C6485" s="12" t="s">
        <v>30</v>
      </c>
      <c r="D6485" s="13" t="s">
        <v>31</v>
      </c>
      <c r="E6485" s="14"/>
      <c r="F6485" s="14"/>
      <c r="G6485" s="14"/>
      <c r="H6485" s="14"/>
    </row>
    <row r="6486" spans="3:11" x14ac:dyDescent="0.3">
      <c r="C6486" s="21" t="s">
        <v>32</v>
      </c>
      <c r="D6486" s="77"/>
      <c r="E6486" s="77"/>
      <c r="F6486" s="77"/>
      <c r="G6486" s="28"/>
      <c r="H6486" s="29">
        <f>SUM(H6485:H6485)</f>
        <v>0</v>
      </c>
    </row>
    <row r="6487" spans="3:11" x14ac:dyDescent="0.3">
      <c r="C6487" s="30" t="s">
        <v>33</v>
      </c>
      <c r="D6487" s="31" t="s">
        <v>34</v>
      </c>
      <c r="E6487" s="32"/>
      <c r="F6487" s="32"/>
      <c r="G6487" s="33"/>
      <c r="H6487" s="46">
        <f>H6486+H6484+H6481</f>
        <v>97130</v>
      </c>
      <c r="I6487" s="47"/>
    </row>
    <row r="6488" spans="3:11" x14ac:dyDescent="0.3">
      <c r="C6488" s="30" t="s">
        <v>35</v>
      </c>
      <c r="D6488" s="31" t="s">
        <v>36</v>
      </c>
      <c r="E6488" s="32"/>
      <c r="F6488" s="33"/>
      <c r="G6488" s="34">
        <f>$M$9</f>
        <v>0.1</v>
      </c>
      <c r="H6488" s="19">
        <f>H6487*G6488</f>
        <v>9713</v>
      </c>
      <c r="I6488" s="47"/>
    </row>
    <row r="6489" spans="3:11" x14ac:dyDescent="0.3">
      <c r="C6489" s="30" t="s">
        <v>37</v>
      </c>
      <c r="D6489" s="31" t="s">
        <v>38</v>
      </c>
      <c r="E6489" s="32"/>
      <c r="F6489" s="32"/>
      <c r="G6489" s="33"/>
      <c r="H6489" s="48">
        <f>SUM(H6487:H6488)</f>
        <v>106843</v>
      </c>
      <c r="I6489" s="47"/>
    </row>
    <row r="6491" spans="3:11" x14ac:dyDescent="0.3">
      <c r="C6491" s="2" t="s">
        <v>1238</v>
      </c>
      <c r="D6491" s="2" t="s">
        <v>1239</v>
      </c>
    </row>
    <row r="6492" spans="3:11" x14ac:dyDescent="0.3">
      <c r="C6492" s="2" t="s">
        <v>1240</v>
      </c>
      <c r="D6492" s="2" t="s">
        <v>1241</v>
      </c>
    </row>
    <row r="6493" spans="3:11" x14ac:dyDescent="0.3">
      <c r="C6493" s="40" t="s">
        <v>1242</v>
      </c>
      <c r="D6493" s="68" t="s">
        <v>1243</v>
      </c>
      <c r="E6493" s="44"/>
      <c r="F6493" s="44"/>
      <c r="G6493" s="44"/>
      <c r="H6493" s="44"/>
      <c r="I6493" s="10">
        <f>ROUNDDOWN(H6508,0)</f>
        <v>34427486</v>
      </c>
      <c r="J6493" s="15" t="s">
        <v>296</v>
      </c>
      <c r="K6493" s="39" t="s">
        <v>1244</v>
      </c>
    </row>
    <row r="6494" spans="3:11" ht="27.6" x14ac:dyDescent="0.3">
      <c r="C6494" s="11" t="s">
        <v>9</v>
      </c>
      <c r="D6494" s="11" t="s">
        <v>10</v>
      </c>
      <c r="E6494" s="11" t="s">
        <v>11</v>
      </c>
      <c r="F6494" s="11" t="s">
        <v>12</v>
      </c>
      <c r="G6494" s="11" t="s">
        <v>13</v>
      </c>
      <c r="H6494" s="11" t="s">
        <v>14</v>
      </c>
    </row>
    <row r="6495" spans="3:11" x14ac:dyDescent="0.25">
      <c r="C6495" s="12" t="s">
        <v>15</v>
      </c>
      <c r="D6495" s="13" t="s">
        <v>16</v>
      </c>
      <c r="E6495" s="14"/>
      <c r="F6495" s="14"/>
      <c r="G6495" s="14"/>
      <c r="H6495" s="14"/>
    </row>
    <row r="6496" spans="3:11" x14ac:dyDescent="0.3">
      <c r="C6496" s="16">
        <v>1</v>
      </c>
      <c r="D6496" s="13" t="s">
        <v>18</v>
      </c>
      <c r="E6496" s="17" t="s">
        <v>19</v>
      </c>
      <c r="F6496" s="18">
        <v>6.3330000000000002</v>
      </c>
      <c r="G6496" s="19">
        <f>VLOOKUP(D6496,upahbahan,3,FALSE)</f>
        <v>100000</v>
      </c>
      <c r="H6496" s="19">
        <f t="shared" ref="H6496:H6499" si="661">F6496*G6496</f>
        <v>633300</v>
      </c>
    </row>
    <row r="6497" spans="3:11" x14ac:dyDescent="0.3">
      <c r="C6497" s="16">
        <v>2</v>
      </c>
      <c r="D6497" s="13" t="s">
        <v>21</v>
      </c>
      <c r="E6497" s="17" t="s">
        <v>19</v>
      </c>
      <c r="F6497" s="18">
        <v>10.577</v>
      </c>
      <c r="G6497" s="19">
        <f>VLOOKUP(D6497,upahbahan,3,FALSE)</f>
        <v>145000</v>
      </c>
      <c r="H6497" s="19">
        <f t="shared" si="661"/>
        <v>1533665</v>
      </c>
    </row>
    <row r="6498" spans="3:11" x14ac:dyDescent="0.3">
      <c r="C6498" s="16">
        <v>3</v>
      </c>
      <c r="D6498" s="13" t="s">
        <v>1224</v>
      </c>
      <c r="E6498" s="17" t="s">
        <v>19</v>
      </c>
      <c r="F6498" s="18">
        <v>1.0580000000000001</v>
      </c>
      <c r="G6498" s="19">
        <f>VLOOKUP(D6498,upahbahan,3,FALSE)</f>
        <v>175000</v>
      </c>
      <c r="H6498" s="19">
        <f t="shared" si="661"/>
        <v>185150</v>
      </c>
    </row>
    <row r="6499" spans="3:11" x14ac:dyDescent="0.3">
      <c r="C6499" s="16">
        <v>4</v>
      </c>
      <c r="D6499" s="13" t="s">
        <v>23</v>
      </c>
      <c r="E6499" s="17" t="s">
        <v>19</v>
      </c>
      <c r="F6499" s="18">
        <v>0.35299999999999998</v>
      </c>
      <c r="G6499" s="19">
        <f>VLOOKUP(D6499,upahbahan,3,FALSE)</f>
        <v>200000</v>
      </c>
      <c r="H6499" s="19">
        <f t="shared" si="661"/>
        <v>70600</v>
      </c>
    </row>
    <row r="6500" spans="3:11" x14ac:dyDescent="0.3">
      <c r="C6500" s="21" t="s">
        <v>24</v>
      </c>
      <c r="D6500" s="22"/>
      <c r="E6500" s="22"/>
      <c r="F6500" s="54"/>
      <c r="G6500" s="24"/>
      <c r="H6500" s="19">
        <f>SUM(H6496:H6499)</f>
        <v>2422715</v>
      </c>
      <c r="I6500" s="25"/>
    </row>
    <row r="6501" spans="3:11" x14ac:dyDescent="0.25">
      <c r="C6501" s="12" t="s">
        <v>25</v>
      </c>
      <c r="D6501" s="13" t="s">
        <v>26</v>
      </c>
      <c r="E6501" s="14"/>
      <c r="F6501" s="55"/>
      <c r="G6501" s="14"/>
      <c r="H6501" s="14"/>
    </row>
    <row r="6502" spans="3:11" ht="18" customHeight="1" x14ac:dyDescent="0.3">
      <c r="C6502" s="16">
        <v>1</v>
      </c>
      <c r="D6502" s="13" t="s">
        <v>1245</v>
      </c>
      <c r="E6502" s="17" t="s">
        <v>617</v>
      </c>
      <c r="F6502" s="18">
        <v>1.1000000000000001</v>
      </c>
      <c r="G6502" s="19">
        <f>VLOOKUP(D6502,upahbahan,3,FALSE)</f>
        <v>26250000</v>
      </c>
      <c r="H6502" s="19">
        <f t="shared" ref="H6502" si="662">F6502*G6502</f>
        <v>28875000.000000004</v>
      </c>
    </row>
    <row r="6503" spans="3:11" x14ac:dyDescent="0.3">
      <c r="C6503" s="21" t="s">
        <v>29</v>
      </c>
      <c r="D6503" s="22"/>
      <c r="E6503" s="22"/>
      <c r="F6503" s="22"/>
      <c r="G6503" s="28"/>
      <c r="H6503" s="19">
        <f>SUM(H6501:H6502)</f>
        <v>28875000.000000004</v>
      </c>
    </row>
    <row r="6504" spans="3:11" x14ac:dyDescent="0.25">
      <c r="C6504" s="12" t="s">
        <v>30</v>
      </c>
      <c r="D6504" s="13" t="s">
        <v>31</v>
      </c>
      <c r="E6504" s="14"/>
      <c r="F6504" s="14"/>
      <c r="G6504" s="14"/>
      <c r="H6504" s="14"/>
    </row>
    <row r="6505" spans="3:11" x14ac:dyDescent="0.3">
      <c r="C6505" s="21" t="s">
        <v>32</v>
      </c>
      <c r="D6505" s="77"/>
      <c r="E6505" s="77"/>
      <c r="F6505" s="77"/>
      <c r="G6505" s="28"/>
      <c r="H6505" s="29">
        <f>SUM(H6504:H6504)</f>
        <v>0</v>
      </c>
    </row>
    <row r="6506" spans="3:11" x14ac:dyDescent="0.3">
      <c r="C6506" s="30" t="s">
        <v>33</v>
      </c>
      <c r="D6506" s="31" t="s">
        <v>34</v>
      </c>
      <c r="E6506" s="32"/>
      <c r="F6506" s="32"/>
      <c r="G6506" s="33"/>
      <c r="H6506" s="46">
        <f>H6505+H6503+H6500</f>
        <v>31297715.000000004</v>
      </c>
      <c r="I6506" s="47"/>
    </row>
    <row r="6507" spans="3:11" x14ac:dyDescent="0.3">
      <c r="C6507" s="30" t="s">
        <v>35</v>
      </c>
      <c r="D6507" s="31" t="s">
        <v>36</v>
      </c>
      <c r="E6507" s="32"/>
      <c r="F6507" s="33"/>
      <c r="G6507" s="34">
        <f>$M$9</f>
        <v>0.1</v>
      </c>
      <c r="H6507" s="19">
        <f>H6506*G6507</f>
        <v>3129771.5000000005</v>
      </c>
      <c r="I6507" s="47"/>
    </row>
    <row r="6508" spans="3:11" x14ac:dyDescent="0.3">
      <c r="C6508" s="30" t="s">
        <v>37</v>
      </c>
      <c r="D6508" s="31" t="s">
        <v>38</v>
      </c>
      <c r="E6508" s="32"/>
      <c r="F6508" s="32"/>
      <c r="G6508" s="33"/>
      <c r="H6508" s="48">
        <f>SUM(H6506:H6507)</f>
        <v>34427486.500000007</v>
      </c>
      <c r="I6508" s="47"/>
    </row>
    <row r="6509" spans="3:11" ht="7.5" customHeight="1" x14ac:dyDescent="0.3">
      <c r="C6509" s="50"/>
      <c r="D6509" s="51"/>
      <c r="E6509" s="51"/>
      <c r="F6509" s="51"/>
      <c r="G6509" s="51"/>
      <c r="H6509" s="52"/>
    </row>
    <row r="6510" spans="3:11" x14ac:dyDescent="0.3">
      <c r="C6510" s="3" t="s">
        <v>1246</v>
      </c>
    </row>
    <row r="6512" spans="3:11" x14ac:dyDescent="0.3">
      <c r="C6512" s="40" t="s">
        <v>1247</v>
      </c>
      <c r="D6512" s="68" t="s">
        <v>1248</v>
      </c>
      <c r="E6512" s="44"/>
      <c r="F6512" s="44"/>
      <c r="G6512" s="44"/>
      <c r="H6512" s="44"/>
      <c r="I6512" s="10">
        <f>ROUNDDOWN(H6527,0)</f>
        <v>4217917</v>
      </c>
      <c r="J6512" s="15"/>
      <c r="K6512" s="39"/>
    </row>
    <row r="6513" spans="3:9" ht="27.6" x14ac:dyDescent="0.3">
      <c r="C6513" s="11" t="s">
        <v>9</v>
      </c>
      <c r="D6513" s="11" t="s">
        <v>10</v>
      </c>
      <c r="E6513" s="11" t="s">
        <v>11</v>
      </c>
      <c r="F6513" s="11" t="s">
        <v>12</v>
      </c>
      <c r="G6513" s="11" t="s">
        <v>13</v>
      </c>
      <c r="H6513" s="11" t="s">
        <v>14</v>
      </c>
    </row>
    <row r="6514" spans="3:9" x14ac:dyDescent="0.25">
      <c r="C6514" s="12" t="s">
        <v>15</v>
      </c>
      <c r="D6514" s="13" t="s">
        <v>16</v>
      </c>
      <c r="E6514" s="14"/>
      <c r="F6514" s="14"/>
      <c r="G6514" s="14"/>
      <c r="H6514" s="14"/>
    </row>
    <row r="6515" spans="3:9" x14ac:dyDescent="0.3">
      <c r="C6515" s="16">
        <v>1</v>
      </c>
      <c r="D6515" s="13" t="s">
        <v>18</v>
      </c>
      <c r="E6515" s="17" t="s">
        <v>19</v>
      </c>
      <c r="F6515" s="18">
        <v>0.41699999999999998</v>
      </c>
      <c r="G6515" s="19">
        <f>VLOOKUP(D6515,upahbahan,3,FALSE)</f>
        <v>100000</v>
      </c>
      <c r="H6515" s="19">
        <f t="shared" ref="H6515:H6518" si="663">F6515*G6515</f>
        <v>41700</v>
      </c>
    </row>
    <row r="6516" spans="3:9" x14ac:dyDescent="0.3">
      <c r="C6516" s="16">
        <v>2</v>
      </c>
      <c r="D6516" s="13" t="s">
        <v>21</v>
      </c>
      <c r="E6516" s="17" t="s">
        <v>19</v>
      </c>
      <c r="F6516" s="18">
        <v>0.69599999999999995</v>
      </c>
      <c r="G6516" s="19">
        <f>VLOOKUP(D6516,upahbahan,3,FALSE)</f>
        <v>145000</v>
      </c>
      <c r="H6516" s="19">
        <f t="shared" si="663"/>
        <v>100920</v>
      </c>
    </row>
    <row r="6517" spans="3:9" x14ac:dyDescent="0.3">
      <c r="C6517" s="16">
        <v>3</v>
      </c>
      <c r="D6517" s="13" t="s">
        <v>1224</v>
      </c>
      <c r="E6517" s="17" t="s">
        <v>19</v>
      </c>
      <c r="F6517" s="18">
        <v>7.0000000000000007E-2</v>
      </c>
      <c r="G6517" s="19">
        <f>VLOOKUP(D6517,upahbahan,3,FALSE)</f>
        <v>175000</v>
      </c>
      <c r="H6517" s="19">
        <f t="shared" si="663"/>
        <v>12250.000000000002</v>
      </c>
    </row>
    <row r="6518" spans="3:9" x14ac:dyDescent="0.3">
      <c r="C6518" s="16">
        <v>4</v>
      </c>
      <c r="D6518" s="13" t="s">
        <v>23</v>
      </c>
      <c r="E6518" s="17" t="s">
        <v>19</v>
      </c>
      <c r="F6518" s="18">
        <v>2.3E-2</v>
      </c>
      <c r="G6518" s="19">
        <f>VLOOKUP(D6518,upahbahan,3,FALSE)</f>
        <v>200000</v>
      </c>
      <c r="H6518" s="19">
        <f t="shared" si="663"/>
        <v>4600</v>
      </c>
    </row>
    <row r="6519" spans="3:9" x14ac:dyDescent="0.3">
      <c r="C6519" s="21" t="s">
        <v>24</v>
      </c>
      <c r="D6519" s="22"/>
      <c r="E6519" s="22"/>
      <c r="F6519" s="54"/>
      <c r="G6519" s="24"/>
      <c r="H6519" s="19">
        <f>SUM(H6515:H6518)</f>
        <v>159470</v>
      </c>
      <c r="I6519" s="25"/>
    </row>
    <row r="6520" spans="3:9" x14ac:dyDescent="0.25">
      <c r="C6520" s="12" t="s">
        <v>25</v>
      </c>
      <c r="D6520" s="13" t="s">
        <v>26</v>
      </c>
      <c r="E6520" s="14"/>
      <c r="F6520" s="55"/>
      <c r="G6520" s="14"/>
      <c r="H6520" s="14"/>
    </row>
    <row r="6521" spans="3:9" ht="18" customHeight="1" x14ac:dyDescent="0.3">
      <c r="C6521" s="16">
        <v>1</v>
      </c>
      <c r="D6521" s="13" t="s">
        <v>1249</v>
      </c>
      <c r="E6521" s="17" t="s">
        <v>617</v>
      </c>
      <c r="F6521" s="18">
        <v>1.05</v>
      </c>
      <c r="G6521" s="19">
        <f>VLOOKUP(D6521,upahbahan,3,FALSE)</f>
        <v>3500000</v>
      </c>
      <c r="H6521" s="19">
        <f t="shared" ref="H6521" si="664">F6521*G6521</f>
        <v>3675000</v>
      </c>
    </row>
    <row r="6522" spans="3:9" x14ac:dyDescent="0.3">
      <c r="C6522" s="21" t="s">
        <v>29</v>
      </c>
      <c r="D6522" s="22"/>
      <c r="E6522" s="22"/>
      <c r="F6522" s="22"/>
      <c r="G6522" s="28"/>
      <c r="H6522" s="19">
        <f>SUM(H6520:H6521)</f>
        <v>3675000</v>
      </c>
    </row>
    <row r="6523" spans="3:9" x14ac:dyDescent="0.25">
      <c r="C6523" s="12" t="s">
        <v>30</v>
      </c>
      <c r="D6523" s="13" t="s">
        <v>31</v>
      </c>
      <c r="E6523" s="14"/>
      <c r="F6523" s="14"/>
      <c r="G6523" s="14"/>
      <c r="H6523" s="14"/>
    </row>
    <row r="6524" spans="3:9" x14ac:dyDescent="0.3">
      <c r="C6524" s="21" t="s">
        <v>32</v>
      </c>
      <c r="D6524" s="77"/>
      <c r="E6524" s="77"/>
      <c r="F6524" s="77"/>
      <c r="G6524" s="28"/>
      <c r="H6524" s="29">
        <f>SUM(H6523:H6523)</f>
        <v>0</v>
      </c>
    </row>
    <row r="6525" spans="3:9" x14ac:dyDescent="0.3">
      <c r="C6525" s="30" t="s">
        <v>33</v>
      </c>
      <c r="D6525" s="31" t="s">
        <v>34</v>
      </c>
      <c r="E6525" s="32"/>
      <c r="F6525" s="32"/>
      <c r="G6525" s="33"/>
      <c r="H6525" s="46">
        <f>H6524+H6522+H6519</f>
        <v>3834470</v>
      </c>
      <c r="I6525" s="47"/>
    </row>
    <row r="6526" spans="3:9" x14ac:dyDescent="0.3">
      <c r="C6526" s="30" t="s">
        <v>35</v>
      </c>
      <c r="D6526" s="31" t="s">
        <v>36</v>
      </c>
      <c r="E6526" s="32"/>
      <c r="F6526" s="33"/>
      <c r="G6526" s="34">
        <f>$M$9</f>
        <v>0.1</v>
      </c>
      <c r="H6526" s="19">
        <f>H6525*G6526</f>
        <v>383447</v>
      </c>
      <c r="I6526" s="47"/>
    </row>
    <row r="6527" spans="3:9" x14ac:dyDescent="0.3">
      <c r="C6527" s="30" t="s">
        <v>37</v>
      </c>
      <c r="D6527" s="31" t="s">
        <v>38</v>
      </c>
      <c r="E6527" s="32"/>
      <c r="F6527" s="32"/>
      <c r="G6527" s="33"/>
      <c r="H6527" s="48">
        <f>SUM(H6525:H6526)</f>
        <v>4217917</v>
      </c>
      <c r="I6527" s="47"/>
    </row>
    <row r="6529" spans="3:11" x14ac:dyDescent="0.3">
      <c r="C6529" s="40" t="s">
        <v>1250</v>
      </c>
      <c r="D6529" s="68" t="s">
        <v>1251</v>
      </c>
      <c r="E6529" s="44"/>
      <c r="F6529" s="44"/>
      <c r="G6529" s="44"/>
      <c r="H6529" s="44"/>
      <c r="I6529" s="10">
        <f>ROUNDDOWN(H6544,0)</f>
        <v>3014632</v>
      </c>
      <c r="J6529" s="15"/>
      <c r="K6529" s="39"/>
    </row>
    <row r="6530" spans="3:11" ht="27.6" x14ac:dyDescent="0.3">
      <c r="C6530" s="11" t="s">
        <v>9</v>
      </c>
      <c r="D6530" s="11" t="s">
        <v>10</v>
      </c>
      <c r="E6530" s="11" t="s">
        <v>11</v>
      </c>
      <c r="F6530" s="11" t="s">
        <v>12</v>
      </c>
      <c r="G6530" s="11" t="s">
        <v>13</v>
      </c>
      <c r="H6530" s="11" t="s">
        <v>14</v>
      </c>
    </row>
    <row r="6531" spans="3:11" x14ac:dyDescent="0.25">
      <c r="C6531" s="12" t="s">
        <v>15</v>
      </c>
      <c r="D6531" s="13" t="s">
        <v>16</v>
      </c>
      <c r="E6531" s="14"/>
      <c r="F6531" s="14"/>
      <c r="G6531" s="14"/>
      <c r="H6531" s="14"/>
    </row>
    <row r="6532" spans="3:11" x14ac:dyDescent="0.3">
      <c r="C6532" s="16">
        <v>1</v>
      </c>
      <c r="D6532" s="13" t="s">
        <v>18</v>
      </c>
      <c r="E6532" s="17" t="s">
        <v>19</v>
      </c>
      <c r="F6532" s="18">
        <v>0.30199999999999999</v>
      </c>
      <c r="G6532" s="19">
        <f>VLOOKUP(D6532,upahbahan,3,FALSE)</f>
        <v>100000</v>
      </c>
      <c r="H6532" s="19">
        <f t="shared" ref="H6532:H6535" si="665">F6532*G6532</f>
        <v>30200</v>
      </c>
    </row>
    <row r="6533" spans="3:11" x14ac:dyDescent="0.3">
      <c r="C6533" s="16">
        <v>2</v>
      </c>
      <c r="D6533" s="13" t="s">
        <v>21</v>
      </c>
      <c r="E6533" s="17" t="s">
        <v>19</v>
      </c>
      <c r="F6533" s="18">
        <v>0.505</v>
      </c>
      <c r="G6533" s="19">
        <f>VLOOKUP(D6533,upahbahan,3,FALSE)</f>
        <v>145000</v>
      </c>
      <c r="H6533" s="19">
        <f t="shared" si="665"/>
        <v>73225</v>
      </c>
    </row>
    <row r="6534" spans="3:11" x14ac:dyDescent="0.3">
      <c r="C6534" s="16">
        <v>3</v>
      </c>
      <c r="D6534" s="13" t="s">
        <v>1224</v>
      </c>
      <c r="E6534" s="17" t="s">
        <v>19</v>
      </c>
      <c r="F6534" s="18">
        <v>0.05</v>
      </c>
      <c r="G6534" s="19">
        <f>VLOOKUP(D6534,upahbahan,3,FALSE)</f>
        <v>175000</v>
      </c>
      <c r="H6534" s="19">
        <f t="shared" si="665"/>
        <v>8750</v>
      </c>
    </row>
    <row r="6535" spans="3:11" x14ac:dyDescent="0.3">
      <c r="C6535" s="16">
        <v>4</v>
      </c>
      <c r="D6535" s="13" t="s">
        <v>23</v>
      </c>
      <c r="E6535" s="17" t="s">
        <v>19</v>
      </c>
      <c r="F6535" s="18">
        <v>1.7000000000000001E-2</v>
      </c>
      <c r="G6535" s="19">
        <f>VLOOKUP(D6535,upahbahan,3,FALSE)</f>
        <v>200000</v>
      </c>
      <c r="H6535" s="19">
        <f t="shared" si="665"/>
        <v>3400.0000000000005</v>
      </c>
    </row>
    <row r="6536" spans="3:11" x14ac:dyDescent="0.3">
      <c r="C6536" s="21" t="s">
        <v>24</v>
      </c>
      <c r="D6536" s="22"/>
      <c r="E6536" s="22"/>
      <c r="F6536" s="54"/>
      <c r="G6536" s="24"/>
      <c r="H6536" s="19">
        <f>SUM(H6532:H6535)</f>
        <v>115575</v>
      </c>
      <c r="I6536" s="25"/>
    </row>
    <row r="6537" spans="3:11" x14ac:dyDescent="0.25">
      <c r="C6537" s="12" t="s">
        <v>25</v>
      </c>
      <c r="D6537" s="13" t="s">
        <v>26</v>
      </c>
      <c r="E6537" s="14"/>
      <c r="F6537" s="55"/>
      <c r="G6537" s="14"/>
      <c r="H6537" s="14"/>
    </row>
    <row r="6538" spans="3:11" ht="18" customHeight="1" x14ac:dyDescent="0.3">
      <c r="C6538" s="16">
        <v>1</v>
      </c>
      <c r="D6538" s="13" t="s">
        <v>1252</v>
      </c>
      <c r="E6538" s="17" t="s">
        <v>617</v>
      </c>
      <c r="F6538" s="18">
        <v>1.05</v>
      </c>
      <c r="G6538" s="19">
        <f>VLOOKUP(D6538,upahbahan,3,FALSE)</f>
        <v>2500000</v>
      </c>
      <c r="H6538" s="19">
        <f t="shared" ref="H6538" si="666">F6538*G6538</f>
        <v>2625000</v>
      </c>
    </row>
    <row r="6539" spans="3:11" x14ac:dyDescent="0.3">
      <c r="C6539" s="21" t="s">
        <v>29</v>
      </c>
      <c r="D6539" s="22"/>
      <c r="E6539" s="22"/>
      <c r="F6539" s="22"/>
      <c r="G6539" s="28"/>
      <c r="H6539" s="19">
        <f>SUM(H6537:H6538)</f>
        <v>2625000</v>
      </c>
    </row>
    <row r="6540" spans="3:11" x14ac:dyDescent="0.25">
      <c r="C6540" s="12" t="s">
        <v>30</v>
      </c>
      <c r="D6540" s="13" t="s">
        <v>31</v>
      </c>
      <c r="E6540" s="14"/>
      <c r="F6540" s="14"/>
      <c r="G6540" s="14"/>
      <c r="H6540" s="14"/>
    </row>
    <row r="6541" spans="3:11" x14ac:dyDescent="0.3">
      <c r="C6541" s="21" t="s">
        <v>32</v>
      </c>
      <c r="D6541" s="77"/>
      <c r="E6541" s="77"/>
      <c r="F6541" s="77"/>
      <c r="G6541" s="28"/>
      <c r="H6541" s="29">
        <f>SUM(H6540:H6540)</f>
        <v>0</v>
      </c>
    </row>
    <row r="6542" spans="3:11" x14ac:dyDescent="0.3">
      <c r="C6542" s="30" t="s">
        <v>33</v>
      </c>
      <c r="D6542" s="31" t="s">
        <v>34</v>
      </c>
      <c r="E6542" s="32"/>
      <c r="F6542" s="32"/>
      <c r="G6542" s="33"/>
      <c r="H6542" s="46">
        <f>H6541+H6539+H6536</f>
        <v>2740575</v>
      </c>
      <c r="I6542" s="47"/>
    </row>
    <row r="6543" spans="3:11" x14ac:dyDescent="0.3">
      <c r="C6543" s="30" t="s">
        <v>35</v>
      </c>
      <c r="D6543" s="31" t="s">
        <v>36</v>
      </c>
      <c r="E6543" s="32"/>
      <c r="F6543" s="33"/>
      <c r="G6543" s="34">
        <f>$M$9</f>
        <v>0.1</v>
      </c>
      <c r="H6543" s="19">
        <f>H6542*G6543</f>
        <v>274057.5</v>
      </c>
      <c r="I6543" s="47"/>
    </row>
    <row r="6544" spans="3:11" x14ac:dyDescent="0.3">
      <c r="C6544" s="30" t="s">
        <v>37</v>
      </c>
      <c r="D6544" s="31" t="s">
        <v>38</v>
      </c>
      <c r="E6544" s="32"/>
      <c r="F6544" s="32"/>
      <c r="G6544" s="33"/>
      <c r="H6544" s="48">
        <f>SUM(H6542:H6543)</f>
        <v>3014632.5</v>
      </c>
      <c r="I6544" s="47"/>
    </row>
    <row r="6546" spans="3:11" x14ac:dyDescent="0.3">
      <c r="C6546" s="40" t="s">
        <v>1253</v>
      </c>
      <c r="D6546" s="68" t="s">
        <v>1254</v>
      </c>
      <c r="E6546" s="44"/>
      <c r="F6546" s="44"/>
      <c r="G6546" s="44"/>
      <c r="H6546" s="44"/>
      <c r="I6546" s="10">
        <f>ROUNDDOWN(H6561,0)</f>
        <v>2321632</v>
      </c>
      <c r="J6546" s="15"/>
      <c r="K6546" s="39"/>
    </row>
    <row r="6547" spans="3:11" ht="27.6" x14ac:dyDescent="0.3">
      <c r="C6547" s="11" t="s">
        <v>9</v>
      </c>
      <c r="D6547" s="11" t="s">
        <v>10</v>
      </c>
      <c r="E6547" s="11" t="s">
        <v>11</v>
      </c>
      <c r="F6547" s="11" t="s">
        <v>12</v>
      </c>
      <c r="G6547" s="11" t="s">
        <v>13</v>
      </c>
      <c r="H6547" s="11" t="s">
        <v>14</v>
      </c>
    </row>
    <row r="6548" spans="3:11" x14ac:dyDescent="0.25">
      <c r="C6548" s="12" t="s">
        <v>15</v>
      </c>
      <c r="D6548" s="13" t="s">
        <v>16</v>
      </c>
      <c r="E6548" s="14"/>
      <c r="F6548" s="14"/>
      <c r="G6548" s="14"/>
      <c r="H6548" s="14"/>
    </row>
    <row r="6549" spans="3:11" x14ac:dyDescent="0.3">
      <c r="C6549" s="16">
        <v>1</v>
      </c>
      <c r="D6549" s="13" t="s">
        <v>18</v>
      </c>
      <c r="E6549" s="17" t="s">
        <v>19</v>
      </c>
      <c r="F6549" s="18">
        <v>0.30199999999999999</v>
      </c>
      <c r="G6549" s="19">
        <f>VLOOKUP(D6549,upahbahan,3,FALSE)</f>
        <v>100000</v>
      </c>
      <c r="H6549" s="19">
        <f t="shared" ref="H6549:H6552" si="667">F6549*G6549</f>
        <v>30200</v>
      </c>
    </row>
    <row r="6550" spans="3:11" x14ac:dyDescent="0.3">
      <c r="C6550" s="16">
        <v>2</v>
      </c>
      <c r="D6550" s="13" t="s">
        <v>21</v>
      </c>
      <c r="E6550" s="17" t="s">
        <v>19</v>
      </c>
      <c r="F6550" s="18">
        <v>0.505</v>
      </c>
      <c r="G6550" s="19">
        <f>VLOOKUP(D6550,upahbahan,3,FALSE)</f>
        <v>145000</v>
      </c>
      <c r="H6550" s="19">
        <f t="shared" si="667"/>
        <v>73225</v>
      </c>
    </row>
    <row r="6551" spans="3:11" x14ac:dyDescent="0.3">
      <c r="C6551" s="16">
        <v>3</v>
      </c>
      <c r="D6551" s="13" t="s">
        <v>1224</v>
      </c>
      <c r="E6551" s="17" t="s">
        <v>19</v>
      </c>
      <c r="F6551" s="18">
        <v>0.05</v>
      </c>
      <c r="G6551" s="19">
        <f>VLOOKUP(D6551,upahbahan,3,FALSE)</f>
        <v>175000</v>
      </c>
      <c r="H6551" s="19">
        <f t="shared" si="667"/>
        <v>8750</v>
      </c>
    </row>
    <row r="6552" spans="3:11" x14ac:dyDescent="0.3">
      <c r="C6552" s="16">
        <v>4</v>
      </c>
      <c r="D6552" s="13" t="s">
        <v>23</v>
      </c>
      <c r="E6552" s="17" t="s">
        <v>19</v>
      </c>
      <c r="F6552" s="18">
        <v>1.7000000000000001E-2</v>
      </c>
      <c r="G6552" s="19">
        <f>VLOOKUP(D6552,upahbahan,3,FALSE)</f>
        <v>200000</v>
      </c>
      <c r="H6552" s="19">
        <f t="shared" si="667"/>
        <v>3400.0000000000005</v>
      </c>
    </row>
    <row r="6553" spans="3:11" x14ac:dyDescent="0.3">
      <c r="C6553" s="21" t="s">
        <v>24</v>
      </c>
      <c r="D6553" s="22"/>
      <c r="E6553" s="22"/>
      <c r="F6553" s="54"/>
      <c r="G6553" s="24"/>
      <c r="H6553" s="19">
        <f>SUM(H6549:H6552)</f>
        <v>115575</v>
      </c>
      <c r="I6553" s="25"/>
    </row>
    <row r="6554" spans="3:11" x14ac:dyDescent="0.25">
      <c r="C6554" s="12" t="s">
        <v>25</v>
      </c>
      <c r="D6554" s="13" t="s">
        <v>26</v>
      </c>
      <c r="E6554" s="14"/>
      <c r="F6554" s="55"/>
      <c r="G6554" s="14"/>
      <c r="H6554" s="14"/>
    </row>
    <row r="6555" spans="3:11" ht="18" customHeight="1" x14ac:dyDescent="0.3">
      <c r="C6555" s="16">
        <v>1</v>
      </c>
      <c r="D6555" s="13" t="s">
        <v>1255</v>
      </c>
      <c r="E6555" s="17" t="s">
        <v>617</v>
      </c>
      <c r="F6555" s="18">
        <v>1.05</v>
      </c>
      <c r="G6555" s="19">
        <f>VLOOKUP(D6555,upahbahan,3,FALSE)</f>
        <v>1900000</v>
      </c>
      <c r="H6555" s="19">
        <f t="shared" ref="H6555" si="668">F6555*G6555</f>
        <v>1995000</v>
      </c>
    </row>
    <row r="6556" spans="3:11" x14ac:dyDescent="0.3">
      <c r="C6556" s="21" t="s">
        <v>29</v>
      </c>
      <c r="D6556" s="22"/>
      <c r="E6556" s="22"/>
      <c r="F6556" s="22"/>
      <c r="G6556" s="28"/>
      <c r="H6556" s="19">
        <f>SUM(H6554:H6555)</f>
        <v>1995000</v>
      </c>
    </row>
    <row r="6557" spans="3:11" x14ac:dyDescent="0.25">
      <c r="C6557" s="12" t="s">
        <v>30</v>
      </c>
      <c r="D6557" s="13" t="s">
        <v>31</v>
      </c>
      <c r="E6557" s="14"/>
      <c r="F6557" s="14"/>
      <c r="G6557" s="14"/>
      <c r="H6557" s="14"/>
    </row>
    <row r="6558" spans="3:11" x14ac:dyDescent="0.3">
      <c r="C6558" s="21" t="s">
        <v>32</v>
      </c>
      <c r="D6558" s="77"/>
      <c r="E6558" s="77"/>
      <c r="F6558" s="77"/>
      <c r="G6558" s="28"/>
      <c r="H6558" s="29">
        <f>SUM(H6557:H6557)</f>
        <v>0</v>
      </c>
    </row>
    <row r="6559" spans="3:11" x14ac:dyDescent="0.3">
      <c r="C6559" s="30" t="s">
        <v>33</v>
      </c>
      <c r="D6559" s="31" t="s">
        <v>34</v>
      </c>
      <c r="E6559" s="32"/>
      <c r="F6559" s="32"/>
      <c r="G6559" s="33"/>
      <c r="H6559" s="46">
        <f>H6558+H6556+H6553</f>
        <v>2110575</v>
      </c>
      <c r="I6559" s="47"/>
    </row>
    <row r="6560" spans="3:11" x14ac:dyDescent="0.3">
      <c r="C6560" s="30" t="s">
        <v>35</v>
      </c>
      <c r="D6560" s="31" t="s">
        <v>36</v>
      </c>
      <c r="E6560" s="32"/>
      <c r="F6560" s="33"/>
      <c r="G6560" s="34">
        <f>$M$9</f>
        <v>0.1</v>
      </c>
      <c r="H6560" s="19">
        <f>H6559*G6560</f>
        <v>211057.5</v>
      </c>
      <c r="I6560" s="47"/>
    </row>
    <row r="6561" spans="3:11" x14ac:dyDescent="0.3">
      <c r="C6561" s="30" t="s">
        <v>37</v>
      </c>
      <c r="D6561" s="31" t="s">
        <v>38</v>
      </c>
      <c r="E6561" s="32"/>
      <c r="F6561" s="32"/>
      <c r="G6561" s="33"/>
      <c r="H6561" s="48">
        <f>SUM(H6559:H6560)</f>
        <v>2321632.5</v>
      </c>
      <c r="I6561" s="47"/>
    </row>
    <row r="6563" spans="3:11" x14ac:dyDescent="0.3">
      <c r="C6563" s="56" t="s">
        <v>1256</v>
      </c>
      <c r="D6563" s="69" t="s">
        <v>1257</v>
      </c>
      <c r="E6563" s="58"/>
      <c r="F6563" s="58"/>
      <c r="G6563" s="58"/>
      <c r="H6563" s="58"/>
      <c r="I6563" s="10">
        <f>ROUNDDOWN(H6578,0)</f>
        <v>2961832</v>
      </c>
      <c r="J6563" s="15"/>
      <c r="K6563" s="39"/>
    </row>
    <row r="6564" spans="3:11" ht="27.6" x14ac:dyDescent="0.3">
      <c r="C6564" s="11" t="s">
        <v>9</v>
      </c>
      <c r="D6564" s="11" t="s">
        <v>10</v>
      </c>
      <c r="E6564" s="11" t="s">
        <v>11</v>
      </c>
      <c r="F6564" s="11" t="s">
        <v>12</v>
      </c>
      <c r="G6564" s="11" t="s">
        <v>13</v>
      </c>
      <c r="H6564" s="11" t="s">
        <v>14</v>
      </c>
    </row>
    <row r="6565" spans="3:11" x14ac:dyDescent="0.25">
      <c r="C6565" s="12" t="s">
        <v>15</v>
      </c>
      <c r="D6565" s="13" t="s">
        <v>16</v>
      </c>
      <c r="E6565" s="14"/>
      <c r="F6565" s="14"/>
      <c r="G6565" s="14"/>
      <c r="H6565" s="14"/>
    </row>
    <row r="6566" spans="3:11" x14ac:dyDescent="0.3">
      <c r="C6566" s="16">
        <v>1</v>
      </c>
      <c r="D6566" s="13" t="s">
        <v>18</v>
      </c>
      <c r="E6566" s="17" t="s">
        <v>19</v>
      </c>
      <c r="F6566" s="18">
        <v>1</v>
      </c>
      <c r="G6566" s="19">
        <f>VLOOKUP(D6566,upahbahan,3,FALSE)</f>
        <v>100000</v>
      </c>
      <c r="H6566" s="19">
        <f t="shared" ref="H6566:H6569" si="669">F6566*G6566</f>
        <v>100000</v>
      </c>
    </row>
    <row r="6567" spans="3:11" x14ac:dyDescent="0.3">
      <c r="C6567" s="16">
        <v>2</v>
      </c>
      <c r="D6567" s="13" t="s">
        <v>21</v>
      </c>
      <c r="E6567" s="17" t="s">
        <v>19</v>
      </c>
      <c r="F6567" s="18">
        <v>1.67</v>
      </c>
      <c r="G6567" s="19">
        <f>VLOOKUP(D6567,upahbahan,3,FALSE)</f>
        <v>145000</v>
      </c>
      <c r="H6567" s="19">
        <f t="shared" si="669"/>
        <v>242150</v>
      </c>
    </row>
    <row r="6568" spans="3:11" x14ac:dyDescent="0.3">
      <c r="C6568" s="16">
        <v>3</v>
      </c>
      <c r="D6568" s="13" t="s">
        <v>1224</v>
      </c>
      <c r="E6568" s="17" t="s">
        <v>19</v>
      </c>
      <c r="F6568" s="18">
        <v>0.16700000000000001</v>
      </c>
      <c r="G6568" s="19">
        <f>VLOOKUP(D6568,upahbahan,3,FALSE)</f>
        <v>175000</v>
      </c>
      <c r="H6568" s="19">
        <f t="shared" si="669"/>
        <v>29225</v>
      </c>
    </row>
    <row r="6569" spans="3:11" x14ac:dyDescent="0.3">
      <c r="C6569" s="16">
        <v>4</v>
      </c>
      <c r="D6569" s="13" t="s">
        <v>23</v>
      </c>
      <c r="E6569" s="17" t="s">
        <v>19</v>
      </c>
      <c r="F6569" s="18">
        <v>5.6000000000000001E-2</v>
      </c>
      <c r="G6569" s="19">
        <f>VLOOKUP(D6569,upahbahan,3,FALSE)</f>
        <v>200000</v>
      </c>
      <c r="H6569" s="19">
        <f t="shared" si="669"/>
        <v>11200</v>
      </c>
    </row>
    <row r="6570" spans="3:11" x14ac:dyDescent="0.3">
      <c r="C6570" s="21" t="s">
        <v>24</v>
      </c>
      <c r="D6570" s="22"/>
      <c r="E6570" s="22"/>
      <c r="F6570" s="54"/>
      <c r="G6570" s="24"/>
      <c r="H6570" s="19">
        <f>SUM(H6566:H6569)</f>
        <v>382575</v>
      </c>
      <c r="I6570" s="25"/>
    </row>
    <row r="6571" spans="3:11" x14ac:dyDescent="0.25">
      <c r="C6571" s="12" t="s">
        <v>25</v>
      </c>
      <c r="D6571" s="13" t="s">
        <v>26</v>
      </c>
      <c r="E6571" s="14"/>
      <c r="F6571" s="55"/>
      <c r="G6571" s="14"/>
      <c r="H6571" s="14"/>
    </row>
    <row r="6572" spans="3:11" ht="18" customHeight="1" x14ac:dyDescent="0.3">
      <c r="C6572" s="16">
        <v>1</v>
      </c>
      <c r="D6572" s="13" t="s">
        <v>1258</v>
      </c>
      <c r="E6572" s="17" t="s">
        <v>617</v>
      </c>
      <c r="F6572" s="18">
        <v>1.1000000000000001</v>
      </c>
      <c r="G6572" s="19">
        <f>VLOOKUP(D6572,upahbahan,3,FALSE)</f>
        <v>2100000</v>
      </c>
      <c r="H6572" s="19">
        <f t="shared" ref="H6572" si="670">F6572*G6572</f>
        <v>2310000</v>
      </c>
    </row>
    <row r="6573" spans="3:11" x14ac:dyDescent="0.3">
      <c r="C6573" s="21" t="s">
        <v>29</v>
      </c>
      <c r="D6573" s="22"/>
      <c r="E6573" s="22"/>
      <c r="F6573" s="22"/>
      <c r="G6573" s="28"/>
      <c r="H6573" s="19">
        <f>SUM(H6571:H6572)</f>
        <v>2310000</v>
      </c>
    </row>
    <row r="6574" spans="3:11" x14ac:dyDescent="0.25">
      <c r="C6574" s="12" t="s">
        <v>30</v>
      </c>
      <c r="D6574" s="13" t="s">
        <v>31</v>
      </c>
      <c r="E6574" s="14"/>
      <c r="F6574" s="14"/>
      <c r="G6574" s="14"/>
      <c r="H6574" s="14"/>
    </row>
    <row r="6575" spans="3:11" x14ac:dyDescent="0.3">
      <c r="C6575" s="21" t="s">
        <v>32</v>
      </c>
      <c r="D6575" s="77"/>
      <c r="E6575" s="77"/>
      <c r="F6575" s="77"/>
      <c r="G6575" s="28"/>
      <c r="H6575" s="29">
        <f>SUM(H6574:H6574)</f>
        <v>0</v>
      </c>
    </row>
    <row r="6576" spans="3:11" x14ac:dyDescent="0.3">
      <c r="C6576" s="30" t="s">
        <v>33</v>
      </c>
      <c r="D6576" s="31" t="s">
        <v>34</v>
      </c>
      <c r="E6576" s="32"/>
      <c r="F6576" s="32"/>
      <c r="G6576" s="33"/>
      <c r="H6576" s="46">
        <f>H6575+H6573+H6570</f>
        <v>2692575</v>
      </c>
      <c r="I6576" s="47"/>
    </row>
    <row r="6577" spans="3:11" x14ac:dyDescent="0.3">
      <c r="C6577" s="30" t="s">
        <v>35</v>
      </c>
      <c r="D6577" s="31" t="s">
        <v>36</v>
      </c>
      <c r="E6577" s="32"/>
      <c r="F6577" s="33"/>
      <c r="G6577" s="34">
        <f>$M$9</f>
        <v>0.1</v>
      </c>
      <c r="H6577" s="19">
        <f>H6576*G6577</f>
        <v>269257.5</v>
      </c>
      <c r="I6577" s="47"/>
    </row>
    <row r="6578" spans="3:11" x14ac:dyDescent="0.3">
      <c r="C6578" s="30" t="s">
        <v>37</v>
      </c>
      <c r="D6578" s="31" t="s">
        <v>38</v>
      </c>
      <c r="E6578" s="32"/>
      <c r="F6578" s="32"/>
      <c r="G6578" s="33"/>
      <c r="H6578" s="48">
        <f>SUM(H6576:H6577)</f>
        <v>2961832.5</v>
      </c>
      <c r="I6578" s="47"/>
    </row>
    <row r="6580" spans="3:11" x14ac:dyDescent="0.3">
      <c r="C6580" s="40" t="s">
        <v>1259</v>
      </c>
      <c r="D6580" s="68" t="s">
        <v>1260</v>
      </c>
      <c r="E6580" s="44"/>
      <c r="F6580" s="44"/>
      <c r="G6580" s="44"/>
      <c r="H6580" s="44"/>
      <c r="I6580" s="10">
        <f>ROUNDDOWN(H6595,0)</f>
        <v>741482</v>
      </c>
      <c r="J6580" s="15"/>
      <c r="K6580" s="39"/>
    </row>
    <row r="6581" spans="3:11" ht="27.6" x14ac:dyDescent="0.3">
      <c r="C6581" s="11" t="s">
        <v>9</v>
      </c>
      <c r="D6581" s="11" t="s">
        <v>10</v>
      </c>
      <c r="E6581" s="11" t="s">
        <v>11</v>
      </c>
      <c r="F6581" s="11" t="s">
        <v>12</v>
      </c>
      <c r="G6581" s="11" t="s">
        <v>13</v>
      </c>
      <c r="H6581" s="11" t="s">
        <v>14</v>
      </c>
    </row>
    <row r="6582" spans="3:11" x14ac:dyDescent="0.25">
      <c r="C6582" s="12" t="s">
        <v>15</v>
      </c>
      <c r="D6582" s="13" t="s">
        <v>16</v>
      </c>
      <c r="E6582" s="14"/>
      <c r="F6582" s="14"/>
      <c r="G6582" s="14"/>
      <c r="H6582" s="14"/>
    </row>
    <row r="6583" spans="3:11" x14ac:dyDescent="0.3">
      <c r="C6583" s="16">
        <v>1</v>
      </c>
      <c r="D6583" s="13" t="s">
        <v>18</v>
      </c>
      <c r="E6583" s="17" t="s">
        <v>19</v>
      </c>
      <c r="F6583" s="18">
        <v>1</v>
      </c>
      <c r="G6583" s="19">
        <f>VLOOKUP(D6583,upahbahan,3,FALSE)</f>
        <v>100000</v>
      </c>
      <c r="H6583" s="19">
        <f t="shared" ref="H6583:H6586" si="671">F6583*G6583</f>
        <v>100000</v>
      </c>
    </row>
    <row r="6584" spans="3:11" x14ac:dyDescent="0.3">
      <c r="C6584" s="16">
        <v>2</v>
      </c>
      <c r="D6584" s="13" t="s">
        <v>21</v>
      </c>
      <c r="E6584" s="17" t="s">
        <v>19</v>
      </c>
      <c r="F6584" s="18">
        <v>1.67</v>
      </c>
      <c r="G6584" s="19">
        <f>VLOOKUP(D6584,upahbahan,3,FALSE)</f>
        <v>145000</v>
      </c>
      <c r="H6584" s="19">
        <f t="shared" si="671"/>
        <v>242150</v>
      </c>
    </row>
    <row r="6585" spans="3:11" x14ac:dyDescent="0.3">
      <c r="C6585" s="16">
        <v>3</v>
      </c>
      <c r="D6585" s="13" t="s">
        <v>1224</v>
      </c>
      <c r="E6585" s="17" t="s">
        <v>19</v>
      </c>
      <c r="F6585" s="18">
        <v>0.16700000000000001</v>
      </c>
      <c r="G6585" s="19">
        <f>VLOOKUP(D6585,upahbahan,3,FALSE)</f>
        <v>175000</v>
      </c>
      <c r="H6585" s="19">
        <f t="shared" si="671"/>
        <v>29225</v>
      </c>
    </row>
    <row r="6586" spans="3:11" x14ac:dyDescent="0.3">
      <c r="C6586" s="16">
        <v>4</v>
      </c>
      <c r="D6586" s="13" t="s">
        <v>23</v>
      </c>
      <c r="E6586" s="17" t="s">
        <v>19</v>
      </c>
      <c r="F6586" s="18">
        <v>5.6000000000000001E-2</v>
      </c>
      <c r="G6586" s="19">
        <f>VLOOKUP(D6586,upahbahan,3,FALSE)</f>
        <v>200000</v>
      </c>
      <c r="H6586" s="19">
        <f t="shared" si="671"/>
        <v>11200</v>
      </c>
    </row>
    <row r="6587" spans="3:11" x14ac:dyDescent="0.3">
      <c r="C6587" s="21" t="s">
        <v>24</v>
      </c>
      <c r="D6587" s="22"/>
      <c r="E6587" s="22"/>
      <c r="F6587" s="54"/>
      <c r="G6587" s="24"/>
      <c r="H6587" s="19">
        <f>SUM(H6583:H6586)</f>
        <v>382575</v>
      </c>
      <c r="I6587" s="25"/>
    </row>
    <row r="6588" spans="3:11" x14ac:dyDescent="0.25">
      <c r="C6588" s="12" t="s">
        <v>25</v>
      </c>
      <c r="D6588" s="13" t="s">
        <v>26</v>
      </c>
      <c r="E6588" s="14"/>
      <c r="F6588" s="55"/>
      <c r="G6588" s="14"/>
      <c r="H6588" s="14"/>
    </row>
    <row r="6589" spans="3:11" ht="18" customHeight="1" x14ac:dyDescent="0.3">
      <c r="C6589" s="16">
        <v>1</v>
      </c>
      <c r="D6589" s="13" t="s">
        <v>1261</v>
      </c>
      <c r="E6589" s="17" t="s">
        <v>617</v>
      </c>
      <c r="F6589" s="18">
        <v>1.1000000000000001</v>
      </c>
      <c r="G6589" s="19">
        <f>VLOOKUP(D6589,upahbahan,3,FALSE)</f>
        <v>265000</v>
      </c>
      <c r="H6589" s="19">
        <f t="shared" ref="H6589" si="672">F6589*G6589</f>
        <v>291500</v>
      </c>
    </row>
    <row r="6590" spans="3:11" x14ac:dyDescent="0.3">
      <c r="C6590" s="21" t="s">
        <v>29</v>
      </c>
      <c r="D6590" s="22"/>
      <c r="E6590" s="22"/>
      <c r="F6590" s="22"/>
      <c r="G6590" s="28"/>
      <c r="H6590" s="19">
        <f>SUM(H6588:H6589)</f>
        <v>291500</v>
      </c>
    </row>
    <row r="6591" spans="3:11" x14ac:dyDescent="0.25">
      <c r="C6591" s="12" t="s">
        <v>30</v>
      </c>
      <c r="D6591" s="13" t="s">
        <v>31</v>
      </c>
      <c r="E6591" s="14"/>
      <c r="F6591" s="14"/>
      <c r="G6591" s="14"/>
      <c r="H6591" s="14"/>
    </row>
    <row r="6592" spans="3:11" x14ac:dyDescent="0.3">
      <c r="C6592" s="21" t="s">
        <v>32</v>
      </c>
      <c r="D6592" s="77"/>
      <c r="E6592" s="77"/>
      <c r="F6592" s="77"/>
      <c r="G6592" s="28"/>
      <c r="H6592" s="29">
        <f>SUM(H6591:H6591)</f>
        <v>0</v>
      </c>
    </row>
    <row r="6593" spans="3:11" x14ac:dyDescent="0.3">
      <c r="C6593" s="30" t="s">
        <v>33</v>
      </c>
      <c r="D6593" s="31" t="s">
        <v>34</v>
      </c>
      <c r="E6593" s="32"/>
      <c r="F6593" s="32"/>
      <c r="G6593" s="33"/>
      <c r="H6593" s="46">
        <f>H6592+H6590+H6587</f>
        <v>674075</v>
      </c>
      <c r="I6593" s="47"/>
    </row>
    <row r="6594" spans="3:11" x14ac:dyDescent="0.3">
      <c r="C6594" s="30" t="s">
        <v>35</v>
      </c>
      <c r="D6594" s="31" t="s">
        <v>36</v>
      </c>
      <c r="E6594" s="32"/>
      <c r="F6594" s="33"/>
      <c r="G6594" s="34">
        <f>$M$9</f>
        <v>0.1</v>
      </c>
      <c r="H6594" s="19">
        <f>H6593*G6594</f>
        <v>67407.5</v>
      </c>
      <c r="I6594" s="47"/>
    </row>
    <row r="6595" spans="3:11" x14ac:dyDescent="0.3">
      <c r="C6595" s="30" t="s">
        <v>37</v>
      </c>
      <c r="D6595" s="31" t="s">
        <v>38</v>
      </c>
      <c r="E6595" s="32"/>
      <c r="F6595" s="32"/>
      <c r="G6595" s="33"/>
      <c r="H6595" s="48">
        <f>SUM(H6593:H6594)</f>
        <v>741482.5</v>
      </c>
      <c r="I6595" s="47"/>
    </row>
    <row r="6598" spans="3:11" x14ac:dyDescent="0.3">
      <c r="C6598" s="56" t="s">
        <v>1262</v>
      </c>
      <c r="D6598" s="69" t="s">
        <v>1263</v>
      </c>
      <c r="E6598" s="58"/>
      <c r="F6598" s="58"/>
      <c r="G6598" s="58"/>
      <c r="H6598" s="58"/>
      <c r="I6598" s="10">
        <f>ROUNDDOWN(H6613,0)</f>
        <v>940890</v>
      </c>
      <c r="J6598" s="15"/>
      <c r="K6598" s="39"/>
    </row>
    <row r="6599" spans="3:11" ht="27.6" x14ac:dyDescent="0.3">
      <c r="C6599" s="11" t="s">
        <v>9</v>
      </c>
      <c r="D6599" s="11" t="s">
        <v>10</v>
      </c>
      <c r="E6599" s="11" t="s">
        <v>11</v>
      </c>
      <c r="F6599" s="11" t="s">
        <v>12</v>
      </c>
      <c r="G6599" s="11" t="s">
        <v>13</v>
      </c>
      <c r="H6599" s="11" t="s">
        <v>14</v>
      </c>
    </row>
    <row r="6600" spans="3:11" x14ac:dyDescent="0.25">
      <c r="C6600" s="12" t="s">
        <v>15</v>
      </c>
      <c r="D6600" s="13" t="s">
        <v>16</v>
      </c>
      <c r="E6600" s="14"/>
      <c r="F6600" s="14"/>
      <c r="G6600" s="14"/>
      <c r="H6600" s="14"/>
    </row>
    <row r="6601" spans="3:11" x14ac:dyDescent="0.3">
      <c r="C6601" s="16">
        <v>1</v>
      </c>
      <c r="D6601" s="13" t="s">
        <v>18</v>
      </c>
      <c r="E6601" s="17" t="s">
        <v>19</v>
      </c>
      <c r="F6601" s="18">
        <v>9.5000000000000001E-2</v>
      </c>
      <c r="G6601" s="19">
        <f>VLOOKUP(D6601,upahbahan,3,FALSE)</f>
        <v>100000</v>
      </c>
      <c r="H6601" s="19">
        <f t="shared" ref="H6601:H6604" si="673">F6601*G6601</f>
        <v>9500</v>
      </c>
    </row>
    <row r="6602" spans="3:11" x14ac:dyDescent="0.3">
      <c r="C6602" s="16">
        <v>2</v>
      </c>
      <c r="D6602" s="13" t="s">
        <v>21</v>
      </c>
      <c r="E6602" s="17" t="s">
        <v>19</v>
      </c>
      <c r="F6602" s="18">
        <v>0.159</v>
      </c>
      <c r="G6602" s="19">
        <f>VLOOKUP(D6602,upahbahan,3,FALSE)</f>
        <v>145000</v>
      </c>
      <c r="H6602" s="19">
        <f t="shared" si="673"/>
        <v>23055</v>
      </c>
    </row>
    <row r="6603" spans="3:11" x14ac:dyDescent="0.3">
      <c r="C6603" s="16">
        <v>3</v>
      </c>
      <c r="D6603" s="13" t="s">
        <v>1224</v>
      </c>
      <c r="E6603" s="17" t="s">
        <v>19</v>
      </c>
      <c r="F6603" s="18">
        <v>1.6E-2</v>
      </c>
      <c r="G6603" s="19">
        <f>VLOOKUP(D6603,upahbahan,3,FALSE)</f>
        <v>175000</v>
      </c>
      <c r="H6603" s="19">
        <f t="shared" si="673"/>
        <v>2800</v>
      </c>
    </row>
    <row r="6604" spans="3:11" x14ac:dyDescent="0.3">
      <c r="C6604" s="16">
        <v>4</v>
      </c>
      <c r="D6604" s="13" t="s">
        <v>23</v>
      </c>
      <c r="E6604" s="17" t="s">
        <v>19</v>
      </c>
      <c r="F6604" s="18">
        <v>5.0000000000000001E-3</v>
      </c>
      <c r="G6604" s="19">
        <f>VLOOKUP(D6604,upahbahan,3,FALSE)</f>
        <v>200000</v>
      </c>
      <c r="H6604" s="19">
        <f t="shared" si="673"/>
        <v>1000</v>
      </c>
    </row>
    <row r="6605" spans="3:11" x14ac:dyDescent="0.3">
      <c r="C6605" s="21" t="s">
        <v>24</v>
      </c>
      <c r="D6605" s="22"/>
      <c r="E6605" s="22"/>
      <c r="F6605" s="54"/>
      <c r="G6605" s="24"/>
      <c r="H6605" s="19">
        <f>SUM(H6601:H6604)</f>
        <v>36355</v>
      </c>
      <c r="I6605" s="25"/>
    </row>
    <row r="6606" spans="3:11" x14ac:dyDescent="0.25">
      <c r="C6606" s="12" t="s">
        <v>25</v>
      </c>
      <c r="D6606" s="13" t="s">
        <v>26</v>
      </c>
      <c r="E6606" s="14"/>
      <c r="F6606" s="55"/>
      <c r="G6606" s="14"/>
      <c r="H6606" s="14"/>
    </row>
    <row r="6607" spans="3:11" ht="18" customHeight="1" x14ac:dyDescent="0.3">
      <c r="C6607" s="16">
        <v>1</v>
      </c>
      <c r="D6607" s="13" t="s">
        <v>1264</v>
      </c>
      <c r="E6607" s="17" t="s">
        <v>617</v>
      </c>
      <c r="F6607" s="18">
        <v>1.05</v>
      </c>
      <c r="G6607" s="19">
        <f>VLOOKUP(D6607,upahbahan,3,FALSE)</f>
        <v>780000</v>
      </c>
      <c r="H6607" s="19">
        <f t="shared" ref="H6607" si="674">F6607*G6607</f>
        <v>819000</v>
      </c>
    </row>
    <row r="6608" spans="3:11" x14ac:dyDescent="0.3">
      <c r="C6608" s="21" t="s">
        <v>29</v>
      </c>
      <c r="D6608" s="22"/>
      <c r="E6608" s="22"/>
      <c r="F6608" s="22"/>
      <c r="G6608" s="28"/>
      <c r="H6608" s="19">
        <f>SUM(H6606:H6607)</f>
        <v>819000</v>
      </c>
    </row>
    <row r="6609" spans="3:11" x14ac:dyDescent="0.25">
      <c r="C6609" s="12" t="s">
        <v>30</v>
      </c>
      <c r="D6609" s="13" t="s">
        <v>31</v>
      </c>
      <c r="E6609" s="14"/>
      <c r="F6609" s="14"/>
      <c r="G6609" s="14"/>
      <c r="H6609" s="14"/>
    </row>
    <row r="6610" spans="3:11" x14ac:dyDescent="0.3">
      <c r="C6610" s="21" t="s">
        <v>32</v>
      </c>
      <c r="D6610" s="77"/>
      <c r="E6610" s="77"/>
      <c r="F6610" s="77"/>
      <c r="G6610" s="28"/>
      <c r="H6610" s="29">
        <f>SUM(H6609:H6609)</f>
        <v>0</v>
      </c>
    </row>
    <row r="6611" spans="3:11" x14ac:dyDescent="0.3">
      <c r="C6611" s="30" t="s">
        <v>33</v>
      </c>
      <c r="D6611" s="31" t="s">
        <v>34</v>
      </c>
      <c r="E6611" s="32"/>
      <c r="F6611" s="32"/>
      <c r="G6611" s="33"/>
      <c r="H6611" s="46">
        <f>H6610+H6608+H6605</f>
        <v>855355</v>
      </c>
      <c r="I6611" s="47"/>
    </row>
    <row r="6612" spans="3:11" x14ac:dyDescent="0.3">
      <c r="C6612" s="30" t="s">
        <v>35</v>
      </c>
      <c r="D6612" s="31" t="s">
        <v>36</v>
      </c>
      <c r="E6612" s="32"/>
      <c r="F6612" s="33"/>
      <c r="G6612" s="34">
        <f>$M$9</f>
        <v>0.1</v>
      </c>
      <c r="H6612" s="19">
        <f>H6611*G6612</f>
        <v>85535.5</v>
      </c>
      <c r="I6612" s="47"/>
    </row>
    <row r="6613" spans="3:11" x14ac:dyDescent="0.3">
      <c r="C6613" s="30" t="s">
        <v>37</v>
      </c>
      <c r="D6613" s="31" t="s">
        <v>38</v>
      </c>
      <c r="E6613" s="32"/>
      <c r="F6613" s="32"/>
      <c r="G6613" s="33"/>
      <c r="H6613" s="48">
        <f>SUM(H6611:H6612)</f>
        <v>940890.5</v>
      </c>
      <c r="I6613" s="47"/>
    </row>
    <row r="6615" spans="3:11" x14ac:dyDescent="0.3">
      <c r="C6615" s="40" t="s">
        <v>1265</v>
      </c>
      <c r="D6615" s="68" t="s">
        <v>1266</v>
      </c>
      <c r="E6615" s="44"/>
      <c r="F6615" s="44"/>
      <c r="G6615" s="44"/>
      <c r="H6615" s="44"/>
      <c r="I6615" s="10">
        <f>ROUNDDOWN(H6630,0)</f>
        <v>436155</v>
      </c>
      <c r="J6615" s="15"/>
      <c r="K6615" s="39"/>
    </row>
    <row r="6616" spans="3:11" ht="27.6" x14ac:dyDescent="0.3">
      <c r="C6616" s="11" t="s">
        <v>9</v>
      </c>
      <c r="D6616" s="11" t="s">
        <v>10</v>
      </c>
      <c r="E6616" s="11" t="s">
        <v>11</v>
      </c>
      <c r="F6616" s="11" t="s">
        <v>12</v>
      </c>
      <c r="G6616" s="11" t="s">
        <v>13</v>
      </c>
      <c r="H6616" s="11" t="s">
        <v>14</v>
      </c>
    </row>
    <row r="6617" spans="3:11" x14ac:dyDescent="0.25">
      <c r="C6617" s="12" t="s">
        <v>15</v>
      </c>
      <c r="D6617" s="13" t="s">
        <v>16</v>
      </c>
      <c r="E6617" s="14"/>
      <c r="F6617" s="14"/>
      <c r="G6617" s="14"/>
      <c r="H6617" s="14"/>
    </row>
    <row r="6618" spans="3:11" x14ac:dyDescent="0.3">
      <c r="C6618" s="16">
        <v>1</v>
      </c>
      <c r="D6618" s="13" t="s">
        <v>18</v>
      </c>
      <c r="E6618" s="17" t="s">
        <v>19</v>
      </c>
      <c r="F6618" s="18">
        <v>9.5000000000000001E-2</v>
      </c>
      <c r="G6618" s="19">
        <f>VLOOKUP(D6618,upahbahan,3,FALSE)</f>
        <v>100000</v>
      </c>
      <c r="H6618" s="19">
        <f t="shared" ref="H6618:H6621" si="675">F6618*G6618</f>
        <v>9500</v>
      </c>
    </row>
    <row r="6619" spans="3:11" x14ac:dyDescent="0.3">
      <c r="C6619" s="16">
        <v>2</v>
      </c>
      <c r="D6619" s="13" t="s">
        <v>21</v>
      </c>
      <c r="E6619" s="17" t="s">
        <v>19</v>
      </c>
      <c r="F6619" s="18">
        <v>0.159</v>
      </c>
      <c r="G6619" s="19">
        <f>VLOOKUP(D6619,upahbahan,3,FALSE)</f>
        <v>145000</v>
      </c>
      <c r="H6619" s="19">
        <f t="shared" si="675"/>
        <v>23055</v>
      </c>
    </row>
    <row r="6620" spans="3:11" x14ac:dyDescent="0.3">
      <c r="C6620" s="16">
        <v>3</v>
      </c>
      <c r="D6620" s="13" t="s">
        <v>1224</v>
      </c>
      <c r="E6620" s="17" t="s">
        <v>19</v>
      </c>
      <c r="F6620" s="18">
        <v>1.6E-2</v>
      </c>
      <c r="G6620" s="19">
        <f>VLOOKUP(D6620,upahbahan,3,FALSE)</f>
        <v>175000</v>
      </c>
      <c r="H6620" s="19">
        <f t="shared" si="675"/>
        <v>2800</v>
      </c>
    </row>
    <row r="6621" spans="3:11" x14ac:dyDescent="0.3">
      <c r="C6621" s="16">
        <v>4</v>
      </c>
      <c r="D6621" s="13" t="s">
        <v>23</v>
      </c>
      <c r="E6621" s="17" t="s">
        <v>19</v>
      </c>
      <c r="F6621" s="18">
        <v>5.0000000000000001E-3</v>
      </c>
      <c r="G6621" s="19">
        <f>VLOOKUP(D6621,upahbahan,3,FALSE)</f>
        <v>200000</v>
      </c>
      <c r="H6621" s="19">
        <f t="shared" si="675"/>
        <v>1000</v>
      </c>
    </row>
    <row r="6622" spans="3:11" x14ac:dyDescent="0.3">
      <c r="C6622" s="21" t="s">
        <v>24</v>
      </c>
      <c r="D6622" s="22"/>
      <c r="E6622" s="22"/>
      <c r="F6622" s="54"/>
      <c r="G6622" s="24"/>
      <c r="H6622" s="19">
        <f>SUM(H6618:H6621)</f>
        <v>36355</v>
      </c>
      <c r="I6622" s="25"/>
    </row>
    <row r="6623" spans="3:11" x14ac:dyDescent="0.25">
      <c r="C6623" s="12" t="s">
        <v>25</v>
      </c>
      <c r="D6623" s="13" t="s">
        <v>26</v>
      </c>
      <c r="E6623" s="14"/>
      <c r="F6623" s="55"/>
      <c r="G6623" s="14"/>
      <c r="H6623" s="14"/>
    </row>
    <row r="6624" spans="3:11" ht="18" customHeight="1" x14ac:dyDescent="0.3">
      <c r="C6624" s="16">
        <v>1</v>
      </c>
      <c r="D6624" s="13" t="s">
        <v>1267</v>
      </c>
      <c r="E6624" s="17" t="s">
        <v>617</v>
      </c>
      <c r="F6624" s="18">
        <v>1.05</v>
      </c>
      <c r="G6624" s="19">
        <f>VLOOKUP(D6624,upahbahan,3,FALSE)</f>
        <v>343000</v>
      </c>
      <c r="H6624" s="19">
        <f t="shared" ref="H6624" si="676">F6624*G6624</f>
        <v>360150</v>
      </c>
    </row>
    <row r="6625" spans="3:11" x14ac:dyDescent="0.3">
      <c r="C6625" s="21" t="s">
        <v>29</v>
      </c>
      <c r="D6625" s="22"/>
      <c r="E6625" s="22"/>
      <c r="F6625" s="22"/>
      <c r="G6625" s="28"/>
      <c r="H6625" s="19">
        <f>SUM(H6623:H6624)</f>
        <v>360150</v>
      </c>
    </row>
    <row r="6626" spans="3:11" x14ac:dyDescent="0.25">
      <c r="C6626" s="12" t="s">
        <v>30</v>
      </c>
      <c r="D6626" s="13" t="s">
        <v>31</v>
      </c>
      <c r="E6626" s="14"/>
      <c r="F6626" s="14"/>
      <c r="G6626" s="14"/>
      <c r="H6626" s="14"/>
    </row>
    <row r="6627" spans="3:11" x14ac:dyDescent="0.3">
      <c r="C6627" s="21" t="s">
        <v>32</v>
      </c>
      <c r="D6627" s="77"/>
      <c r="E6627" s="77"/>
      <c r="F6627" s="77"/>
      <c r="G6627" s="28"/>
      <c r="H6627" s="29">
        <f>SUM(H6626:H6626)</f>
        <v>0</v>
      </c>
    </row>
    <row r="6628" spans="3:11" x14ac:dyDescent="0.3">
      <c r="C6628" s="30" t="s">
        <v>33</v>
      </c>
      <c r="D6628" s="31" t="s">
        <v>34</v>
      </c>
      <c r="E6628" s="32"/>
      <c r="F6628" s="32"/>
      <c r="G6628" s="33"/>
      <c r="H6628" s="46">
        <f>H6627+H6625+H6622</f>
        <v>396505</v>
      </c>
      <c r="I6628" s="47"/>
    </row>
    <row r="6629" spans="3:11" x14ac:dyDescent="0.3">
      <c r="C6629" s="30" t="s">
        <v>35</v>
      </c>
      <c r="D6629" s="31" t="s">
        <v>36</v>
      </c>
      <c r="E6629" s="32"/>
      <c r="F6629" s="33"/>
      <c r="G6629" s="34">
        <f>$M$9</f>
        <v>0.1</v>
      </c>
      <c r="H6629" s="19">
        <f>H6628*G6629</f>
        <v>39650.5</v>
      </c>
      <c r="I6629" s="47"/>
    </row>
    <row r="6630" spans="3:11" x14ac:dyDescent="0.3">
      <c r="C6630" s="30" t="s">
        <v>37</v>
      </c>
      <c r="D6630" s="31" t="s">
        <v>38</v>
      </c>
      <c r="E6630" s="32"/>
      <c r="F6630" s="32"/>
      <c r="G6630" s="33"/>
      <c r="H6630" s="48">
        <f>SUM(H6628:H6629)</f>
        <v>436155.5</v>
      </c>
      <c r="I6630" s="47"/>
    </row>
    <row r="6632" spans="3:11" x14ac:dyDescent="0.3">
      <c r="C6632" s="56" t="s">
        <v>1268</v>
      </c>
      <c r="D6632" s="69" t="s">
        <v>1269</v>
      </c>
      <c r="E6632" s="58"/>
      <c r="F6632" s="58"/>
      <c r="G6632" s="58"/>
      <c r="H6632" s="58"/>
      <c r="I6632" s="10">
        <f>ROUNDDOWN(H6647,0)</f>
        <v>407280</v>
      </c>
      <c r="J6632" s="15"/>
      <c r="K6632" s="39"/>
    </row>
    <row r="6633" spans="3:11" ht="27.6" x14ac:dyDescent="0.3">
      <c r="C6633" s="11" t="s">
        <v>9</v>
      </c>
      <c r="D6633" s="11" t="s">
        <v>10</v>
      </c>
      <c r="E6633" s="11" t="s">
        <v>11</v>
      </c>
      <c r="F6633" s="11" t="s">
        <v>12</v>
      </c>
      <c r="G6633" s="11" t="s">
        <v>13</v>
      </c>
      <c r="H6633" s="11" t="s">
        <v>14</v>
      </c>
    </row>
    <row r="6634" spans="3:11" x14ac:dyDescent="0.25">
      <c r="C6634" s="12" t="s">
        <v>15</v>
      </c>
      <c r="D6634" s="13" t="s">
        <v>16</v>
      </c>
      <c r="E6634" s="14"/>
      <c r="F6634" s="14"/>
      <c r="G6634" s="14"/>
      <c r="H6634" s="14"/>
    </row>
    <row r="6635" spans="3:11" x14ac:dyDescent="0.3">
      <c r="C6635" s="16">
        <v>1</v>
      </c>
      <c r="D6635" s="13" t="s">
        <v>18</v>
      </c>
      <c r="E6635" s="17" t="s">
        <v>19</v>
      </c>
      <c r="F6635" s="18">
        <v>9.5000000000000001E-2</v>
      </c>
      <c r="G6635" s="19">
        <f>VLOOKUP(D6635,upahbahan,3,FALSE)</f>
        <v>100000</v>
      </c>
      <c r="H6635" s="19">
        <f t="shared" ref="H6635:H6638" si="677">F6635*G6635</f>
        <v>9500</v>
      </c>
    </row>
    <row r="6636" spans="3:11" x14ac:dyDescent="0.3">
      <c r="C6636" s="16">
        <v>2</v>
      </c>
      <c r="D6636" s="13" t="s">
        <v>21</v>
      </c>
      <c r="E6636" s="17" t="s">
        <v>19</v>
      </c>
      <c r="F6636" s="18">
        <v>0.159</v>
      </c>
      <c r="G6636" s="19">
        <f>VLOOKUP(D6636,upahbahan,3,FALSE)</f>
        <v>145000</v>
      </c>
      <c r="H6636" s="19">
        <f t="shared" si="677"/>
        <v>23055</v>
      </c>
    </row>
    <row r="6637" spans="3:11" x14ac:dyDescent="0.3">
      <c r="C6637" s="16">
        <v>3</v>
      </c>
      <c r="D6637" s="13" t="s">
        <v>1224</v>
      </c>
      <c r="E6637" s="17" t="s">
        <v>19</v>
      </c>
      <c r="F6637" s="18">
        <v>1.6E-2</v>
      </c>
      <c r="G6637" s="19">
        <f>VLOOKUP(D6637,upahbahan,3,FALSE)</f>
        <v>175000</v>
      </c>
      <c r="H6637" s="19">
        <f t="shared" si="677"/>
        <v>2800</v>
      </c>
    </row>
    <row r="6638" spans="3:11" x14ac:dyDescent="0.3">
      <c r="C6638" s="16">
        <v>4</v>
      </c>
      <c r="D6638" s="13" t="s">
        <v>23</v>
      </c>
      <c r="E6638" s="17" t="s">
        <v>19</v>
      </c>
      <c r="F6638" s="18">
        <v>5.0000000000000001E-3</v>
      </c>
      <c r="G6638" s="19">
        <f>VLOOKUP(D6638,upahbahan,3,FALSE)</f>
        <v>200000</v>
      </c>
      <c r="H6638" s="19">
        <f t="shared" si="677"/>
        <v>1000</v>
      </c>
    </row>
    <row r="6639" spans="3:11" x14ac:dyDescent="0.3">
      <c r="C6639" s="21" t="s">
        <v>24</v>
      </c>
      <c r="D6639" s="22"/>
      <c r="E6639" s="22"/>
      <c r="F6639" s="54"/>
      <c r="G6639" s="24"/>
      <c r="H6639" s="19">
        <f>SUM(H6635:H6638)</f>
        <v>36355</v>
      </c>
      <c r="I6639" s="25"/>
    </row>
    <row r="6640" spans="3:11" x14ac:dyDescent="0.25">
      <c r="C6640" s="12" t="s">
        <v>25</v>
      </c>
      <c r="D6640" s="13" t="s">
        <v>26</v>
      </c>
      <c r="E6640" s="14"/>
      <c r="F6640" s="55"/>
      <c r="G6640" s="14"/>
      <c r="H6640" s="14"/>
    </row>
    <row r="6641" spans="3:11" ht="18" customHeight="1" x14ac:dyDescent="0.3">
      <c r="C6641" s="16">
        <v>1</v>
      </c>
      <c r="D6641" s="13" t="s">
        <v>1270</v>
      </c>
      <c r="E6641" s="17" t="s">
        <v>617</v>
      </c>
      <c r="F6641" s="18">
        <v>1.05</v>
      </c>
      <c r="G6641" s="19">
        <f>VLOOKUP(D6641,upahbahan,3,FALSE)</f>
        <v>318000</v>
      </c>
      <c r="H6641" s="19">
        <f t="shared" ref="H6641" si="678">F6641*G6641</f>
        <v>333900</v>
      </c>
    </row>
    <row r="6642" spans="3:11" x14ac:dyDescent="0.3">
      <c r="C6642" s="21" t="s">
        <v>29</v>
      </c>
      <c r="D6642" s="22"/>
      <c r="E6642" s="22"/>
      <c r="F6642" s="22"/>
      <c r="G6642" s="28"/>
      <c r="H6642" s="19">
        <f>SUM(H6640:H6641)</f>
        <v>333900</v>
      </c>
    </row>
    <row r="6643" spans="3:11" x14ac:dyDescent="0.25">
      <c r="C6643" s="12" t="s">
        <v>30</v>
      </c>
      <c r="D6643" s="13" t="s">
        <v>31</v>
      </c>
      <c r="E6643" s="14"/>
      <c r="F6643" s="14"/>
      <c r="G6643" s="14"/>
      <c r="H6643" s="14"/>
    </row>
    <row r="6644" spans="3:11" x14ac:dyDescent="0.3">
      <c r="C6644" s="21" t="s">
        <v>32</v>
      </c>
      <c r="D6644" s="77"/>
      <c r="E6644" s="77"/>
      <c r="F6644" s="77"/>
      <c r="G6644" s="28"/>
      <c r="H6644" s="29">
        <f>SUM(H6643:H6643)</f>
        <v>0</v>
      </c>
    </row>
    <row r="6645" spans="3:11" x14ac:dyDescent="0.3">
      <c r="C6645" s="30" t="s">
        <v>33</v>
      </c>
      <c r="D6645" s="31" t="s">
        <v>34</v>
      </c>
      <c r="E6645" s="32"/>
      <c r="F6645" s="32"/>
      <c r="G6645" s="33"/>
      <c r="H6645" s="46">
        <f>H6644+H6642+H6639</f>
        <v>370255</v>
      </c>
      <c r="I6645" s="47"/>
    </row>
    <row r="6646" spans="3:11" x14ac:dyDescent="0.3">
      <c r="C6646" s="30" t="s">
        <v>35</v>
      </c>
      <c r="D6646" s="31" t="s">
        <v>36</v>
      </c>
      <c r="E6646" s="32"/>
      <c r="F6646" s="33"/>
      <c r="G6646" s="34">
        <f>$M$9</f>
        <v>0.1</v>
      </c>
      <c r="H6646" s="19">
        <f>H6645*G6646</f>
        <v>37025.5</v>
      </c>
      <c r="I6646" s="47"/>
    </row>
    <row r="6647" spans="3:11" x14ac:dyDescent="0.3">
      <c r="C6647" s="30" t="s">
        <v>37</v>
      </c>
      <c r="D6647" s="31" t="s">
        <v>38</v>
      </c>
      <c r="E6647" s="32"/>
      <c r="F6647" s="32"/>
      <c r="G6647" s="33"/>
      <c r="H6647" s="48">
        <f>SUM(H6645:H6646)</f>
        <v>407280.5</v>
      </c>
      <c r="I6647" s="47"/>
    </row>
    <row r="6649" spans="3:11" x14ac:dyDescent="0.3">
      <c r="C6649" s="40" t="s">
        <v>1271</v>
      </c>
      <c r="D6649" s="68" t="s">
        <v>1272</v>
      </c>
      <c r="E6649" s="44"/>
      <c r="F6649" s="44"/>
      <c r="G6649" s="44"/>
      <c r="H6649" s="44"/>
      <c r="I6649" s="10">
        <f>ROUNDDOWN(H6664,0)</f>
        <v>322965</v>
      </c>
      <c r="J6649" s="15"/>
      <c r="K6649" s="39"/>
    </row>
    <row r="6650" spans="3:11" ht="27.6" x14ac:dyDescent="0.3">
      <c r="C6650" s="11" t="s">
        <v>9</v>
      </c>
      <c r="D6650" s="11" t="s">
        <v>10</v>
      </c>
      <c r="E6650" s="11" t="s">
        <v>11</v>
      </c>
      <c r="F6650" s="11" t="s">
        <v>12</v>
      </c>
      <c r="G6650" s="11" t="s">
        <v>13</v>
      </c>
      <c r="H6650" s="11" t="s">
        <v>14</v>
      </c>
    </row>
    <row r="6651" spans="3:11" x14ac:dyDescent="0.25">
      <c r="C6651" s="12" t="s">
        <v>15</v>
      </c>
      <c r="D6651" s="13" t="s">
        <v>16</v>
      </c>
      <c r="E6651" s="14"/>
      <c r="F6651" s="14"/>
      <c r="G6651" s="14"/>
      <c r="H6651" s="14"/>
    </row>
    <row r="6652" spans="3:11" x14ac:dyDescent="0.3">
      <c r="C6652" s="16">
        <v>1</v>
      </c>
      <c r="D6652" s="13" t="s">
        <v>18</v>
      </c>
      <c r="E6652" s="17" t="s">
        <v>19</v>
      </c>
      <c r="F6652" s="18">
        <v>9.5000000000000001E-2</v>
      </c>
      <c r="G6652" s="19">
        <f>VLOOKUP(D6652,upahbahan,3,FALSE)</f>
        <v>100000</v>
      </c>
      <c r="H6652" s="19">
        <f t="shared" ref="H6652:H6655" si="679">F6652*G6652</f>
        <v>9500</v>
      </c>
    </row>
    <row r="6653" spans="3:11" x14ac:dyDescent="0.3">
      <c r="C6653" s="16">
        <v>2</v>
      </c>
      <c r="D6653" s="13" t="s">
        <v>21</v>
      </c>
      <c r="E6653" s="17" t="s">
        <v>19</v>
      </c>
      <c r="F6653" s="18">
        <v>0.159</v>
      </c>
      <c r="G6653" s="19">
        <f>VLOOKUP(D6653,upahbahan,3,FALSE)</f>
        <v>145000</v>
      </c>
      <c r="H6653" s="19">
        <f t="shared" si="679"/>
        <v>23055</v>
      </c>
    </row>
    <row r="6654" spans="3:11" x14ac:dyDescent="0.3">
      <c r="C6654" s="16">
        <v>3</v>
      </c>
      <c r="D6654" s="13" t="s">
        <v>1224</v>
      </c>
      <c r="E6654" s="17" t="s">
        <v>19</v>
      </c>
      <c r="F6654" s="18">
        <v>1.6E-2</v>
      </c>
      <c r="G6654" s="19">
        <f>VLOOKUP(D6654,upahbahan,3,FALSE)</f>
        <v>175000</v>
      </c>
      <c r="H6654" s="19">
        <f t="shared" si="679"/>
        <v>2800</v>
      </c>
    </row>
    <row r="6655" spans="3:11" x14ac:dyDescent="0.3">
      <c r="C6655" s="16">
        <v>4</v>
      </c>
      <c r="D6655" s="13" t="s">
        <v>23</v>
      </c>
      <c r="E6655" s="17" t="s">
        <v>19</v>
      </c>
      <c r="F6655" s="18">
        <v>5.0000000000000001E-3</v>
      </c>
      <c r="G6655" s="19">
        <f>VLOOKUP(D6655,upahbahan,3,FALSE)</f>
        <v>200000</v>
      </c>
      <c r="H6655" s="19">
        <f t="shared" si="679"/>
        <v>1000</v>
      </c>
    </row>
    <row r="6656" spans="3:11" x14ac:dyDescent="0.3">
      <c r="C6656" s="21" t="s">
        <v>24</v>
      </c>
      <c r="D6656" s="22"/>
      <c r="E6656" s="22"/>
      <c r="F6656" s="54"/>
      <c r="G6656" s="24"/>
      <c r="H6656" s="19">
        <f>SUM(H6652:H6655)</f>
        <v>36355</v>
      </c>
      <c r="I6656" s="25"/>
    </row>
    <row r="6657" spans="3:11" x14ac:dyDescent="0.25">
      <c r="C6657" s="12" t="s">
        <v>25</v>
      </c>
      <c r="D6657" s="13" t="s">
        <v>26</v>
      </c>
      <c r="E6657" s="14"/>
      <c r="F6657" s="55"/>
      <c r="G6657" s="14"/>
      <c r="H6657" s="14"/>
    </row>
    <row r="6658" spans="3:11" ht="18" customHeight="1" x14ac:dyDescent="0.3">
      <c r="C6658" s="16">
        <v>1</v>
      </c>
      <c r="D6658" s="13" t="s">
        <v>1273</v>
      </c>
      <c r="E6658" s="17" t="s">
        <v>617</v>
      </c>
      <c r="F6658" s="18">
        <v>1.05</v>
      </c>
      <c r="G6658" s="19">
        <f>VLOOKUP(D6658,upahbahan,3,FALSE)</f>
        <v>245000</v>
      </c>
      <c r="H6658" s="19">
        <f t="shared" ref="H6658" si="680">F6658*G6658</f>
        <v>257250</v>
      </c>
    </row>
    <row r="6659" spans="3:11" x14ac:dyDescent="0.3">
      <c r="C6659" s="21" t="s">
        <v>29</v>
      </c>
      <c r="D6659" s="22"/>
      <c r="E6659" s="22"/>
      <c r="F6659" s="22"/>
      <c r="G6659" s="28"/>
      <c r="H6659" s="19">
        <f>SUM(H6657:H6658)</f>
        <v>257250</v>
      </c>
    </row>
    <row r="6660" spans="3:11" x14ac:dyDescent="0.25">
      <c r="C6660" s="12" t="s">
        <v>30</v>
      </c>
      <c r="D6660" s="13" t="s">
        <v>31</v>
      </c>
      <c r="E6660" s="14"/>
      <c r="F6660" s="14"/>
      <c r="G6660" s="14"/>
      <c r="H6660" s="14"/>
    </row>
    <row r="6661" spans="3:11" x14ac:dyDescent="0.3">
      <c r="C6661" s="21" t="s">
        <v>32</v>
      </c>
      <c r="D6661" s="77"/>
      <c r="E6661" s="77"/>
      <c r="F6661" s="77"/>
      <c r="G6661" s="28"/>
      <c r="H6661" s="29">
        <f>SUM(H6660:H6660)</f>
        <v>0</v>
      </c>
    </row>
    <row r="6662" spans="3:11" x14ac:dyDescent="0.3">
      <c r="C6662" s="30" t="s">
        <v>33</v>
      </c>
      <c r="D6662" s="31" t="s">
        <v>34</v>
      </c>
      <c r="E6662" s="32"/>
      <c r="F6662" s="32"/>
      <c r="G6662" s="33"/>
      <c r="H6662" s="46">
        <f>H6661+H6659+H6656</f>
        <v>293605</v>
      </c>
      <c r="I6662" s="47"/>
    </row>
    <row r="6663" spans="3:11" x14ac:dyDescent="0.3">
      <c r="C6663" s="30" t="s">
        <v>35</v>
      </c>
      <c r="D6663" s="31" t="s">
        <v>36</v>
      </c>
      <c r="E6663" s="32"/>
      <c r="F6663" s="33"/>
      <c r="G6663" s="34">
        <f>$M$9</f>
        <v>0.1</v>
      </c>
      <c r="H6663" s="19">
        <f>H6662*G6663</f>
        <v>29360.5</v>
      </c>
      <c r="I6663" s="47"/>
    </row>
    <row r="6664" spans="3:11" x14ac:dyDescent="0.3">
      <c r="C6664" s="30" t="s">
        <v>37</v>
      </c>
      <c r="D6664" s="31" t="s">
        <v>38</v>
      </c>
      <c r="E6664" s="32"/>
      <c r="F6664" s="32"/>
      <c r="G6664" s="33"/>
      <c r="H6664" s="48">
        <f>SUM(H6662:H6663)</f>
        <v>322965.5</v>
      </c>
      <c r="I6664" s="47"/>
    </row>
    <row r="6666" spans="3:11" x14ac:dyDescent="0.3">
      <c r="C6666" s="40" t="s">
        <v>1274</v>
      </c>
      <c r="D6666" s="68" t="s">
        <v>1275</v>
      </c>
      <c r="E6666" s="44"/>
      <c r="F6666" s="44"/>
      <c r="G6666" s="44"/>
      <c r="H6666" s="44"/>
      <c r="I6666" s="10">
        <f>ROUNDDOWN(H6681,0)</f>
        <v>317190</v>
      </c>
      <c r="J6666" s="15"/>
      <c r="K6666" s="39"/>
    </row>
    <row r="6667" spans="3:11" ht="27.6" x14ac:dyDescent="0.3">
      <c r="C6667" s="11" t="s">
        <v>9</v>
      </c>
      <c r="D6667" s="11" t="s">
        <v>10</v>
      </c>
      <c r="E6667" s="11" t="s">
        <v>11</v>
      </c>
      <c r="F6667" s="11" t="s">
        <v>12</v>
      </c>
      <c r="G6667" s="11" t="s">
        <v>13</v>
      </c>
      <c r="H6667" s="11" t="s">
        <v>14</v>
      </c>
    </row>
    <row r="6668" spans="3:11" x14ac:dyDescent="0.25">
      <c r="C6668" s="12" t="s">
        <v>15</v>
      </c>
      <c r="D6668" s="13" t="s">
        <v>16</v>
      </c>
      <c r="E6668" s="14"/>
      <c r="F6668" s="14"/>
      <c r="G6668" s="14"/>
      <c r="H6668" s="14"/>
    </row>
    <row r="6669" spans="3:11" x14ac:dyDescent="0.3">
      <c r="C6669" s="16">
        <v>1</v>
      </c>
      <c r="D6669" s="13" t="s">
        <v>18</v>
      </c>
      <c r="E6669" s="17" t="s">
        <v>19</v>
      </c>
      <c r="F6669" s="18">
        <v>9.5000000000000001E-2</v>
      </c>
      <c r="G6669" s="19">
        <f>VLOOKUP(D6669,upahbahan,3,FALSE)</f>
        <v>100000</v>
      </c>
      <c r="H6669" s="19">
        <f t="shared" ref="H6669:H6672" si="681">F6669*G6669</f>
        <v>9500</v>
      </c>
    </row>
    <row r="6670" spans="3:11" x14ac:dyDescent="0.3">
      <c r="C6670" s="16">
        <v>2</v>
      </c>
      <c r="D6670" s="13" t="s">
        <v>21</v>
      </c>
      <c r="E6670" s="17" t="s">
        <v>19</v>
      </c>
      <c r="F6670" s="18">
        <v>0.159</v>
      </c>
      <c r="G6670" s="19">
        <f>VLOOKUP(D6670,upahbahan,3,FALSE)</f>
        <v>145000</v>
      </c>
      <c r="H6670" s="19">
        <f t="shared" si="681"/>
        <v>23055</v>
      </c>
    </row>
    <row r="6671" spans="3:11" x14ac:dyDescent="0.3">
      <c r="C6671" s="16">
        <v>3</v>
      </c>
      <c r="D6671" s="13" t="s">
        <v>1224</v>
      </c>
      <c r="E6671" s="17" t="s">
        <v>19</v>
      </c>
      <c r="F6671" s="18">
        <v>1.6E-2</v>
      </c>
      <c r="G6671" s="19">
        <f>VLOOKUP(D6671,upahbahan,3,FALSE)</f>
        <v>175000</v>
      </c>
      <c r="H6671" s="19">
        <f t="shared" si="681"/>
        <v>2800</v>
      </c>
    </row>
    <row r="6672" spans="3:11" x14ac:dyDescent="0.3">
      <c r="C6672" s="16">
        <v>4</v>
      </c>
      <c r="D6672" s="13" t="s">
        <v>23</v>
      </c>
      <c r="E6672" s="17" t="s">
        <v>19</v>
      </c>
      <c r="F6672" s="18">
        <v>5.0000000000000001E-3</v>
      </c>
      <c r="G6672" s="19">
        <f>VLOOKUP(D6672,upahbahan,3,FALSE)</f>
        <v>200000</v>
      </c>
      <c r="H6672" s="19">
        <f t="shared" si="681"/>
        <v>1000</v>
      </c>
    </row>
    <row r="6673" spans="3:11" x14ac:dyDescent="0.3">
      <c r="C6673" s="21" t="s">
        <v>24</v>
      </c>
      <c r="D6673" s="22"/>
      <c r="E6673" s="22"/>
      <c r="F6673" s="54"/>
      <c r="G6673" s="24"/>
      <c r="H6673" s="19">
        <f>SUM(H6669:H6672)</f>
        <v>36355</v>
      </c>
      <c r="I6673" s="25"/>
    </row>
    <row r="6674" spans="3:11" x14ac:dyDescent="0.25">
      <c r="C6674" s="12" t="s">
        <v>25</v>
      </c>
      <c r="D6674" s="13" t="s">
        <v>26</v>
      </c>
      <c r="E6674" s="14"/>
      <c r="F6674" s="55"/>
      <c r="G6674" s="14"/>
      <c r="H6674" s="14"/>
    </row>
    <row r="6675" spans="3:11" ht="18" customHeight="1" x14ac:dyDescent="0.3">
      <c r="C6675" s="16">
        <v>1</v>
      </c>
      <c r="D6675" s="13" t="s">
        <v>1276</v>
      </c>
      <c r="E6675" s="17" t="s">
        <v>617</v>
      </c>
      <c r="F6675" s="18">
        <v>1.05</v>
      </c>
      <c r="G6675" s="19">
        <f>VLOOKUP(D6675,upahbahan,3,FALSE)</f>
        <v>240000</v>
      </c>
      <c r="H6675" s="19">
        <f t="shared" ref="H6675" si="682">F6675*G6675</f>
        <v>252000</v>
      </c>
    </row>
    <row r="6676" spans="3:11" x14ac:dyDescent="0.3">
      <c r="C6676" s="21" t="s">
        <v>29</v>
      </c>
      <c r="D6676" s="22"/>
      <c r="E6676" s="22"/>
      <c r="F6676" s="22"/>
      <c r="G6676" s="28"/>
      <c r="H6676" s="19">
        <f>SUM(H6674:H6675)</f>
        <v>252000</v>
      </c>
    </row>
    <row r="6677" spans="3:11" x14ac:dyDescent="0.25">
      <c r="C6677" s="12" t="s">
        <v>30</v>
      </c>
      <c r="D6677" s="13" t="s">
        <v>31</v>
      </c>
      <c r="E6677" s="14"/>
      <c r="F6677" s="14"/>
      <c r="G6677" s="14"/>
      <c r="H6677" s="14"/>
    </row>
    <row r="6678" spans="3:11" x14ac:dyDescent="0.3">
      <c r="C6678" s="21" t="s">
        <v>32</v>
      </c>
      <c r="D6678" s="77"/>
      <c r="E6678" s="77"/>
      <c r="F6678" s="77"/>
      <c r="G6678" s="28"/>
      <c r="H6678" s="29">
        <f>SUM(H6677:H6677)</f>
        <v>0</v>
      </c>
    </row>
    <row r="6679" spans="3:11" x14ac:dyDescent="0.3">
      <c r="C6679" s="30" t="s">
        <v>33</v>
      </c>
      <c r="D6679" s="31" t="s">
        <v>34</v>
      </c>
      <c r="E6679" s="32"/>
      <c r="F6679" s="32"/>
      <c r="G6679" s="33"/>
      <c r="H6679" s="46">
        <f>H6678+H6676+H6673</f>
        <v>288355</v>
      </c>
      <c r="I6679" s="47"/>
    </row>
    <row r="6680" spans="3:11" x14ac:dyDescent="0.3">
      <c r="C6680" s="30" t="s">
        <v>35</v>
      </c>
      <c r="D6680" s="31" t="s">
        <v>36</v>
      </c>
      <c r="E6680" s="32"/>
      <c r="F6680" s="33"/>
      <c r="G6680" s="34">
        <f>$M$9</f>
        <v>0.1</v>
      </c>
      <c r="H6680" s="19">
        <f>H6679*G6680</f>
        <v>28835.5</v>
      </c>
      <c r="I6680" s="47"/>
    </row>
    <row r="6681" spans="3:11" x14ac:dyDescent="0.3">
      <c r="C6681" s="30" t="s">
        <v>37</v>
      </c>
      <c r="D6681" s="31" t="s">
        <v>38</v>
      </c>
      <c r="E6681" s="32"/>
      <c r="F6681" s="32"/>
      <c r="G6681" s="33"/>
      <c r="H6681" s="48">
        <f>SUM(H6679:H6680)</f>
        <v>317190.5</v>
      </c>
      <c r="I6681" s="47"/>
    </row>
    <row r="6683" spans="3:11" x14ac:dyDescent="0.3">
      <c r="C6683" s="40" t="s">
        <v>1277</v>
      </c>
      <c r="D6683" s="68" t="s">
        <v>1278</v>
      </c>
      <c r="E6683" s="44"/>
      <c r="F6683" s="44"/>
      <c r="G6683" s="44"/>
      <c r="H6683" s="44"/>
      <c r="I6683" s="10">
        <f>ROUNDDOWN(H6698,0)</f>
        <v>374940</v>
      </c>
      <c r="J6683" s="15"/>
      <c r="K6683" s="39"/>
    </row>
    <row r="6684" spans="3:11" ht="27.6" x14ac:dyDescent="0.3">
      <c r="C6684" s="11" t="s">
        <v>9</v>
      </c>
      <c r="D6684" s="11" t="s">
        <v>10</v>
      </c>
      <c r="E6684" s="11" t="s">
        <v>11</v>
      </c>
      <c r="F6684" s="11" t="s">
        <v>12</v>
      </c>
      <c r="G6684" s="11" t="s">
        <v>13</v>
      </c>
      <c r="H6684" s="11" t="s">
        <v>14</v>
      </c>
    </row>
    <row r="6685" spans="3:11" x14ac:dyDescent="0.25">
      <c r="C6685" s="12" t="s">
        <v>15</v>
      </c>
      <c r="D6685" s="13" t="s">
        <v>16</v>
      </c>
      <c r="E6685" s="14"/>
      <c r="F6685" s="14"/>
      <c r="G6685" s="14"/>
      <c r="H6685" s="14"/>
    </row>
    <row r="6686" spans="3:11" x14ac:dyDescent="0.3">
      <c r="C6686" s="16">
        <v>1</v>
      </c>
      <c r="D6686" s="13" t="s">
        <v>18</v>
      </c>
      <c r="E6686" s="17" t="s">
        <v>19</v>
      </c>
      <c r="F6686" s="18">
        <v>9.5000000000000001E-2</v>
      </c>
      <c r="G6686" s="19">
        <f>VLOOKUP(D6686,upahbahan,3,FALSE)</f>
        <v>100000</v>
      </c>
      <c r="H6686" s="19">
        <f t="shared" ref="H6686:H6689" si="683">F6686*G6686</f>
        <v>9500</v>
      </c>
    </row>
    <row r="6687" spans="3:11" x14ac:dyDescent="0.3">
      <c r="C6687" s="16">
        <v>2</v>
      </c>
      <c r="D6687" s="13" t="s">
        <v>21</v>
      </c>
      <c r="E6687" s="17" t="s">
        <v>19</v>
      </c>
      <c r="F6687" s="18">
        <v>0.159</v>
      </c>
      <c r="G6687" s="19">
        <f>VLOOKUP(D6687,upahbahan,3,FALSE)</f>
        <v>145000</v>
      </c>
      <c r="H6687" s="19">
        <f t="shared" si="683"/>
        <v>23055</v>
      </c>
    </row>
    <row r="6688" spans="3:11" x14ac:dyDescent="0.3">
      <c r="C6688" s="16">
        <v>3</v>
      </c>
      <c r="D6688" s="13" t="s">
        <v>1224</v>
      </c>
      <c r="E6688" s="17" t="s">
        <v>19</v>
      </c>
      <c r="F6688" s="18">
        <v>1.6E-2</v>
      </c>
      <c r="G6688" s="19">
        <f>VLOOKUP(D6688,upahbahan,3,FALSE)</f>
        <v>175000</v>
      </c>
      <c r="H6688" s="19">
        <f t="shared" si="683"/>
        <v>2800</v>
      </c>
    </row>
    <row r="6689" spans="3:11" x14ac:dyDescent="0.3">
      <c r="C6689" s="16">
        <v>4</v>
      </c>
      <c r="D6689" s="13" t="s">
        <v>23</v>
      </c>
      <c r="E6689" s="17" t="s">
        <v>19</v>
      </c>
      <c r="F6689" s="18">
        <v>5.0000000000000001E-3</v>
      </c>
      <c r="G6689" s="19">
        <f>VLOOKUP(D6689,upahbahan,3,FALSE)</f>
        <v>200000</v>
      </c>
      <c r="H6689" s="19">
        <f t="shared" si="683"/>
        <v>1000</v>
      </c>
    </row>
    <row r="6690" spans="3:11" x14ac:dyDescent="0.3">
      <c r="C6690" s="21" t="s">
        <v>24</v>
      </c>
      <c r="D6690" s="22"/>
      <c r="E6690" s="22"/>
      <c r="F6690" s="54"/>
      <c r="G6690" s="24"/>
      <c r="H6690" s="19">
        <f>SUM(H6686:H6689)</f>
        <v>36355</v>
      </c>
      <c r="I6690" s="25"/>
    </row>
    <row r="6691" spans="3:11" x14ac:dyDescent="0.25">
      <c r="C6691" s="12" t="s">
        <v>25</v>
      </c>
      <c r="D6691" s="13" t="s">
        <v>26</v>
      </c>
      <c r="E6691" s="14"/>
      <c r="F6691" s="55"/>
      <c r="G6691" s="14"/>
      <c r="H6691" s="14"/>
    </row>
    <row r="6692" spans="3:11" ht="18" customHeight="1" x14ac:dyDescent="0.3">
      <c r="C6692" s="16">
        <v>1</v>
      </c>
      <c r="D6692" s="13" t="s">
        <v>1279</v>
      </c>
      <c r="E6692" s="17" t="s">
        <v>617</v>
      </c>
      <c r="F6692" s="18">
        <v>1.05</v>
      </c>
      <c r="G6692" s="19">
        <f>VLOOKUP(D6692,upahbahan,3,FALSE)</f>
        <v>290000</v>
      </c>
      <c r="H6692" s="19">
        <f t="shared" ref="H6692" si="684">F6692*G6692</f>
        <v>304500</v>
      </c>
    </row>
    <row r="6693" spans="3:11" x14ac:dyDescent="0.3">
      <c r="C6693" s="21" t="s">
        <v>29</v>
      </c>
      <c r="D6693" s="22"/>
      <c r="E6693" s="22"/>
      <c r="F6693" s="22"/>
      <c r="G6693" s="28"/>
      <c r="H6693" s="19">
        <f>SUM(H6691:H6692)</f>
        <v>304500</v>
      </c>
    </row>
    <row r="6694" spans="3:11" x14ac:dyDescent="0.25">
      <c r="C6694" s="12" t="s">
        <v>30</v>
      </c>
      <c r="D6694" s="13" t="s">
        <v>31</v>
      </c>
      <c r="E6694" s="14"/>
      <c r="F6694" s="14"/>
      <c r="G6694" s="14"/>
      <c r="H6694" s="14"/>
    </row>
    <row r="6695" spans="3:11" x14ac:dyDescent="0.3">
      <c r="C6695" s="21" t="s">
        <v>32</v>
      </c>
      <c r="D6695" s="77"/>
      <c r="E6695" s="77"/>
      <c r="F6695" s="77"/>
      <c r="G6695" s="28"/>
      <c r="H6695" s="29">
        <f>SUM(H6694:H6694)</f>
        <v>0</v>
      </c>
    </row>
    <row r="6696" spans="3:11" x14ac:dyDescent="0.3">
      <c r="C6696" s="30" t="s">
        <v>33</v>
      </c>
      <c r="D6696" s="31" t="s">
        <v>34</v>
      </c>
      <c r="E6696" s="32"/>
      <c r="F6696" s="32"/>
      <c r="G6696" s="33"/>
      <c r="H6696" s="46">
        <f>H6695+H6693+H6690</f>
        <v>340855</v>
      </c>
      <c r="I6696" s="47"/>
    </row>
    <row r="6697" spans="3:11" x14ac:dyDescent="0.3">
      <c r="C6697" s="30" t="s">
        <v>35</v>
      </c>
      <c r="D6697" s="31" t="s">
        <v>36</v>
      </c>
      <c r="E6697" s="32"/>
      <c r="F6697" s="33"/>
      <c r="G6697" s="34">
        <f>$M$9</f>
        <v>0.1</v>
      </c>
      <c r="H6697" s="19">
        <f>H6696*G6697</f>
        <v>34085.5</v>
      </c>
      <c r="I6697" s="47"/>
    </row>
    <row r="6698" spans="3:11" x14ac:dyDescent="0.3">
      <c r="C6698" s="30" t="s">
        <v>37</v>
      </c>
      <c r="D6698" s="31" t="s">
        <v>38</v>
      </c>
      <c r="E6698" s="32"/>
      <c r="F6698" s="32"/>
      <c r="G6698" s="33"/>
      <c r="H6698" s="48">
        <f>SUM(H6696:H6697)</f>
        <v>374940.5</v>
      </c>
      <c r="I6698" s="47"/>
    </row>
    <row r="6700" spans="3:11" x14ac:dyDescent="0.3">
      <c r="C6700" s="60" t="s">
        <v>1280</v>
      </c>
      <c r="D6700" s="99" t="s">
        <v>1281</v>
      </c>
      <c r="E6700" s="62"/>
      <c r="F6700" s="62"/>
      <c r="G6700" s="62"/>
      <c r="H6700" s="62"/>
      <c r="I6700" s="10">
        <f>ROUNDDOWN(H6715,0)</f>
        <v>92939</v>
      </c>
      <c r="J6700" s="15"/>
      <c r="K6700" s="39"/>
    </row>
    <row r="6701" spans="3:11" ht="27.6" x14ac:dyDescent="0.3">
      <c r="C6701" s="11" t="s">
        <v>9</v>
      </c>
      <c r="D6701" s="11" t="s">
        <v>10</v>
      </c>
      <c r="E6701" s="11" t="s">
        <v>11</v>
      </c>
      <c r="F6701" s="11" t="s">
        <v>12</v>
      </c>
      <c r="G6701" s="11" t="s">
        <v>13</v>
      </c>
      <c r="H6701" s="11" t="s">
        <v>14</v>
      </c>
    </row>
    <row r="6702" spans="3:11" x14ac:dyDescent="0.25">
      <c r="C6702" s="12" t="s">
        <v>15</v>
      </c>
      <c r="D6702" s="13" t="s">
        <v>16</v>
      </c>
      <c r="E6702" s="14"/>
      <c r="F6702" s="14"/>
      <c r="G6702" s="14"/>
      <c r="H6702" s="14"/>
    </row>
    <row r="6703" spans="3:11" x14ac:dyDescent="0.3">
      <c r="C6703" s="16">
        <v>1</v>
      </c>
      <c r="D6703" s="13" t="s">
        <v>18</v>
      </c>
      <c r="E6703" s="17" t="s">
        <v>19</v>
      </c>
      <c r="F6703" s="18">
        <v>6.4000000000000001E-2</v>
      </c>
      <c r="G6703" s="19">
        <f>VLOOKUP(D6703,upahbahan,3,FALSE)</f>
        <v>100000</v>
      </c>
      <c r="H6703" s="19">
        <f t="shared" ref="H6703:H6706" si="685">F6703*G6703</f>
        <v>6400</v>
      </c>
    </row>
    <row r="6704" spans="3:11" x14ac:dyDescent="0.3">
      <c r="C6704" s="16">
        <v>2</v>
      </c>
      <c r="D6704" s="13" t="s">
        <v>21</v>
      </c>
      <c r="E6704" s="17" t="s">
        <v>19</v>
      </c>
      <c r="F6704" s="18">
        <v>0.107</v>
      </c>
      <c r="G6704" s="19">
        <f>VLOOKUP(D6704,upahbahan,3,FALSE)</f>
        <v>145000</v>
      </c>
      <c r="H6704" s="19">
        <f t="shared" si="685"/>
        <v>15515</v>
      </c>
    </row>
    <row r="6705" spans="3:11" x14ac:dyDescent="0.3">
      <c r="C6705" s="16">
        <v>3</v>
      </c>
      <c r="D6705" s="13" t="s">
        <v>1224</v>
      </c>
      <c r="E6705" s="17" t="s">
        <v>19</v>
      </c>
      <c r="F6705" s="18">
        <v>1.0999999999999999E-2</v>
      </c>
      <c r="G6705" s="19">
        <f>VLOOKUP(D6705,upahbahan,3,FALSE)</f>
        <v>175000</v>
      </c>
      <c r="H6705" s="19">
        <f t="shared" si="685"/>
        <v>1925</v>
      </c>
    </row>
    <row r="6706" spans="3:11" x14ac:dyDescent="0.3">
      <c r="C6706" s="16">
        <v>4</v>
      </c>
      <c r="D6706" s="13" t="s">
        <v>23</v>
      </c>
      <c r="E6706" s="17" t="s">
        <v>19</v>
      </c>
      <c r="F6706" s="18">
        <v>4.0000000000000001E-3</v>
      </c>
      <c r="G6706" s="19">
        <f>VLOOKUP(D6706,upahbahan,3,FALSE)</f>
        <v>200000</v>
      </c>
      <c r="H6706" s="19">
        <f t="shared" si="685"/>
        <v>800</v>
      </c>
    </row>
    <row r="6707" spans="3:11" x14ac:dyDescent="0.3">
      <c r="C6707" s="21" t="s">
        <v>24</v>
      </c>
      <c r="D6707" s="22"/>
      <c r="E6707" s="22"/>
      <c r="F6707" s="54"/>
      <c r="G6707" s="24"/>
      <c r="H6707" s="19">
        <f>SUM(H6703:H6706)</f>
        <v>24640</v>
      </c>
      <c r="I6707" s="25"/>
    </row>
    <row r="6708" spans="3:11" x14ac:dyDescent="0.25">
      <c r="C6708" s="12" t="s">
        <v>25</v>
      </c>
      <c r="D6708" s="13" t="s">
        <v>26</v>
      </c>
      <c r="E6708" s="14"/>
      <c r="F6708" s="55"/>
      <c r="G6708" s="14"/>
      <c r="H6708" s="14"/>
    </row>
    <row r="6709" spans="3:11" ht="18" customHeight="1" x14ac:dyDescent="0.3">
      <c r="C6709" s="16">
        <v>1</v>
      </c>
      <c r="D6709" s="13" t="s">
        <v>1282</v>
      </c>
      <c r="E6709" s="17" t="s">
        <v>617</v>
      </c>
      <c r="F6709" s="18">
        <v>1.05</v>
      </c>
      <c r="G6709" s="19">
        <f>VLOOKUP(D6709,upahbahan,3,FALSE)</f>
        <v>57000</v>
      </c>
      <c r="H6709" s="19">
        <f t="shared" ref="H6709" si="686">F6709*G6709</f>
        <v>59850</v>
      </c>
    </row>
    <row r="6710" spans="3:11" x14ac:dyDescent="0.3">
      <c r="C6710" s="21" t="s">
        <v>29</v>
      </c>
      <c r="D6710" s="22"/>
      <c r="E6710" s="22"/>
      <c r="F6710" s="22"/>
      <c r="G6710" s="28"/>
      <c r="H6710" s="19">
        <f>SUM(H6708:H6709)</f>
        <v>59850</v>
      </c>
    </row>
    <row r="6711" spans="3:11" x14ac:dyDescent="0.25">
      <c r="C6711" s="12" t="s">
        <v>30</v>
      </c>
      <c r="D6711" s="13" t="s">
        <v>31</v>
      </c>
      <c r="E6711" s="14"/>
      <c r="F6711" s="14"/>
      <c r="G6711" s="14"/>
      <c r="H6711" s="14"/>
    </row>
    <row r="6712" spans="3:11" x14ac:dyDescent="0.3">
      <c r="C6712" s="21" t="s">
        <v>32</v>
      </c>
      <c r="D6712" s="77"/>
      <c r="E6712" s="77"/>
      <c r="F6712" s="77"/>
      <c r="G6712" s="28"/>
      <c r="H6712" s="29">
        <f>SUM(H6711:H6711)</f>
        <v>0</v>
      </c>
    </row>
    <row r="6713" spans="3:11" x14ac:dyDescent="0.3">
      <c r="C6713" s="30" t="s">
        <v>33</v>
      </c>
      <c r="D6713" s="31" t="s">
        <v>34</v>
      </c>
      <c r="E6713" s="32"/>
      <c r="F6713" s="32"/>
      <c r="G6713" s="33"/>
      <c r="H6713" s="46">
        <f>H6712+H6710+H6707</f>
        <v>84490</v>
      </c>
      <c r="I6713" s="47"/>
    </row>
    <row r="6714" spans="3:11" x14ac:dyDescent="0.3">
      <c r="C6714" s="30" t="s">
        <v>35</v>
      </c>
      <c r="D6714" s="31" t="s">
        <v>36</v>
      </c>
      <c r="E6714" s="32"/>
      <c r="F6714" s="33"/>
      <c r="G6714" s="34">
        <f>$M$9</f>
        <v>0.1</v>
      </c>
      <c r="H6714" s="19">
        <f>H6713*G6714</f>
        <v>8449</v>
      </c>
      <c r="I6714" s="47"/>
    </row>
    <row r="6715" spans="3:11" x14ac:dyDescent="0.3">
      <c r="C6715" s="30" t="s">
        <v>37</v>
      </c>
      <c r="D6715" s="31" t="s">
        <v>38</v>
      </c>
      <c r="E6715" s="32"/>
      <c r="F6715" s="32"/>
      <c r="G6715" s="33"/>
      <c r="H6715" s="48">
        <f>SUM(H6713:H6714)</f>
        <v>92939</v>
      </c>
      <c r="I6715" s="47"/>
    </row>
    <row r="6717" spans="3:11" x14ac:dyDescent="0.3">
      <c r="C6717" s="40" t="s">
        <v>1283</v>
      </c>
      <c r="D6717" s="68" t="s">
        <v>1284</v>
      </c>
      <c r="E6717" s="44"/>
      <c r="F6717" s="44"/>
      <c r="G6717" s="44"/>
      <c r="H6717" s="44"/>
      <c r="I6717" s="10">
        <f>ROUNDDOWN(H6732,0)</f>
        <v>96404</v>
      </c>
      <c r="J6717" s="15"/>
      <c r="K6717" s="39"/>
    </row>
    <row r="6718" spans="3:11" ht="27.6" x14ac:dyDescent="0.3">
      <c r="C6718" s="11" t="s">
        <v>9</v>
      </c>
      <c r="D6718" s="11" t="s">
        <v>10</v>
      </c>
      <c r="E6718" s="11" t="s">
        <v>11</v>
      </c>
      <c r="F6718" s="11" t="s">
        <v>12</v>
      </c>
      <c r="G6718" s="11" t="s">
        <v>13</v>
      </c>
      <c r="H6718" s="11" t="s">
        <v>14</v>
      </c>
    </row>
    <row r="6719" spans="3:11" x14ac:dyDescent="0.25">
      <c r="C6719" s="12" t="s">
        <v>15</v>
      </c>
      <c r="D6719" s="13" t="s">
        <v>16</v>
      </c>
      <c r="E6719" s="14"/>
      <c r="F6719" s="14"/>
      <c r="G6719" s="14"/>
      <c r="H6719" s="14"/>
    </row>
    <row r="6720" spans="3:11" x14ac:dyDescent="0.3">
      <c r="C6720" s="16">
        <v>1</v>
      </c>
      <c r="D6720" s="13" t="s">
        <v>18</v>
      </c>
      <c r="E6720" s="17" t="s">
        <v>19</v>
      </c>
      <c r="F6720" s="18">
        <v>6.4000000000000001E-2</v>
      </c>
      <c r="G6720" s="19">
        <f>VLOOKUP(D6720,upahbahan,3,FALSE)</f>
        <v>100000</v>
      </c>
      <c r="H6720" s="19">
        <f t="shared" ref="H6720:H6723" si="687">F6720*G6720</f>
        <v>6400</v>
      </c>
    </row>
    <row r="6721" spans="3:11" x14ac:dyDescent="0.3">
      <c r="C6721" s="16">
        <v>2</v>
      </c>
      <c r="D6721" s="13" t="s">
        <v>21</v>
      </c>
      <c r="E6721" s="17" t="s">
        <v>19</v>
      </c>
      <c r="F6721" s="18">
        <v>0.107</v>
      </c>
      <c r="G6721" s="19">
        <f>VLOOKUP(D6721,upahbahan,3,FALSE)</f>
        <v>145000</v>
      </c>
      <c r="H6721" s="19">
        <f t="shared" si="687"/>
        <v>15515</v>
      </c>
    </row>
    <row r="6722" spans="3:11" x14ac:dyDescent="0.3">
      <c r="C6722" s="16">
        <v>3</v>
      </c>
      <c r="D6722" s="13" t="s">
        <v>1224</v>
      </c>
      <c r="E6722" s="17" t="s">
        <v>19</v>
      </c>
      <c r="F6722" s="18">
        <v>1.0999999999999999E-2</v>
      </c>
      <c r="G6722" s="19">
        <f>VLOOKUP(D6722,upahbahan,3,FALSE)</f>
        <v>175000</v>
      </c>
      <c r="H6722" s="19">
        <f t="shared" si="687"/>
        <v>1925</v>
      </c>
    </row>
    <row r="6723" spans="3:11" x14ac:dyDescent="0.3">
      <c r="C6723" s="16">
        <v>4</v>
      </c>
      <c r="D6723" s="13" t="s">
        <v>23</v>
      </c>
      <c r="E6723" s="17" t="s">
        <v>19</v>
      </c>
      <c r="F6723" s="18">
        <v>4.0000000000000001E-3</v>
      </c>
      <c r="G6723" s="19">
        <f>VLOOKUP(D6723,upahbahan,3,FALSE)</f>
        <v>200000</v>
      </c>
      <c r="H6723" s="19">
        <f t="shared" si="687"/>
        <v>800</v>
      </c>
    </row>
    <row r="6724" spans="3:11" x14ac:dyDescent="0.3">
      <c r="C6724" s="21" t="s">
        <v>24</v>
      </c>
      <c r="D6724" s="22"/>
      <c r="E6724" s="22"/>
      <c r="F6724" s="54"/>
      <c r="G6724" s="24"/>
      <c r="H6724" s="19">
        <f>SUM(H6720:H6723)</f>
        <v>24640</v>
      </c>
      <c r="I6724" s="25"/>
    </row>
    <row r="6725" spans="3:11" x14ac:dyDescent="0.25">
      <c r="C6725" s="12" t="s">
        <v>25</v>
      </c>
      <c r="D6725" s="13" t="s">
        <v>26</v>
      </c>
      <c r="E6725" s="14"/>
      <c r="F6725" s="55"/>
      <c r="G6725" s="14"/>
      <c r="H6725" s="14"/>
    </row>
    <row r="6726" spans="3:11" ht="18" customHeight="1" x14ac:dyDescent="0.3">
      <c r="C6726" s="16">
        <v>1</v>
      </c>
      <c r="D6726" s="13" t="s">
        <v>1285</v>
      </c>
      <c r="E6726" s="17" t="s">
        <v>617</v>
      </c>
      <c r="F6726" s="18">
        <v>1.05</v>
      </c>
      <c r="G6726" s="19">
        <f>VLOOKUP(D6726,upahbahan,3,FALSE)</f>
        <v>60000</v>
      </c>
      <c r="H6726" s="19">
        <f t="shared" ref="H6726" si="688">F6726*G6726</f>
        <v>63000</v>
      </c>
    </row>
    <row r="6727" spans="3:11" x14ac:dyDescent="0.3">
      <c r="C6727" s="21" t="s">
        <v>29</v>
      </c>
      <c r="D6727" s="22"/>
      <c r="E6727" s="22"/>
      <c r="F6727" s="22"/>
      <c r="G6727" s="28"/>
      <c r="H6727" s="19">
        <f>SUM(H6725:H6726)</f>
        <v>63000</v>
      </c>
    </row>
    <row r="6728" spans="3:11" x14ac:dyDescent="0.25">
      <c r="C6728" s="12" t="s">
        <v>30</v>
      </c>
      <c r="D6728" s="13" t="s">
        <v>31</v>
      </c>
      <c r="E6728" s="14"/>
      <c r="F6728" s="14"/>
      <c r="G6728" s="14"/>
      <c r="H6728" s="14"/>
    </row>
    <row r="6729" spans="3:11" x14ac:dyDescent="0.3">
      <c r="C6729" s="21" t="s">
        <v>32</v>
      </c>
      <c r="D6729" s="77"/>
      <c r="E6729" s="77"/>
      <c r="F6729" s="77"/>
      <c r="G6729" s="28"/>
      <c r="H6729" s="29">
        <f>SUM(H6728:H6728)</f>
        <v>0</v>
      </c>
    </row>
    <row r="6730" spans="3:11" x14ac:dyDescent="0.3">
      <c r="C6730" s="30" t="s">
        <v>33</v>
      </c>
      <c r="D6730" s="31" t="s">
        <v>34</v>
      </c>
      <c r="E6730" s="32"/>
      <c r="F6730" s="32"/>
      <c r="G6730" s="33"/>
      <c r="H6730" s="46">
        <f>H6729+H6727+H6724</f>
        <v>87640</v>
      </c>
      <c r="I6730" s="47"/>
    </row>
    <row r="6731" spans="3:11" x14ac:dyDescent="0.3">
      <c r="C6731" s="30" t="s">
        <v>35</v>
      </c>
      <c r="D6731" s="31" t="s">
        <v>36</v>
      </c>
      <c r="E6731" s="32"/>
      <c r="F6731" s="33"/>
      <c r="G6731" s="34">
        <f>$M$9</f>
        <v>0.1</v>
      </c>
      <c r="H6731" s="19">
        <f>H6730*G6731</f>
        <v>8764</v>
      </c>
      <c r="I6731" s="47"/>
    </row>
    <row r="6732" spans="3:11" x14ac:dyDescent="0.3">
      <c r="C6732" s="30" t="s">
        <v>37</v>
      </c>
      <c r="D6732" s="31" t="s">
        <v>38</v>
      </c>
      <c r="E6732" s="32"/>
      <c r="F6732" s="32"/>
      <c r="G6732" s="33"/>
      <c r="H6732" s="48">
        <f>SUM(H6730:H6731)</f>
        <v>96404</v>
      </c>
      <c r="I6732" s="47"/>
    </row>
    <row r="6734" spans="3:11" x14ac:dyDescent="0.3">
      <c r="C6734" s="40" t="s">
        <v>1286</v>
      </c>
      <c r="D6734" s="68" t="s">
        <v>1287</v>
      </c>
      <c r="E6734" s="44"/>
      <c r="F6734" s="44"/>
      <c r="G6734" s="44"/>
      <c r="H6734" s="44"/>
      <c r="I6734" s="10">
        <f>ROUNDDOWN(H6749,0)</f>
        <v>229229</v>
      </c>
      <c r="J6734" s="15"/>
      <c r="K6734" s="39"/>
    </row>
    <row r="6735" spans="3:11" ht="27.6" x14ac:dyDescent="0.3">
      <c r="C6735" s="11" t="s">
        <v>9</v>
      </c>
      <c r="D6735" s="11" t="s">
        <v>10</v>
      </c>
      <c r="E6735" s="11" t="s">
        <v>11</v>
      </c>
      <c r="F6735" s="11" t="s">
        <v>12</v>
      </c>
      <c r="G6735" s="11" t="s">
        <v>13</v>
      </c>
      <c r="H6735" s="11" t="s">
        <v>14</v>
      </c>
    </row>
    <row r="6736" spans="3:11" x14ac:dyDescent="0.25">
      <c r="C6736" s="12" t="s">
        <v>15</v>
      </c>
      <c r="D6736" s="13" t="s">
        <v>16</v>
      </c>
      <c r="E6736" s="14"/>
      <c r="F6736" s="14"/>
      <c r="G6736" s="14"/>
      <c r="H6736" s="14"/>
    </row>
    <row r="6737" spans="3:11" x14ac:dyDescent="0.3">
      <c r="C6737" s="16">
        <v>1</v>
      </c>
      <c r="D6737" s="13" t="s">
        <v>18</v>
      </c>
      <c r="E6737" s="17" t="s">
        <v>19</v>
      </c>
      <c r="F6737" s="18">
        <v>6.4000000000000001E-2</v>
      </c>
      <c r="G6737" s="19">
        <f>VLOOKUP(D6737,upahbahan,3,FALSE)</f>
        <v>100000</v>
      </c>
      <c r="H6737" s="19">
        <f t="shared" ref="H6737:H6740" si="689">F6737*G6737</f>
        <v>6400</v>
      </c>
    </row>
    <row r="6738" spans="3:11" x14ac:dyDescent="0.3">
      <c r="C6738" s="16">
        <v>2</v>
      </c>
      <c r="D6738" s="13" t="s">
        <v>21</v>
      </c>
      <c r="E6738" s="17" t="s">
        <v>19</v>
      </c>
      <c r="F6738" s="18">
        <v>0.107</v>
      </c>
      <c r="G6738" s="19">
        <f>VLOOKUP(D6738,upahbahan,3,FALSE)</f>
        <v>145000</v>
      </c>
      <c r="H6738" s="19">
        <f t="shared" si="689"/>
        <v>15515</v>
      </c>
    </row>
    <row r="6739" spans="3:11" x14ac:dyDescent="0.3">
      <c r="C6739" s="16">
        <v>3</v>
      </c>
      <c r="D6739" s="13" t="s">
        <v>1224</v>
      </c>
      <c r="E6739" s="17" t="s">
        <v>19</v>
      </c>
      <c r="F6739" s="18">
        <v>1.0999999999999999E-2</v>
      </c>
      <c r="G6739" s="19">
        <f>VLOOKUP(D6739,upahbahan,3,FALSE)</f>
        <v>175000</v>
      </c>
      <c r="H6739" s="19">
        <f t="shared" si="689"/>
        <v>1925</v>
      </c>
    </row>
    <row r="6740" spans="3:11" x14ac:dyDescent="0.3">
      <c r="C6740" s="16">
        <v>4</v>
      </c>
      <c r="D6740" s="13" t="s">
        <v>23</v>
      </c>
      <c r="E6740" s="17" t="s">
        <v>19</v>
      </c>
      <c r="F6740" s="18">
        <v>4.0000000000000001E-3</v>
      </c>
      <c r="G6740" s="19">
        <f>VLOOKUP(D6740,upahbahan,3,FALSE)</f>
        <v>200000</v>
      </c>
      <c r="H6740" s="19">
        <f t="shared" si="689"/>
        <v>800</v>
      </c>
    </row>
    <row r="6741" spans="3:11" x14ac:dyDescent="0.3">
      <c r="C6741" s="21" t="s">
        <v>24</v>
      </c>
      <c r="D6741" s="22"/>
      <c r="E6741" s="22"/>
      <c r="F6741" s="54"/>
      <c r="G6741" s="24"/>
      <c r="H6741" s="19">
        <f>SUM(H6737:H6740)</f>
        <v>24640</v>
      </c>
      <c r="I6741" s="25"/>
    </row>
    <row r="6742" spans="3:11" x14ac:dyDescent="0.25">
      <c r="C6742" s="12" t="s">
        <v>25</v>
      </c>
      <c r="D6742" s="13" t="s">
        <v>26</v>
      </c>
      <c r="E6742" s="14"/>
      <c r="F6742" s="55"/>
      <c r="G6742" s="14"/>
      <c r="H6742" s="14"/>
    </row>
    <row r="6743" spans="3:11" ht="18" customHeight="1" x14ac:dyDescent="0.3">
      <c r="C6743" s="16">
        <v>1</v>
      </c>
      <c r="D6743" s="13" t="s">
        <v>1288</v>
      </c>
      <c r="E6743" s="17" t="s">
        <v>617</v>
      </c>
      <c r="F6743" s="18">
        <v>1.05</v>
      </c>
      <c r="G6743" s="19">
        <f>VLOOKUP(D6743,upahbahan,3,FALSE)</f>
        <v>175000</v>
      </c>
      <c r="H6743" s="19">
        <f t="shared" ref="H6743" si="690">F6743*G6743</f>
        <v>183750</v>
      </c>
    </row>
    <row r="6744" spans="3:11" x14ac:dyDescent="0.3">
      <c r="C6744" s="21" t="s">
        <v>29</v>
      </c>
      <c r="D6744" s="22"/>
      <c r="E6744" s="22"/>
      <c r="F6744" s="22"/>
      <c r="G6744" s="28"/>
      <c r="H6744" s="19">
        <f>SUM(H6742:H6743)</f>
        <v>183750</v>
      </c>
    </row>
    <row r="6745" spans="3:11" x14ac:dyDescent="0.25">
      <c r="C6745" s="12" t="s">
        <v>30</v>
      </c>
      <c r="D6745" s="13" t="s">
        <v>31</v>
      </c>
      <c r="E6745" s="14"/>
      <c r="F6745" s="14"/>
      <c r="G6745" s="14"/>
      <c r="H6745" s="14"/>
    </row>
    <row r="6746" spans="3:11" x14ac:dyDescent="0.3">
      <c r="C6746" s="21" t="s">
        <v>32</v>
      </c>
      <c r="D6746" s="77"/>
      <c r="E6746" s="77"/>
      <c r="F6746" s="77"/>
      <c r="G6746" s="28"/>
      <c r="H6746" s="29">
        <f>SUM(H6745:H6745)</f>
        <v>0</v>
      </c>
    </row>
    <row r="6747" spans="3:11" x14ac:dyDescent="0.3">
      <c r="C6747" s="30" t="s">
        <v>33</v>
      </c>
      <c r="D6747" s="31" t="s">
        <v>34</v>
      </c>
      <c r="E6747" s="32"/>
      <c r="F6747" s="32"/>
      <c r="G6747" s="33"/>
      <c r="H6747" s="46">
        <f>H6746+H6744+H6741</f>
        <v>208390</v>
      </c>
      <c r="I6747" s="47"/>
    </row>
    <row r="6748" spans="3:11" x14ac:dyDescent="0.3">
      <c r="C6748" s="30" t="s">
        <v>35</v>
      </c>
      <c r="D6748" s="31" t="s">
        <v>36</v>
      </c>
      <c r="E6748" s="32"/>
      <c r="F6748" s="33"/>
      <c r="G6748" s="34">
        <f>$M$9</f>
        <v>0.1</v>
      </c>
      <c r="H6748" s="19">
        <f>H6747*G6748</f>
        <v>20839</v>
      </c>
      <c r="I6748" s="47"/>
    </row>
    <row r="6749" spans="3:11" x14ac:dyDescent="0.3">
      <c r="C6749" s="30" t="s">
        <v>37</v>
      </c>
      <c r="D6749" s="31" t="s">
        <v>38</v>
      </c>
      <c r="E6749" s="32"/>
      <c r="F6749" s="32"/>
      <c r="G6749" s="33"/>
      <c r="H6749" s="48">
        <f>SUM(H6747:H6748)</f>
        <v>229229</v>
      </c>
      <c r="I6749" s="47"/>
    </row>
    <row r="6751" spans="3:11" x14ac:dyDescent="0.3">
      <c r="C6751" s="40" t="s">
        <v>1289</v>
      </c>
      <c r="D6751" s="68" t="s">
        <v>1290</v>
      </c>
      <c r="E6751" s="44"/>
      <c r="F6751" s="44"/>
      <c r="G6751" s="44"/>
      <c r="H6751" s="44"/>
      <c r="I6751" s="10">
        <f>ROUNDDOWN(H6766,0)</f>
        <v>183029</v>
      </c>
      <c r="J6751" s="15"/>
      <c r="K6751" s="39"/>
    </row>
    <row r="6752" spans="3:11" ht="27.6" x14ac:dyDescent="0.3">
      <c r="C6752" s="11" t="s">
        <v>9</v>
      </c>
      <c r="D6752" s="11" t="s">
        <v>10</v>
      </c>
      <c r="E6752" s="11" t="s">
        <v>11</v>
      </c>
      <c r="F6752" s="11" t="s">
        <v>12</v>
      </c>
      <c r="G6752" s="11" t="s">
        <v>13</v>
      </c>
      <c r="H6752" s="11" t="s">
        <v>14</v>
      </c>
    </row>
    <row r="6753" spans="3:11" x14ac:dyDescent="0.25">
      <c r="C6753" s="12" t="s">
        <v>15</v>
      </c>
      <c r="D6753" s="13" t="s">
        <v>16</v>
      </c>
      <c r="E6753" s="14"/>
      <c r="F6753" s="14"/>
      <c r="G6753" s="14"/>
      <c r="H6753" s="14"/>
    </row>
    <row r="6754" spans="3:11" x14ac:dyDescent="0.3">
      <c r="C6754" s="16">
        <v>1</v>
      </c>
      <c r="D6754" s="13" t="s">
        <v>18</v>
      </c>
      <c r="E6754" s="17" t="s">
        <v>19</v>
      </c>
      <c r="F6754" s="18">
        <v>6.4000000000000001E-2</v>
      </c>
      <c r="G6754" s="19">
        <f>VLOOKUP(D6754,upahbahan,3,FALSE)</f>
        <v>100000</v>
      </c>
      <c r="H6754" s="19">
        <f t="shared" ref="H6754:H6757" si="691">F6754*G6754</f>
        <v>6400</v>
      </c>
    </row>
    <row r="6755" spans="3:11" x14ac:dyDescent="0.3">
      <c r="C6755" s="16">
        <v>2</v>
      </c>
      <c r="D6755" s="13" t="s">
        <v>21</v>
      </c>
      <c r="E6755" s="17" t="s">
        <v>19</v>
      </c>
      <c r="F6755" s="18">
        <v>0.107</v>
      </c>
      <c r="G6755" s="19">
        <f>VLOOKUP(D6755,upahbahan,3,FALSE)</f>
        <v>145000</v>
      </c>
      <c r="H6755" s="19">
        <f t="shared" si="691"/>
        <v>15515</v>
      </c>
    </row>
    <row r="6756" spans="3:11" x14ac:dyDescent="0.3">
      <c r="C6756" s="16">
        <v>3</v>
      </c>
      <c r="D6756" s="13" t="s">
        <v>1224</v>
      </c>
      <c r="E6756" s="17" t="s">
        <v>19</v>
      </c>
      <c r="F6756" s="18">
        <v>1.0999999999999999E-2</v>
      </c>
      <c r="G6756" s="19">
        <f>VLOOKUP(D6756,upahbahan,3,FALSE)</f>
        <v>175000</v>
      </c>
      <c r="H6756" s="19">
        <f t="shared" si="691"/>
        <v>1925</v>
      </c>
    </row>
    <row r="6757" spans="3:11" x14ac:dyDescent="0.3">
      <c r="C6757" s="16">
        <v>4</v>
      </c>
      <c r="D6757" s="13" t="s">
        <v>23</v>
      </c>
      <c r="E6757" s="17" t="s">
        <v>19</v>
      </c>
      <c r="F6757" s="18">
        <v>4.0000000000000001E-3</v>
      </c>
      <c r="G6757" s="19">
        <f>VLOOKUP(D6757,upahbahan,3,FALSE)</f>
        <v>200000</v>
      </c>
      <c r="H6757" s="19">
        <f t="shared" si="691"/>
        <v>800</v>
      </c>
    </row>
    <row r="6758" spans="3:11" x14ac:dyDescent="0.3">
      <c r="C6758" s="21" t="s">
        <v>24</v>
      </c>
      <c r="D6758" s="22"/>
      <c r="E6758" s="22"/>
      <c r="F6758" s="54"/>
      <c r="G6758" s="24"/>
      <c r="H6758" s="19">
        <f>SUM(H6754:H6757)</f>
        <v>24640</v>
      </c>
      <c r="I6758" s="25"/>
    </row>
    <row r="6759" spans="3:11" x14ac:dyDescent="0.25">
      <c r="C6759" s="12" t="s">
        <v>25</v>
      </c>
      <c r="D6759" s="13" t="s">
        <v>26</v>
      </c>
      <c r="E6759" s="14"/>
      <c r="F6759" s="55"/>
      <c r="G6759" s="14"/>
      <c r="H6759" s="14"/>
    </row>
    <row r="6760" spans="3:11" ht="18" customHeight="1" x14ac:dyDescent="0.3">
      <c r="C6760" s="16">
        <v>1</v>
      </c>
      <c r="D6760" s="13" t="s">
        <v>1291</v>
      </c>
      <c r="E6760" s="17" t="s">
        <v>617</v>
      </c>
      <c r="F6760" s="18">
        <v>1.05</v>
      </c>
      <c r="G6760" s="19">
        <f>VLOOKUP(D6760,upahbahan,3,FALSE)</f>
        <v>135000</v>
      </c>
      <c r="H6760" s="19">
        <f t="shared" ref="H6760" si="692">F6760*G6760</f>
        <v>141750</v>
      </c>
    </row>
    <row r="6761" spans="3:11" x14ac:dyDescent="0.3">
      <c r="C6761" s="21" t="s">
        <v>29</v>
      </c>
      <c r="D6761" s="22"/>
      <c r="E6761" s="22"/>
      <c r="F6761" s="22"/>
      <c r="G6761" s="28"/>
      <c r="H6761" s="19">
        <f>SUM(H6759:H6760)</f>
        <v>141750</v>
      </c>
    </row>
    <row r="6762" spans="3:11" x14ac:dyDescent="0.25">
      <c r="C6762" s="12" t="s">
        <v>30</v>
      </c>
      <c r="D6762" s="13" t="s">
        <v>31</v>
      </c>
      <c r="E6762" s="14"/>
      <c r="F6762" s="14"/>
      <c r="G6762" s="14"/>
      <c r="H6762" s="14"/>
    </row>
    <row r="6763" spans="3:11" x14ac:dyDescent="0.3">
      <c r="C6763" s="21" t="s">
        <v>32</v>
      </c>
      <c r="D6763" s="77"/>
      <c r="E6763" s="77"/>
      <c r="F6763" s="77"/>
      <c r="G6763" s="28"/>
      <c r="H6763" s="29">
        <f>SUM(H6762:H6762)</f>
        <v>0</v>
      </c>
    </row>
    <row r="6764" spans="3:11" x14ac:dyDescent="0.3">
      <c r="C6764" s="30" t="s">
        <v>33</v>
      </c>
      <c r="D6764" s="31" t="s">
        <v>34</v>
      </c>
      <c r="E6764" s="32"/>
      <c r="F6764" s="32"/>
      <c r="G6764" s="33"/>
      <c r="H6764" s="46">
        <f>H6763+H6761+H6758</f>
        <v>166390</v>
      </c>
      <c r="I6764" s="47"/>
    </row>
    <row r="6765" spans="3:11" x14ac:dyDescent="0.3">
      <c r="C6765" s="30" t="s">
        <v>35</v>
      </c>
      <c r="D6765" s="31" t="s">
        <v>36</v>
      </c>
      <c r="E6765" s="32"/>
      <c r="F6765" s="33"/>
      <c r="G6765" s="34">
        <f>$M$9</f>
        <v>0.1</v>
      </c>
      <c r="H6765" s="19">
        <f>H6764*G6765</f>
        <v>16639</v>
      </c>
      <c r="I6765" s="47"/>
    </row>
    <row r="6766" spans="3:11" x14ac:dyDescent="0.3">
      <c r="C6766" s="30" t="s">
        <v>37</v>
      </c>
      <c r="D6766" s="31" t="s">
        <v>38</v>
      </c>
      <c r="E6766" s="32"/>
      <c r="F6766" s="32"/>
      <c r="G6766" s="33"/>
      <c r="H6766" s="48">
        <f>SUM(H6764:H6765)</f>
        <v>183029</v>
      </c>
      <c r="I6766" s="47"/>
    </row>
    <row r="6768" spans="3:11" x14ac:dyDescent="0.3">
      <c r="C6768" s="56" t="s">
        <v>1292</v>
      </c>
      <c r="D6768" s="69" t="s">
        <v>1293</v>
      </c>
      <c r="E6768" s="58"/>
      <c r="F6768" s="58"/>
      <c r="G6768" s="58"/>
      <c r="H6768" s="58"/>
      <c r="I6768" s="10">
        <f>ROUNDDOWN(H6783,0)</f>
        <v>125279</v>
      </c>
      <c r="J6768" s="15"/>
      <c r="K6768" s="39"/>
    </row>
    <row r="6769" spans="3:9" ht="27.6" x14ac:dyDescent="0.3">
      <c r="C6769" s="11" t="s">
        <v>9</v>
      </c>
      <c r="D6769" s="11" t="s">
        <v>10</v>
      </c>
      <c r="E6769" s="11" t="s">
        <v>11</v>
      </c>
      <c r="F6769" s="11" t="s">
        <v>12</v>
      </c>
      <c r="G6769" s="11" t="s">
        <v>13</v>
      </c>
      <c r="H6769" s="11" t="s">
        <v>14</v>
      </c>
    </row>
    <row r="6770" spans="3:9" x14ac:dyDescent="0.25">
      <c r="C6770" s="12" t="s">
        <v>15</v>
      </c>
      <c r="D6770" s="13" t="s">
        <v>16</v>
      </c>
      <c r="E6770" s="14"/>
      <c r="F6770" s="14"/>
      <c r="G6770" s="14"/>
      <c r="H6770" s="14"/>
    </row>
    <row r="6771" spans="3:9" x14ac:dyDescent="0.3">
      <c r="C6771" s="16">
        <v>1</v>
      </c>
      <c r="D6771" s="13" t="s">
        <v>18</v>
      </c>
      <c r="E6771" s="17" t="s">
        <v>19</v>
      </c>
      <c r="F6771" s="18">
        <v>6.4000000000000001E-2</v>
      </c>
      <c r="G6771" s="19">
        <f>VLOOKUP(D6771,upahbahan,3,FALSE)</f>
        <v>100000</v>
      </c>
      <c r="H6771" s="19">
        <f t="shared" ref="H6771:H6774" si="693">F6771*G6771</f>
        <v>6400</v>
      </c>
    </row>
    <row r="6772" spans="3:9" x14ac:dyDescent="0.3">
      <c r="C6772" s="16">
        <v>2</v>
      </c>
      <c r="D6772" s="13" t="s">
        <v>21</v>
      </c>
      <c r="E6772" s="17" t="s">
        <v>19</v>
      </c>
      <c r="F6772" s="18">
        <v>0.107</v>
      </c>
      <c r="G6772" s="19">
        <f>VLOOKUP(D6772,upahbahan,3,FALSE)</f>
        <v>145000</v>
      </c>
      <c r="H6772" s="19">
        <f t="shared" si="693"/>
        <v>15515</v>
      </c>
    </row>
    <row r="6773" spans="3:9" x14ac:dyDescent="0.3">
      <c r="C6773" s="16">
        <v>3</v>
      </c>
      <c r="D6773" s="13" t="s">
        <v>1224</v>
      </c>
      <c r="E6773" s="17" t="s">
        <v>19</v>
      </c>
      <c r="F6773" s="18">
        <v>1.0999999999999999E-2</v>
      </c>
      <c r="G6773" s="19">
        <f>VLOOKUP(D6773,upahbahan,3,FALSE)</f>
        <v>175000</v>
      </c>
      <c r="H6773" s="19">
        <f t="shared" si="693"/>
        <v>1925</v>
      </c>
    </row>
    <row r="6774" spans="3:9" x14ac:dyDescent="0.3">
      <c r="C6774" s="16">
        <v>4</v>
      </c>
      <c r="D6774" s="13" t="s">
        <v>23</v>
      </c>
      <c r="E6774" s="17" t="s">
        <v>19</v>
      </c>
      <c r="F6774" s="18">
        <v>4.0000000000000001E-3</v>
      </c>
      <c r="G6774" s="19">
        <f>VLOOKUP(D6774,upahbahan,3,FALSE)</f>
        <v>200000</v>
      </c>
      <c r="H6774" s="19">
        <f t="shared" si="693"/>
        <v>800</v>
      </c>
    </row>
    <row r="6775" spans="3:9" x14ac:dyDescent="0.3">
      <c r="C6775" s="21" t="s">
        <v>24</v>
      </c>
      <c r="D6775" s="22"/>
      <c r="E6775" s="22"/>
      <c r="F6775" s="54"/>
      <c r="G6775" s="24"/>
      <c r="H6775" s="19">
        <f>SUM(H6771:H6774)</f>
        <v>24640</v>
      </c>
      <c r="I6775" s="25"/>
    </row>
    <row r="6776" spans="3:9" x14ac:dyDescent="0.25">
      <c r="C6776" s="12" t="s">
        <v>25</v>
      </c>
      <c r="D6776" s="13" t="s">
        <v>26</v>
      </c>
      <c r="E6776" s="14"/>
      <c r="F6776" s="55"/>
      <c r="G6776" s="14"/>
      <c r="H6776" s="14"/>
    </row>
    <row r="6777" spans="3:9" ht="18" customHeight="1" x14ac:dyDescent="0.3">
      <c r="C6777" s="16">
        <v>1</v>
      </c>
      <c r="D6777" s="13" t="s">
        <v>1294</v>
      </c>
      <c r="E6777" s="17" t="s">
        <v>617</v>
      </c>
      <c r="F6777" s="18">
        <v>1.05</v>
      </c>
      <c r="G6777" s="19">
        <f>VLOOKUP(D6777,upahbahan,3,FALSE)</f>
        <v>85000</v>
      </c>
      <c r="H6777" s="19">
        <f t="shared" ref="H6777" si="694">F6777*G6777</f>
        <v>89250</v>
      </c>
    </row>
    <row r="6778" spans="3:9" x14ac:dyDescent="0.3">
      <c r="C6778" s="21" t="s">
        <v>29</v>
      </c>
      <c r="D6778" s="22"/>
      <c r="E6778" s="22"/>
      <c r="F6778" s="22"/>
      <c r="G6778" s="28"/>
      <c r="H6778" s="19">
        <f>SUM(H6776:H6777)</f>
        <v>89250</v>
      </c>
    </row>
    <row r="6779" spans="3:9" x14ac:dyDescent="0.25">
      <c r="C6779" s="12" t="s">
        <v>30</v>
      </c>
      <c r="D6779" s="13" t="s">
        <v>31</v>
      </c>
      <c r="E6779" s="14"/>
      <c r="F6779" s="14"/>
      <c r="G6779" s="14"/>
      <c r="H6779" s="14"/>
    </row>
    <row r="6780" spans="3:9" x14ac:dyDescent="0.3">
      <c r="C6780" s="21" t="s">
        <v>32</v>
      </c>
      <c r="D6780" s="77"/>
      <c r="E6780" s="77"/>
      <c r="F6780" s="77"/>
      <c r="G6780" s="28"/>
      <c r="H6780" s="29">
        <f>SUM(H6779:H6779)</f>
        <v>0</v>
      </c>
    </row>
    <row r="6781" spans="3:9" x14ac:dyDescent="0.3">
      <c r="C6781" s="30" t="s">
        <v>33</v>
      </c>
      <c r="D6781" s="31" t="s">
        <v>34</v>
      </c>
      <c r="E6781" s="32"/>
      <c r="F6781" s="32"/>
      <c r="G6781" s="33"/>
      <c r="H6781" s="46">
        <f>H6780+H6778+H6775</f>
        <v>113890</v>
      </c>
      <c r="I6781" s="47"/>
    </row>
    <row r="6782" spans="3:9" x14ac:dyDescent="0.3">
      <c r="C6782" s="30" t="s">
        <v>35</v>
      </c>
      <c r="D6782" s="31" t="s">
        <v>36</v>
      </c>
      <c r="E6782" s="32"/>
      <c r="F6782" s="33"/>
      <c r="G6782" s="34">
        <f>$M$9</f>
        <v>0.1</v>
      </c>
      <c r="H6782" s="19">
        <f>H6781*G6782</f>
        <v>11389</v>
      </c>
      <c r="I6782" s="47"/>
    </row>
    <row r="6783" spans="3:9" x14ac:dyDescent="0.3">
      <c r="C6783" s="30" t="s">
        <v>37</v>
      </c>
      <c r="D6783" s="31" t="s">
        <v>38</v>
      </c>
      <c r="E6783" s="32"/>
      <c r="F6783" s="32"/>
      <c r="G6783" s="33"/>
      <c r="H6783" s="48">
        <f>SUM(H6781:H6782)</f>
        <v>125279</v>
      </c>
      <c r="I6783" s="47"/>
    </row>
    <row r="6785" spans="3:11" x14ac:dyDescent="0.3">
      <c r="C6785" s="40" t="s">
        <v>1295</v>
      </c>
      <c r="D6785" s="68" t="s">
        <v>1296</v>
      </c>
      <c r="E6785" s="44"/>
      <c r="F6785" s="44"/>
      <c r="G6785" s="44"/>
      <c r="H6785" s="44"/>
      <c r="I6785" s="10">
        <f>ROUNDDOWN(H6806,0)</f>
        <v>186925</v>
      </c>
      <c r="J6785" s="15"/>
      <c r="K6785" s="39"/>
    </row>
    <row r="6786" spans="3:11" ht="27.6" x14ac:dyDescent="0.3">
      <c r="C6786" s="11" t="s">
        <v>9</v>
      </c>
      <c r="D6786" s="11" t="s">
        <v>10</v>
      </c>
      <c r="E6786" s="11" t="s">
        <v>11</v>
      </c>
      <c r="F6786" s="11" t="s">
        <v>12</v>
      </c>
      <c r="G6786" s="11" t="s">
        <v>13</v>
      </c>
      <c r="H6786" s="11" t="s">
        <v>14</v>
      </c>
    </row>
    <row r="6787" spans="3:11" x14ac:dyDescent="0.25">
      <c r="C6787" s="12" t="s">
        <v>15</v>
      </c>
      <c r="D6787" s="13" t="s">
        <v>16</v>
      </c>
      <c r="E6787" s="14"/>
      <c r="F6787" s="14"/>
      <c r="G6787" s="14"/>
      <c r="H6787" s="14"/>
    </row>
    <row r="6788" spans="3:11" x14ac:dyDescent="0.3">
      <c r="C6788" s="16">
        <v>1</v>
      </c>
      <c r="D6788" s="13" t="s">
        <v>18</v>
      </c>
      <c r="E6788" s="17" t="s">
        <v>19</v>
      </c>
      <c r="F6788" s="18">
        <v>0.19</v>
      </c>
      <c r="G6788" s="19">
        <f>VLOOKUP(D6788,upahbahan,3,FALSE)</f>
        <v>100000</v>
      </c>
      <c r="H6788" s="19">
        <f t="shared" ref="H6788:H6791" si="695">F6788*G6788</f>
        <v>19000</v>
      </c>
    </row>
    <row r="6789" spans="3:11" x14ac:dyDescent="0.3">
      <c r="C6789" s="16">
        <v>2</v>
      </c>
      <c r="D6789" s="13" t="s">
        <v>21</v>
      </c>
      <c r="E6789" s="17" t="s">
        <v>19</v>
      </c>
      <c r="F6789" s="18">
        <v>0.318</v>
      </c>
      <c r="G6789" s="19">
        <f>VLOOKUP(D6789,upahbahan,3,FALSE)</f>
        <v>145000</v>
      </c>
      <c r="H6789" s="19">
        <f t="shared" si="695"/>
        <v>46110</v>
      </c>
    </row>
    <row r="6790" spans="3:11" x14ac:dyDescent="0.3">
      <c r="C6790" s="16">
        <v>3</v>
      </c>
      <c r="D6790" s="13" t="s">
        <v>1224</v>
      </c>
      <c r="E6790" s="17" t="s">
        <v>19</v>
      </c>
      <c r="F6790" s="18">
        <v>3.2000000000000001E-2</v>
      </c>
      <c r="G6790" s="19">
        <f>VLOOKUP(D6790,upahbahan,3,FALSE)</f>
        <v>175000</v>
      </c>
      <c r="H6790" s="19">
        <f t="shared" si="695"/>
        <v>5600</v>
      </c>
    </row>
    <row r="6791" spans="3:11" x14ac:dyDescent="0.3">
      <c r="C6791" s="16">
        <v>4</v>
      </c>
      <c r="D6791" s="13" t="s">
        <v>23</v>
      </c>
      <c r="E6791" s="17" t="s">
        <v>19</v>
      </c>
      <c r="F6791" s="18">
        <v>1.0999999999999999E-2</v>
      </c>
      <c r="G6791" s="19">
        <f>VLOOKUP(D6791,upahbahan,3,FALSE)</f>
        <v>200000</v>
      </c>
      <c r="H6791" s="19">
        <f t="shared" si="695"/>
        <v>2200</v>
      </c>
    </row>
    <row r="6792" spans="3:11" x14ac:dyDescent="0.3">
      <c r="C6792" s="21" t="s">
        <v>24</v>
      </c>
      <c r="D6792" s="22"/>
      <c r="E6792" s="22"/>
      <c r="F6792" s="54"/>
      <c r="G6792" s="24"/>
      <c r="H6792" s="19">
        <f>SUM(H6788:H6791)</f>
        <v>72910</v>
      </c>
      <c r="I6792" s="25"/>
    </row>
    <row r="6793" spans="3:11" x14ac:dyDescent="0.25">
      <c r="C6793" s="12" t="s">
        <v>25</v>
      </c>
      <c r="D6793" s="13" t="s">
        <v>26</v>
      </c>
      <c r="E6793" s="14"/>
      <c r="F6793" s="55"/>
      <c r="G6793" s="14"/>
      <c r="H6793" s="14"/>
    </row>
    <row r="6794" spans="3:11" x14ac:dyDescent="0.25">
      <c r="C6794" s="12">
        <v>1</v>
      </c>
      <c r="D6794" s="13" t="s">
        <v>1297</v>
      </c>
      <c r="E6794" s="53" t="s">
        <v>974</v>
      </c>
      <c r="F6794" s="115">
        <v>8.8000000000000007</v>
      </c>
      <c r="G6794" s="19">
        <f t="shared" ref="G6794:G6800" si="696">VLOOKUP(D6794,upahbahan,3,FALSE)</f>
        <v>4500</v>
      </c>
      <c r="H6794" s="19">
        <f t="shared" ref="H6794:H6800" si="697">F6794*G6794</f>
        <v>39600</v>
      </c>
    </row>
    <row r="6795" spans="3:11" x14ac:dyDescent="0.25">
      <c r="C6795" s="12">
        <v>2</v>
      </c>
      <c r="D6795" s="13" t="s">
        <v>975</v>
      </c>
      <c r="E6795" s="53" t="s">
        <v>974</v>
      </c>
      <c r="F6795" s="115">
        <v>8.8000000000000007</v>
      </c>
      <c r="G6795" s="19">
        <f t="shared" si="696"/>
        <v>4000</v>
      </c>
      <c r="H6795" s="19">
        <f t="shared" si="697"/>
        <v>35200</v>
      </c>
    </row>
    <row r="6796" spans="3:11" x14ac:dyDescent="0.25">
      <c r="C6796" s="12">
        <v>3</v>
      </c>
      <c r="D6796" s="13" t="s">
        <v>976</v>
      </c>
      <c r="E6796" s="53" t="s">
        <v>506</v>
      </c>
      <c r="F6796" s="115">
        <v>1</v>
      </c>
      <c r="G6796" s="19">
        <f t="shared" si="696"/>
        <v>4000</v>
      </c>
      <c r="H6796" s="19">
        <f t="shared" si="697"/>
        <v>4000</v>
      </c>
    </row>
    <row r="6797" spans="3:11" x14ac:dyDescent="0.25">
      <c r="C6797" s="12">
        <v>4</v>
      </c>
      <c r="D6797" s="13" t="s">
        <v>977</v>
      </c>
      <c r="E6797" s="53" t="s">
        <v>506</v>
      </c>
      <c r="F6797" s="115">
        <v>5</v>
      </c>
      <c r="G6797" s="19">
        <f t="shared" si="696"/>
        <v>700</v>
      </c>
      <c r="H6797" s="19">
        <f t="shared" si="697"/>
        <v>3500</v>
      </c>
    </row>
    <row r="6798" spans="3:11" x14ac:dyDescent="0.25">
      <c r="C6798" s="12">
        <v>5</v>
      </c>
      <c r="D6798" s="13" t="s">
        <v>1103</v>
      </c>
      <c r="E6798" s="53" t="s">
        <v>506</v>
      </c>
      <c r="F6798" s="115">
        <v>10</v>
      </c>
      <c r="G6798" s="19">
        <f t="shared" si="696"/>
        <v>900</v>
      </c>
      <c r="H6798" s="19">
        <f t="shared" si="697"/>
        <v>9000</v>
      </c>
    </row>
    <row r="6799" spans="3:11" x14ac:dyDescent="0.25">
      <c r="C6799" s="12">
        <v>6</v>
      </c>
      <c r="D6799" s="13" t="s">
        <v>1104</v>
      </c>
      <c r="E6799" s="53" t="s">
        <v>506</v>
      </c>
      <c r="F6799" s="115">
        <v>1</v>
      </c>
      <c r="G6799" s="19">
        <f t="shared" si="696"/>
        <v>5400</v>
      </c>
      <c r="H6799" s="19">
        <f t="shared" si="697"/>
        <v>5400</v>
      </c>
    </row>
    <row r="6800" spans="3:11" x14ac:dyDescent="0.25">
      <c r="C6800" s="12">
        <v>7</v>
      </c>
      <c r="D6800" s="13" t="s">
        <v>979</v>
      </c>
      <c r="E6800" s="53" t="s">
        <v>506</v>
      </c>
      <c r="F6800" s="115">
        <v>15</v>
      </c>
      <c r="G6800" s="19">
        <f t="shared" si="696"/>
        <v>21.5</v>
      </c>
      <c r="H6800" s="19">
        <f t="shared" si="697"/>
        <v>322.5</v>
      </c>
    </row>
    <row r="6801" spans="3:11" x14ac:dyDescent="0.3">
      <c r="C6801" s="21" t="s">
        <v>29</v>
      </c>
      <c r="D6801" s="22"/>
      <c r="E6801" s="22"/>
      <c r="F6801" s="22"/>
      <c r="G6801" s="28"/>
      <c r="H6801" s="19">
        <f>SUM(H6793:H6800)</f>
        <v>97022.5</v>
      </c>
    </row>
    <row r="6802" spans="3:11" x14ac:dyDescent="0.25">
      <c r="C6802" s="12" t="s">
        <v>30</v>
      </c>
      <c r="D6802" s="13" t="s">
        <v>31</v>
      </c>
      <c r="E6802" s="14"/>
      <c r="F6802" s="14"/>
      <c r="G6802" s="14"/>
      <c r="H6802" s="14"/>
    </row>
    <row r="6803" spans="3:11" x14ac:dyDescent="0.3">
      <c r="C6803" s="21" t="s">
        <v>32</v>
      </c>
      <c r="D6803" s="77"/>
      <c r="E6803" s="77"/>
      <c r="F6803" s="77"/>
      <c r="G6803" s="28"/>
      <c r="H6803" s="29">
        <f>SUM(H6802:H6802)</f>
        <v>0</v>
      </c>
    </row>
    <row r="6804" spans="3:11" x14ac:dyDescent="0.3">
      <c r="C6804" s="30" t="s">
        <v>33</v>
      </c>
      <c r="D6804" s="31" t="s">
        <v>34</v>
      </c>
      <c r="E6804" s="32"/>
      <c r="F6804" s="32"/>
      <c r="G6804" s="33"/>
      <c r="H6804" s="46">
        <f>H6803+H6801+H6792</f>
        <v>169932.5</v>
      </c>
      <c r="I6804" s="47"/>
    </row>
    <row r="6805" spans="3:11" x14ac:dyDescent="0.3">
      <c r="C6805" s="30" t="s">
        <v>35</v>
      </c>
      <c r="D6805" s="31" t="s">
        <v>36</v>
      </c>
      <c r="E6805" s="32"/>
      <c r="F6805" s="33"/>
      <c r="G6805" s="34">
        <f>$M$9</f>
        <v>0.1</v>
      </c>
      <c r="H6805" s="19">
        <f>H6804*G6805</f>
        <v>16993.25</v>
      </c>
      <c r="I6805" s="47"/>
    </row>
    <row r="6806" spans="3:11" x14ac:dyDescent="0.3">
      <c r="C6806" s="30" t="s">
        <v>37</v>
      </c>
      <c r="D6806" s="31" t="s">
        <v>38</v>
      </c>
      <c r="E6806" s="32"/>
      <c r="F6806" s="32"/>
      <c r="G6806" s="33"/>
      <c r="H6806" s="48">
        <f>SUM(H6804:H6805)</f>
        <v>186925.75</v>
      </c>
      <c r="I6806" s="47"/>
    </row>
    <row r="6808" spans="3:11" x14ac:dyDescent="0.3">
      <c r="C6808" s="40" t="s">
        <v>1298</v>
      </c>
      <c r="D6808" s="68" t="s">
        <v>1299</v>
      </c>
      <c r="E6808" s="44"/>
      <c r="F6808" s="44"/>
      <c r="G6808" s="44"/>
      <c r="H6808" s="44"/>
      <c r="I6808" s="10">
        <f>ROUNDDOWN(H6829,0)</f>
        <v>232421</v>
      </c>
      <c r="J6808" s="15"/>
      <c r="K6808" s="39"/>
    </row>
    <row r="6809" spans="3:11" ht="27.6" x14ac:dyDescent="0.3">
      <c r="C6809" s="11" t="s">
        <v>9</v>
      </c>
      <c r="D6809" s="11" t="s">
        <v>10</v>
      </c>
      <c r="E6809" s="11" t="s">
        <v>11</v>
      </c>
      <c r="F6809" s="11" t="s">
        <v>12</v>
      </c>
      <c r="G6809" s="11" t="s">
        <v>13</v>
      </c>
      <c r="H6809" s="11" t="s">
        <v>14</v>
      </c>
    </row>
    <row r="6810" spans="3:11" x14ac:dyDescent="0.25">
      <c r="C6810" s="12" t="s">
        <v>15</v>
      </c>
      <c r="D6810" s="13" t="s">
        <v>16</v>
      </c>
      <c r="E6810" s="14"/>
      <c r="F6810" s="14"/>
      <c r="G6810" s="14"/>
      <c r="H6810" s="14"/>
    </row>
    <row r="6811" spans="3:11" x14ac:dyDescent="0.3">
      <c r="C6811" s="16">
        <v>1</v>
      </c>
      <c r="D6811" s="13" t="s">
        <v>18</v>
      </c>
      <c r="E6811" s="17" t="s">
        <v>19</v>
      </c>
      <c r="F6811" s="18">
        <v>0.19</v>
      </c>
      <c r="G6811" s="19">
        <f>VLOOKUP(D6811,upahbahan,3,FALSE)</f>
        <v>100000</v>
      </c>
      <c r="H6811" s="19">
        <f t="shared" ref="H6811:H6814" si="698">F6811*G6811</f>
        <v>19000</v>
      </c>
    </row>
    <row r="6812" spans="3:11" x14ac:dyDescent="0.3">
      <c r="C6812" s="16">
        <v>2</v>
      </c>
      <c r="D6812" s="13" t="s">
        <v>21</v>
      </c>
      <c r="E6812" s="17" t="s">
        <v>19</v>
      </c>
      <c r="F6812" s="18">
        <v>0.318</v>
      </c>
      <c r="G6812" s="19">
        <f>VLOOKUP(D6812,upahbahan,3,FALSE)</f>
        <v>145000</v>
      </c>
      <c r="H6812" s="19">
        <f t="shared" si="698"/>
        <v>46110</v>
      </c>
    </row>
    <row r="6813" spans="3:11" x14ac:dyDescent="0.3">
      <c r="C6813" s="16">
        <v>3</v>
      </c>
      <c r="D6813" s="13" t="s">
        <v>1224</v>
      </c>
      <c r="E6813" s="17" t="s">
        <v>19</v>
      </c>
      <c r="F6813" s="18">
        <v>3.2000000000000001E-2</v>
      </c>
      <c r="G6813" s="19">
        <f>VLOOKUP(D6813,upahbahan,3,FALSE)</f>
        <v>175000</v>
      </c>
      <c r="H6813" s="19">
        <f t="shared" si="698"/>
        <v>5600</v>
      </c>
    </row>
    <row r="6814" spans="3:11" x14ac:dyDescent="0.3">
      <c r="C6814" s="16">
        <v>4</v>
      </c>
      <c r="D6814" s="13" t="s">
        <v>23</v>
      </c>
      <c r="E6814" s="17" t="s">
        <v>19</v>
      </c>
      <c r="F6814" s="18">
        <v>1.0999999999999999E-2</v>
      </c>
      <c r="G6814" s="19">
        <f>VLOOKUP(D6814,upahbahan,3,FALSE)</f>
        <v>200000</v>
      </c>
      <c r="H6814" s="19">
        <f t="shared" si="698"/>
        <v>2200</v>
      </c>
    </row>
    <row r="6815" spans="3:11" x14ac:dyDescent="0.3">
      <c r="C6815" s="21" t="s">
        <v>24</v>
      </c>
      <c r="D6815" s="22"/>
      <c r="E6815" s="22"/>
      <c r="F6815" s="54"/>
      <c r="G6815" s="24"/>
      <c r="H6815" s="19">
        <f>SUM(H6811:H6814)</f>
        <v>72910</v>
      </c>
      <c r="I6815" s="25"/>
    </row>
    <row r="6816" spans="3:11" x14ac:dyDescent="0.25">
      <c r="C6816" s="12" t="s">
        <v>25</v>
      </c>
      <c r="D6816" s="13" t="s">
        <v>26</v>
      </c>
      <c r="E6816" s="14"/>
      <c r="F6816" s="55"/>
      <c r="G6816" s="14"/>
      <c r="H6816" s="14"/>
    </row>
    <row r="6817" spans="3:11" x14ac:dyDescent="0.25">
      <c r="C6817" s="12">
        <v>1</v>
      </c>
      <c r="D6817" s="13" t="s">
        <v>203</v>
      </c>
      <c r="E6817" s="53" t="s">
        <v>974</v>
      </c>
      <c r="F6817" s="115">
        <v>8.8000000000000007</v>
      </c>
      <c r="G6817" s="19">
        <f t="shared" ref="G6817:G6823" si="699">VLOOKUP(D6817,upahbahan,3,FALSE)</f>
        <v>9200</v>
      </c>
      <c r="H6817" s="19">
        <f t="shared" ref="H6817:H6823" si="700">F6817*G6817</f>
        <v>80960</v>
      </c>
    </row>
    <row r="6818" spans="3:11" x14ac:dyDescent="0.25">
      <c r="C6818" s="12">
        <v>2</v>
      </c>
      <c r="D6818" s="13" t="s">
        <v>975</v>
      </c>
      <c r="E6818" s="53" t="s">
        <v>974</v>
      </c>
      <c r="F6818" s="115">
        <v>8.8000000000000007</v>
      </c>
      <c r="G6818" s="19">
        <f t="shared" si="699"/>
        <v>4000</v>
      </c>
      <c r="H6818" s="19">
        <f t="shared" si="700"/>
        <v>35200</v>
      </c>
    </row>
    <row r="6819" spans="3:11" x14ac:dyDescent="0.25">
      <c r="C6819" s="12">
        <v>3</v>
      </c>
      <c r="D6819" s="13" t="s">
        <v>976</v>
      </c>
      <c r="E6819" s="53" t="s">
        <v>506</v>
      </c>
      <c r="F6819" s="115">
        <v>1</v>
      </c>
      <c r="G6819" s="19">
        <f t="shared" si="699"/>
        <v>4000</v>
      </c>
      <c r="H6819" s="19">
        <f t="shared" si="700"/>
        <v>4000</v>
      </c>
    </row>
    <row r="6820" spans="3:11" x14ac:dyDescent="0.25">
      <c r="C6820" s="12">
        <v>4</v>
      </c>
      <c r="D6820" s="13" t="s">
        <v>977</v>
      </c>
      <c r="E6820" s="53" t="s">
        <v>506</v>
      </c>
      <c r="F6820" s="115">
        <v>5</v>
      </c>
      <c r="G6820" s="19">
        <f t="shared" si="699"/>
        <v>700</v>
      </c>
      <c r="H6820" s="19">
        <f t="shared" si="700"/>
        <v>3500</v>
      </c>
    </row>
    <row r="6821" spans="3:11" x14ac:dyDescent="0.25">
      <c r="C6821" s="12">
        <v>5</v>
      </c>
      <c r="D6821" s="13" t="s">
        <v>1103</v>
      </c>
      <c r="E6821" s="53" t="s">
        <v>506</v>
      </c>
      <c r="F6821" s="115">
        <v>10</v>
      </c>
      <c r="G6821" s="19">
        <f t="shared" si="699"/>
        <v>900</v>
      </c>
      <c r="H6821" s="19">
        <f t="shared" si="700"/>
        <v>9000</v>
      </c>
    </row>
    <row r="6822" spans="3:11" x14ac:dyDescent="0.25">
      <c r="C6822" s="12">
        <v>6</v>
      </c>
      <c r="D6822" s="13" t="s">
        <v>1104</v>
      </c>
      <c r="E6822" s="53" t="s">
        <v>506</v>
      </c>
      <c r="F6822" s="115">
        <v>1</v>
      </c>
      <c r="G6822" s="19">
        <f t="shared" si="699"/>
        <v>5400</v>
      </c>
      <c r="H6822" s="19">
        <f t="shared" si="700"/>
        <v>5400</v>
      </c>
    </row>
    <row r="6823" spans="3:11" x14ac:dyDescent="0.25">
      <c r="C6823" s="12">
        <v>7</v>
      </c>
      <c r="D6823" s="13" t="s">
        <v>979</v>
      </c>
      <c r="E6823" s="53" t="s">
        <v>506</v>
      </c>
      <c r="F6823" s="115">
        <v>15</v>
      </c>
      <c r="G6823" s="19">
        <f t="shared" si="699"/>
        <v>21.5</v>
      </c>
      <c r="H6823" s="19">
        <f t="shared" si="700"/>
        <v>322.5</v>
      </c>
    </row>
    <row r="6824" spans="3:11" x14ac:dyDescent="0.3">
      <c r="C6824" s="21" t="s">
        <v>29</v>
      </c>
      <c r="D6824" s="22"/>
      <c r="E6824" s="22"/>
      <c r="F6824" s="22"/>
      <c r="G6824" s="28"/>
      <c r="H6824" s="19">
        <f>SUM(H6816:H6823)</f>
        <v>138382.5</v>
      </c>
    </row>
    <row r="6825" spans="3:11" x14ac:dyDescent="0.25">
      <c r="C6825" s="12" t="s">
        <v>30</v>
      </c>
      <c r="D6825" s="13" t="s">
        <v>31</v>
      </c>
      <c r="E6825" s="14"/>
      <c r="F6825" s="14"/>
      <c r="G6825" s="14"/>
      <c r="H6825" s="14"/>
    </row>
    <row r="6826" spans="3:11" x14ac:dyDescent="0.3">
      <c r="C6826" s="21" t="s">
        <v>32</v>
      </c>
      <c r="D6826" s="77"/>
      <c r="E6826" s="77"/>
      <c r="F6826" s="77"/>
      <c r="G6826" s="28"/>
      <c r="H6826" s="29">
        <f>SUM(H6825:H6825)</f>
        <v>0</v>
      </c>
    </row>
    <row r="6827" spans="3:11" x14ac:dyDescent="0.3">
      <c r="C6827" s="30" t="s">
        <v>33</v>
      </c>
      <c r="D6827" s="31" t="s">
        <v>34</v>
      </c>
      <c r="E6827" s="32"/>
      <c r="F6827" s="32"/>
      <c r="G6827" s="33"/>
      <c r="H6827" s="46">
        <f>H6826+H6824+H6815</f>
        <v>211292.5</v>
      </c>
      <c r="I6827" s="47"/>
    </row>
    <row r="6828" spans="3:11" x14ac:dyDescent="0.3">
      <c r="C6828" s="30" t="s">
        <v>35</v>
      </c>
      <c r="D6828" s="31" t="s">
        <v>36</v>
      </c>
      <c r="E6828" s="32"/>
      <c r="F6828" s="33"/>
      <c r="G6828" s="34">
        <f>$M$9</f>
        <v>0.1</v>
      </c>
      <c r="H6828" s="19">
        <f>H6827*G6828</f>
        <v>21129.25</v>
      </c>
      <c r="I6828" s="47"/>
    </row>
    <row r="6829" spans="3:11" x14ac:dyDescent="0.3">
      <c r="C6829" s="30" t="s">
        <v>37</v>
      </c>
      <c r="D6829" s="31" t="s">
        <v>38</v>
      </c>
      <c r="E6829" s="32"/>
      <c r="F6829" s="32"/>
      <c r="G6829" s="33"/>
      <c r="H6829" s="48">
        <f>SUM(H6827:H6828)</f>
        <v>232421.75</v>
      </c>
      <c r="I6829" s="47"/>
    </row>
    <row r="6832" spans="3:11" x14ac:dyDescent="0.3">
      <c r="C6832" s="56" t="s">
        <v>1300</v>
      </c>
      <c r="D6832" s="69" t="s">
        <v>1301</v>
      </c>
      <c r="E6832" s="58"/>
      <c r="F6832" s="58"/>
      <c r="G6832" s="58"/>
      <c r="H6832" s="58"/>
      <c r="I6832" s="10">
        <f>ROUNDDOWN(H6853,0)</f>
        <v>355509</v>
      </c>
      <c r="J6832" s="15"/>
      <c r="K6832" s="39"/>
    </row>
    <row r="6833" spans="3:9" ht="27.6" x14ac:dyDescent="0.3">
      <c r="C6833" s="11" t="s">
        <v>9</v>
      </c>
      <c r="D6833" s="11" t="s">
        <v>10</v>
      </c>
      <c r="E6833" s="11" t="s">
        <v>11</v>
      </c>
      <c r="F6833" s="11" t="s">
        <v>12</v>
      </c>
      <c r="G6833" s="11" t="s">
        <v>13</v>
      </c>
      <c r="H6833" s="11" t="s">
        <v>14</v>
      </c>
    </row>
    <row r="6834" spans="3:9" x14ac:dyDescent="0.25">
      <c r="C6834" s="12" t="s">
        <v>15</v>
      </c>
      <c r="D6834" s="13" t="s">
        <v>16</v>
      </c>
      <c r="E6834" s="14"/>
      <c r="F6834" s="14"/>
      <c r="G6834" s="14"/>
      <c r="H6834" s="14"/>
    </row>
    <row r="6835" spans="3:9" x14ac:dyDescent="0.3">
      <c r="C6835" s="16">
        <v>1</v>
      </c>
      <c r="D6835" s="13" t="s">
        <v>18</v>
      </c>
      <c r="E6835" s="17" t="s">
        <v>19</v>
      </c>
      <c r="F6835" s="18">
        <v>0.19</v>
      </c>
      <c r="G6835" s="19">
        <f>VLOOKUP(D6835,upahbahan,3,FALSE)</f>
        <v>100000</v>
      </c>
      <c r="H6835" s="19">
        <f t="shared" ref="H6835:H6838" si="701">F6835*G6835</f>
        <v>19000</v>
      </c>
    </row>
    <row r="6836" spans="3:9" x14ac:dyDescent="0.3">
      <c r="C6836" s="16">
        <v>2</v>
      </c>
      <c r="D6836" s="13" t="s">
        <v>21</v>
      </c>
      <c r="E6836" s="17" t="s">
        <v>19</v>
      </c>
      <c r="F6836" s="18">
        <v>0.318</v>
      </c>
      <c r="G6836" s="19">
        <f>VLOOKUP(D6836,upahbahan,3,FALSE)</f>
        <v>145000</v>
      </c>
      <c r="H6836" s="19">
        <f t="shared" si="701"/>
        <v>46110</v>
      </c>
    </row>
    <row r="6837" spans="3:9" x14ac:dyDescent="0.3">
      <c r="C6837" s="16">
        <v>3</v>
      </c>
      <c r="D6837" s="13" t="s">
        <v>1224</v>
      </c>
      <c r="E6837" s="17" t="s">
        <v>19</v>
      </c>
      <c r="F6837" s="18">
        <v>3.2000000000000001E-2</v>
      </c>
      <c r="G6837" s="19">
        <f>VLOOKUP(D6837,upahbahan,3,FALSE)</f>
        <v>175000</v>
      </c>
      <c r="H6837" s="19">
        <f t="shared" si="701"/>
        <v>5600</v>
      </c>
    </row>
    <row r="6838" spans="3:9" x14ac:dyDescent="0.3">
      <c r="C6838" s="16">
        <v>4</v>
      </c>
      <c r="D6838" s="13" t="s">
        <v>23</v>
      </c>
      <c r="E6838" s="17" t="s">
        <v>19</v>
      </c>
      <c r="F6838" s="18">
        <v>1.0999999999999999E-2</v>
      </c>
      <c r="G6838" s="19">
        <f>VLOOKUP(D6838,upahbahan,3,FALSE)</f>
        <v>200000</v>
      </c>
      <c r="H6838" s="19">
        <f t="shared" si="701"/>
        <v>2200</v>
      </c>
    </row>
    <row r="6839" spans="3:9" x14ac:dyDescent="0.3">
      <c r="C6839" s="21" t="s">
        <v>24</v>
      </c>
      <c r="D6839" s="22"/>
      <c r="E6839" s="22"/>
      <c r="F6839" s="54"/>
      <c r="G6839" s="24"/>
      <c r="H6839" s="19">
        <f>SUM(H6835:H6838)</f>
        <v>72910</v>
      </c>
      <c r="I6839" s="25"/>
    </row>
    <row r="6840" spans="3:9" x14ac:dyDescent="0.25">
      <c r="C6840" s="12" t="s">
        <v>25</v>
      </c>
      <c r="D6840" s="13" t="s">
        <v>26</v>
      </c>
      <c r="E6840" s="14"/>
      <c r="F6840" s="55"/>
      <c r="G6840" s="14"/>
      <c r="H6840" s="14"/>
    </row>
    <row r="6841" spans="3:9" x14ac:dyDescent="0.25">
      <c r="C6841" s="12">
        <v>1</v>
      </c>
      <c r="D6841" s="13" t="s">
        <v>203</v>
      </c>
      <c r="E6841" s="53" t="s">
        <v>974</v>
      </c>
      <c r="F6841" s="115">
        <v>16.5</v>
      </c>
      <c r="G6841" s="19">
        <f t="shared" ref="G6841:G6847" si="702">VLOOKUP(D6841,upahbahan,3,FALSE)</f>
        <v>9200</v>
      </c>
      <c r="H6841" s="19">
        <f t="shared" ref="H6841:H6847" si="703">F6841*G6841</f>
        <v>151800</v>
      </c>
    </row>
    <row r="6842" spans="3:9" x14ac:dyDescent="0.25">
      <c r="C6842" s="12">
        <v>2</v>
      </c>
      <c r="D6842" s="13" t="s">
        <v>975</v>
      </c>
      <c r="E6842" s="53" t="s">
        <v>974</v>
      </c>
      <c r="F6842" s="115">
        <v>16.5</v>
      </c>
      <c r="G6842" s="19">
        <f t="shared" si="702"/>
        <v>4000</v>
      </c>
      <c r="H6842" s="19">
        <f t="shared" si="703"/>
        <v>66000</v>
      </c>
    </row>
    <row r="6843" spans="3:9" x14ac:dyDescent="0.25">
      <c r="C6843" s="12">
        <v>3</v>
      </c>
      <c r="D6843" s="13" t="s">
        <v>976</v>
      </c>
      <c r="E6843" s="53" t="s">
        <v>506</v>
      </c>
      <c r="F6843" s="115">
        <v>1</v>
      </c>
      <c r="G6843" s="19">
        <f t="shared" si="702"/>
        <v>4000</v>
      </c>
      <c r="H6843" s="19">
        <f t="shared" si="703"/>
        <v>4000</v>
      </c>
    </row>
    <row r="6844" spans="3:9" x14ac:dyDescent="0.25">
      <c r="C6844" s="12">
        <v>4</v>
      </c>
      <c r="D6844" s="13" t="s">
        <v>977</v>
      </c>
      <c r="E6844" s="53" t="s">
        <v>506</v>
      </c>
      <c r="F6844" s="115">
        <v>9</v>
      </c>
      <c r="G6844" s="19">
        <f t="shared" si="702"/>
        <v>700</v>
      </c>
      <c r="H6844" s="19">
        <f t="shared" si="703"/>
        <v>6300</v>
      </c>
    </row>
    <row r="6845" spans="3:9" x14ac:dyDescent="0.25">
      <c r="C6845" s="12">
        <v>5</v>
      </c>
      <c r="D6845" s="13" t="s">
        <v>1103</v>
      </c>
      <c r="E6845" s="53" t="s">
        <v>506</v>
      </c>
      <c r="F6845" s="115">
        <v>18</v>
      </c>
      <c r="G6845" s="19">
        <f t="shared" si="702"/>
        <v>900</v>
      </c>
      <c r="H6845" s="19">
        <f t="shared" si="703"/>
        <v>16200</v>
      </c>
    </row>
    <row r="6846" spans="3:9" x14ac:dyDescent="0.25">
      <c r="C6846" s="12">
        <v>6</v>
      </c>
      <c r="D6846" s="13" t="s">
        <v>1104</v>
      </c>
      <c r="E6846" s="53" t="s">
        <v>506</v>
      </c>
      <c r="F6846" s="115">
        <v>1</v>
      </c>
      <c r="G6846" s="19">
        <f t="shared" si="702"/>
        <v>5400</v>
      </c>
      <c r="H6846" s="19">
        <f t="shared" si="703"/>
        <v>5400</v>
      </c>
    </row>
    <row r="6847" spans="3:9" x14ac:dyDescent="0.25">
      <c r="C6847" s="12">
        <v>7</v>
      </c>
      <c r="D6847" s="13" t="s">
        <v>979</v>
      </c>
      <c r="E6847" s="53" t="s">
        <v>506</v>
      </c>
      <c r="F6847" s="115">
        <v>27</v>
      </c>
      <c r="G6847" s="19">
        <f t="shared" si="702"/>
        <v>21.5</v>
      </c>
      <c r="H6847" s="19">
        <f t="shared" si="703"/>
        <v>580.5</v>
      </c>
    </row>
    <row r="6848" spans="3:9" x14ac:dyDescent="0.3">
      <c r="C6848" s="21" t="s">
        <v>29</v>
      </c>
      <c r="D6848" s="22"/>
      <c r="E6848" s="22"/>
      <c r="F6848" s="22"/>
      <c r="G6848" s="28"/>
      <c r="H6848" s="19">
        <f>SUM(H6840:H6847)</f>
        <v>250280.5</v>
      </c>
    </row>
    <row r="6849" spans="3:11" x14ac:dyDescent="0.25">
      <c r="C6849" s="12" t="s">
        <v>30</v>
      </c>
      <c r="D6849" s="13" t="s">
        <v>31</v>
      </c>
      <c r="E6849" s="14"/>
      <c r="F6849" s="14"/>
      <c r="G6849" s="14"/>
      <c r="H6849" s="14"/>
    </row>
    <row r="6850" spans="3:11" x14ac:dyDescent="0.3">
      <c r="C6850" s="21" t="s">
        <v>32</v>
      </c>
      <c r="D6850" s="77"/>
      <c r="E6850" s="77"/>
      <c r="F6850" s="77"/>
      <c r="G6850" s="28"/>
      <c r="H6850" s="29">
        <f>SUM(H6849:H6849)</f>
        <v>0</v>
      </c>
    </row>
    <row r="6851" spans="3:11" x14ac:dyDescent="0.3">
      <c r="C6851" s="30" t="s">
        <v>33</v>
      </c>
      <c r="D6851" s="31" t="s">
        <v>34</v>
      </c>
      <c r="E6851" s="32"/>
      <c r="F6851" s="32"/>
      <c r="G6851" s="33"/>
      <c r="H6851" s="46">
        <f>H6850+H6848+H6839</f>
        <v>323190.5</v>
      </c>
      <c r="I6851" s="47"/>
    </row>
    <row r="6852" spans="3:11" x14ac:dyDescent="0.3">
      <c r="C6852" s="30" t="s">
        <v>35</v>
      </c>
      <c r="D6852" s="31" t="s">
        <v>36</v>
      </c>
      <c r="E6852" s="32"/>
      <c r="F6852" s="33"/>
      <c r="G6852" s="34">
        <f>$M$9</f>
        <v>0.1</v>
      </c>
      <c r="H6852" s="19">
        <f>H6851*G6852</f>
        <v>32319.050000000003</v>
      </c>
      <c r="I6852" s="47"/>
    </row>
    <row r="6853" spans="3:11" x14ac:dyDescent="0.3">
      <c r="C6853" s="30" t="s">
        <v>37</v>
      </c>
      <c r="D6853" s="31" t="s">
        <v>38</v>
      </c>
      <c r="E6853" s="32"/>
      <c r="F6853" s="32"/>
      <c r="G6853" s="33"/>
      <c r="H6853" s="48">
        <f>SUM(H6851:H6852)</f>
        <v>355509.55</v>
      </c>
      <c r="I6853" s="47"/>
    </row>
    <row r="6855" spans="3:11" x14ac:dyDescent="0.3">
      <c r="C6855" s="56" t="s">
        <v>1302</v>
      </c>
      <c r="D6855" s="69" t="s">
        <v>1303</v>
      </c>
      <c r="E6855" s="58"/>
      <c r="F6855" s="58"/>
      <c r="G6855" s="58"/>
      <c r="H6855" s="58"/>
      <c r="I6855" s="10">
        <f>ROUNDDOWN(H6876,0)</f>
        <v>605979</v>
      </c>
      <c r="J6855" s="15"/>
      <c r="K6855" s="39"/>
    </row>
    <row r="6856" spans="3:11" ht="27.6" x14ac:dyDescent="0.3">
      <c r="C6856" s="11" t="s">
        <v>9</v>
      </c>
      <c r="D6856" s="11" t="s">
        <v>10</v>
      </c>
      <c r="E6856" s="11" t="s">
        <v>11</v>
      </c>
      <c r="F6856" s="11" t="s">
        <v>12</v>
      </c>
      <c r="G6856" s="11" t="s">
        <v>13</v>
      </c>
      <c r="H6856" s="11" t="s">
        <v>14</v>
      </c>
    </row>
    <row r="6857" spans="3:11" x14ac:dyDescent="0.25">
      <c r="C6857" s="12" t="s">
        <v>15</v>
      </c>
      <c r="D6857" s="13" t="s">
        <v>16</v>
      </c>
      <c r="E6857" s="14"/>
      <c r="F6857" s="14"/>
      <c r="G6857" s="14"/>
      <c r="H6857" s="14"/>
    </row>
    <row r="6858" spans="3:11" x14ac:dyDescent="0.3">
      <c r="C6858" s="16">
        <v>1</v>
      </c>
      <c r="D6858" s="13" t="s">
        <v>18</v>
      </c>
      <c r="E6858" s="17" t="s">
        <v>19</v>
      </c>
      <c r="F6858" s="18">
        <v>0.19</v>
      </c>
      <c r="G6858" s="19">
        <f>VLOOKUP(D6858,upahbahan,3,FALSE)</f>
        <v>100000</v>
      </c>
      <c r="H6858" s="19">
        <f t="shared" ref="H6858:H6861" si="704">F6858*G6858</f>
        <v>19000</v>
      </c>
    </row>
    <row r="6859" spans="3:11" x14ac:dyDescent="0.3">
      <c r="C6859" s="16">
        <v>2</v>
      </c>
      <c r="D6859" s="13" t="s">
        <v>21</v>
      </c>
      <c r="E6859" s="17" t="s">
        <v>19</v>
      </c>
      <c r="F6859" s="18">
        <v>0.318</v>
      </c>
      <c r="G6859" s="19">
        <f>VLOOKUP(D6859,upahbahan,3,FALSE)</f>
        <v>145000</v>
      </c>
      <c r="H6859" s="19">
        <f t="shared" si="704"/>
        <v>46110</v>
      </c>
    </row>
    <row r="6860" spans="3:11" x14ac:dyDescent="0.3">
      <c r="C6860" s="16">
        <v>3</v>
      </c>
      <c r="D6860" s="13" t="s">
        <v>1224</v>
      </c>
      <c r="E6860" s="17" t="s">
        <v>19</v>
      </c>
      <c r="F6860" s="18">
        <v>3.2000000000000001E-2</v>
      </c>
      <c r="G6860" s="19">
        <f>VLOOKUP(D6860,upahbahan,3,FALSE)</f>
        <v>175000</v>
      </c>
      <c r="H6860" s="19">
        <f t="shared" si="704"/>
        <v>5600</v>
      </c>
    </row>
    <row r="6861" spans="3:11" x14ac:dyDescent="0.3">
      <c r="C6861" s="16">
        <v>4</v>
      </c>
      <c r="D6861" s="13" t="s">
        <v>23</v>
      </c>
      <c r="E6861" s="17" t="s">
        <v>19</v>
      </c>
      <c r="F6861" s="18">
        <v>1.0999999999999999E-2</v>
      </c>
      <c r="G6861" s="19">
        <f>VLOOKUP(D6861,upahbahan,3,FALSE)</f>
        <v>200000</v>
      </c>
      <c r="H6861" s="19">
        <f t="shared" si="704"/>
        <v>2200</v>
      </c>
    </row>
    <row r="6862" spans="3:11" x14ac:dyDescent="0.3">
      <c r="C6862" s="21" t="s">
        <v>24</v>
      </c>
      <c r="D6862" s="22"/>
      <c r="E6862" s="22"/>
      <c r="F6862" s="54"/>
      <c r="G6862" s="24"/>
      <c r="H6862" s="19">
        <f>SUM(H6858:H6861)</f>
        <v>72910</v>
      </c>
      <c r="I6862" s="25"/>
    </row>
    <row r="6863" spans="3:11" x14ac:dyDescent="0.25">
      <c r="C6863" s="12" t="s">
        <v>25</v>
      </c>
      <c r="D6863" s="13" t="s">
        <v>26</v>
      </c>
      <c r="E6863" s="14"/>
      <c r="F6863" s="55"/>
      <c r="G6863" s="14"/>
      <c r="H6863" s="14"/>
    </row>
    <row r="6864" spans="3:11" x14ac:dyDescent="0.25">
      <c r="C6864" s="12">
        <v>1</v>
      </c>
      <c r="D6864" s="13" t="s">
        <v>1304</v>
      </c>
      <c r="E6864" s="53" t="s">
        <v>974</v>
      </c>
      <c r="F6864" s="115">
        <v>16.5</v>
      </c>
      <c r="G6864" s="19">
        <f t="shared" ref="G6864:G6870" si="705">VLOOKUP(D6864,upahbahan,3,FALSE)</f>
        <v>23000</v>
      </c>
      <c r="H6864" s="19">
        <f t="shared" ref="H6864:H6870" si="706">F6864*G6864</f>
        <v>379500</v>
      </c>
    </row>
    <row r="6865" spans="3:11" x14ac:dyDescent="0.25">
      <c r="C6865" s="12">
        <v>2</v>
      </c>
      <c r="D6865" s="13" t="s">
        <v>975</v>
      </c>
      <c r="E6865" s="53" t="s">
        <v>974</v>
      </c>
      <c r="F6865" s="115">
        <v>16.5</v>
      </c>
      <c r="G6865" s="19">
        <f t="shared" si="705"/>
        <v>4000</v>
      </c>
      <c r="H6865" s="19">
        <f t="shared" si="706"/>
        <v>66000</v>
      </c>
    </row>
    <row r="6866" spans="3:11" x14ac:dyDescent="0.25">
      <c r="C6866" s="12">
        <v>3</v>
      </c>
      <c r="D6866" s="13" t="s">
        <v>976</v>
      </c>
      <c r="E6866" s="53" t="s">
        <v>506</v>
      </c>
      <c r="F6866" s="115">
        <v>1</v>
      </c>
      <c r="G6866" s="19">
        <f t="shared" si="705"/>
        <v>4000</v>
      </c>
      <c r="H6866" s="19">
        <f t="shared" si="706"/>
        <v>4000</v>
      </c>
    </row>
    <row r="6867" spans="3:11" x14ac:dyDescent="0.25">
      <c r="C6867" s="12">
        <v>4</v>
      </c>
      <c r="D6867" s="13" t="s">
        <v>977</v>
      </c>
      <c r="E6867" s="53" t="s">
        <v>506</v>
      </c>
      <c r="F6867" s="115">
        <v>9</v>
      </c>
      <c r="G6867" s="19">
        <f t="shared" si="705"/>
        <v>700</v>
      </c>
      <c r="H6867" s="19">
        <f t="shared" si="706"/>
        <v>6300</v>
      </c>
    </row>
    <row r="6868" spans="3:11" x14ac:dyDescent="0.25">
      <c r="C6868" s="12">
        <v>5</v>
      </c>
      <c r="D6868" s="13" t="s">
        <v>1103</v>
      </c>
      <c r="E6868" s="53" t="s">
        <v>506</v>
      </c>
      <c r="F6868" s="115">
        <v>18</v>
      </c>
      <c r="G6868" s="19">
        <f t="shared" si="705"/>
        <v>900</v>
      </c>
      <c r="H6868" s="19">
        <f t="shared" si="706"/>
        <v>16200</v>
      </c>
    </row>
    <row r="6869" spans="3:11" x14ac:dyDescent="0.25">
      <c r="C6869" s="12">
        <v>6</v>
      </c>
      <c r="D6869" s="13" t="s">
        <v>1104</v>
      </c>
      <c r="E6869" s="53" t="s">
        <v>506</v>
      </c>
      <c r="F6869" s="115">
        <v>1</v>
      </c>
      <c r="G6869" s="19">
        <f t="shared" si="705"/>
        <v>5400</v>
      </c>
      <c r="H6869" s="19">
        <f t="shared" si="706"/>
        <v>5400</v>
      </c>
    </row>
    <row r="6870" spans="3:11" x14ac:dyDescent="0.25">
      <c r="C6870" s="12">
        <v>7</v>
      </c>
      <c r="D6870" s="13" t="s">
        <v>979</v>
      </c>
      <c r="E6870" s="53" t="s">
        <v>506</v>
      </c>
      <c r="F6870" s="115">
        <v>27</v>
      </c>
      <c r="G6870" s="19">
        <f t="shared" si="705"/>
        <v>21.5</v>
      </c>
      <c r="H6870" s="19">
        <f t="shared" si="706"/>
        <v>580.5</v>
      </c>
    </row>
    <row r="6871" spans="3:11" x14ac:dyDescent="0.3">
      <c r="C6871" s="21" t="s">
        <v>29</v>
      </c>
      <c r="D6871" s="22"/>
      <c r="E6871" s="22"/>
      <c r="F6871" s="22"/>
      <c r="G6871" s="28"/>
      <c r="H6871" s="19">
        <f>SUM(H6863:H6870)</f>
        <v>477980.5</v>
      </c>
    </row>
    <row r="6872" spans="3:11" x14ac:dyDescent="0.25">
      <c r="C6872" s="12" t="s">
        <v>30</v>
      </c>
      <c r="D6872" s="13" t="s">
        <v>31</v>
      </c>
      <c r="E6872" s="14"/>
      <c r="F6872" s="14"/>
      <c r="G6872" s="14"/>
      <c r="H6872" s="14"/>
    </row>
    <row r="6873" spans="3:11" x14ac:dyDescent="0.3">
      <c r="C6873" s="21" t="s">
        <v>32</v>
      </c>
      <c r="D6873" s="77"/>
      <c r="E6873" s="77"/>
      <c r="F6873" s="77"/>
      <c r="G6873" s="28"/>
      <c r="H6873" s="29">
        <f>SUM(H6872:H6872)</f>
        <v>0</v>
      </c>
    </row>
    <row r="6874" spans="3:11" x14ac:dyDescent="0.3">
      <c r="C6874" s="30" t="s">
        <v>33</v>
      </c>
      <c r="D6874" s="31" t="s">
        <v>34</v>
      </c>
      <c r="E6874" s="32"/>
      <c r="F6874" s="32"/>
      <c r="G6874" s="33"/>
      <c r="H6874" s="46">
        <f>H6873+H6871+H6862</f>
        <v>550890.5</v>
      </c>
      <c r="I6874" s="47"/>
    </row>
    <row r="6875" spans="3:11" x14ac:dyDescent="0.3">
      <c r="C6875" s="30" t="s">
        <v>35</v>
      </c>
      <c r="D6875" s="31" t="s">
        <v>36</v>
      </c>
      <c r="E6875" s="32"/>
      <c r="F6875" s="33"/>
      <c r="G6875" s="34">
        <f>$M$9</f>
        <v>0.1</v>
      </c>
      <c r="H6875" s="19">
        <f>H6874*G6875</f>
        <v>55089.05</v>
      </c>
      <c r="I6875" s="47"/>
    </row>
    <row r="6876" spans="3:11" x14ac:dyDescent="0.3">
      <c r="C6876" s="30" t="s">
        <v>37</v>
      </c>
      <c r="D6876" s="31" t="s">
        <v>38</v>
      </c>
      <c r="E6876" s="32"/>
      <c r="F6876" s="32"/>
      <c r="G6876" s="33"/>
      <c r="H6876" s="48">
        <f>SUM(H6874:H6875)</f>
        <v>605979.55000000005</v>
      </c>
      <c r="I6876" s="47"/>
    </row>
    <row r="6878" spans="3:11" x14ac:dyDescent="0.3">
      <c r="C6878" s="56" t="s">
        <v>1305</v>
      </c>
      <c r="D6878" s="69" t="s">
        <v>1306</v>
      </c>
      <c r="E6878" s="58"/>
      <c r="F6878" s="58"/>
      <c r="G6878" s="58"/>
      <c r="H6878" s="58"/>
      <c r="I6878" s="10">
        <f>ROUNDDOWN(H6899,0)</f>
        <v>355509</v>
      </c>
      <c r="J6878" s="15"/>
      <c r="K6878" s="39"/>
    </row>
    <row r="6879" spans="3:11" ht="27.6" x14ac:dyDescent="0.3">
      <c r="C6879" s="11" t="s">
        <v>9</v>
      </c>
      <c r="D6879" s="11" t="s">
        <v>10</v>
      </c>
      <c r="E6879" s="11" t="s">
        <v>11</v>
      </c>
      <c r="F6879" s="11" t="s">
        <v>12</v>
      </c>
      <c r="G6879" s="11" t="s">
        <v>13</v>
      </c>
      <c r="H6879" s="11" t="s">
        <v>14</v>
      </c>
    </row>
    <row r="6880" spans="3:11" x14ac:dyDescent="0.25">
      <c r="C6880" s="12" t="s">
        <v>15</v>
      </c>
      <c r="D6880" s="13" t="s">
        <v>16</v>
      </c>
      <c r="E6880" s="14"/>
      <c r="F6880" s="14"/>
      <c r="G6880" s="14"/>
      <c r="H6880" s="14"/>
    </row>
    <row r="6881" spans="3:9" x14ac:dyDescent="0.3">
      <c r="C6881" s="16">
        <v>1</v>
      </c>
      <c r="D6881" s="13" t="s">
        <v>18</v>
      </c>
      <c r="E6881" s="17" t="s">
        <v>19</v>
      </c>
      <c r="F6881" s="18">
        <v>0.19</v>
      </c>
      <c r="G6881" s="19">
        <f>VLOOKUP(D6881,upahbahan,3,FALSE)</f>
        <v>100000</v>
      </c>
      <c r="H6881" s="19">
        <f t="shared" ref="H6881:H6884" si="707">F6881*G6881</f>
        <v>19000</v>
      </c>
    </row>
    <row r="6882" spans="3:9" x14ac:dyDescent="0.3">
      <c r="C6882" s="16">
        <v>2</v>
      </c>
      <c r="D6882" s="13" t="s">
        <v>21</v>
      </c>
      <c r="E6882" s="17" t="s">
        <v>19</v>
      </c>
      <c r="F6882" s="18">
        <v>0.318</v>
      </c>
      <c r="G6882" s="19">
        <f>VLOOKUP(D6882,upahbahan,3,FALSE)</f>
        <v>145000</v>
      </c>
      <c r="H6882" s="19">
        <f t="shared" si="707"/>
        <v>46110</v>
      </c>
    </row>
    <row r="6883" spans="3:9" x14ac:dyDescent="0.3">
      <c r="C6883" s="16">
        <v>3</v>
      </c>
      <c r="D6883" s="13" t="s">
        <v>1224</v>
      </c>
      <c r="E6883" s="17" t="s">
        <v>19</v>
      </c>
      <c r="F6883" s="18">
        <v>3.2000000000000001E-2</v>
      </c>
      <c r="G6883" s="19">
        <f>VLOOKUP(D6883,upahbahan,3,FALSE)</f>
        <v>175000</v>
      </c>
      <c r="H6883" s="19">
        <f t="shared" si="707"/>
        <v>5600</v>
      </c>
    </row>
    <row r="6884" spans="3:9" x14ac:dyDescent="0.3">
      <c r="C6884" s="16">
        <v>4</v>
      </c>
      <c r="D6884" s="13" t="s">
        <v>23</v>
      </c>
      <c r="E6884" s="17" t="s">
        <v>19</v>
      </c>
      <c r="F6884" s="18">
        <v>1.0999999999999999E-2</v>
      </c>
      <c r="G6884" s="19">
        <f>VLOOKUP(D6884,upahbahan,3,FALSE)</f>
        <v>200000</v>
      </c>
      <c r="H6884" s="19">
        <f t="shared" si="707"/>
        <v>2200</v>
      </c>
    </row>
    <row r="6885" spans="3:9" x14ac:dyDescent="0.3">
      <c r="C6885" s="21" t="s">
        <v>24</v>
      </c>
      <c r="D6885" s="22"/>
      <c r="E6885" s="22"/>
      <c r="F6885" s="54"/>
      <c r="G6885" s="24"/>
      <c r="H6885" s="19">
        <f>SUM(H6881:H6884)</f>
        <v>72910</v>
      </c>
      <c r="I6885" s="25"/>
    </row>
    <row r="6886" spans="3:9" x14ac:dyDescent="0.25">
      <c r="C6886" s="12" t="s">
        <v>25</v>
      </c>
      <c r="D6886" s="13" t="s">
        <v>26</v>
      </c>
      <c r="E6886" s="14"/>
      <c r="F6886" s="55"/>
      <c r="G6886" s="14"/>
      <c r="H6886" s="14"/>
    </row>
    <row r="6887" spans="3:9" x14ac:dyDescent="0.25">
      <c r="C6887" s="12">
        <v>1</v>
      </c>
      <c r="D6887" s="13" t="s">
        <v>203</v>
      </c>
      <c r="E6887" s="53" t="s">
        <v>974</v>
      </c>
      <c r="F6887" s="115">
        <v>16.5</v>
      </c>
      <c r="G6887" s="19">
        <f t="shared" ref="G6887:G6893" si="708">VLOOKUP(D6887,upahbahan,3,FALSE)</f>
        <v>9200</v>
      </c>
      <c r="H6887" s="19">
        <f t="shared" ref="H6887:H6893" si="709">F6887*G6887</f>
        <v>151800</v>
      </c>
    </row>
    <row r="6888" spans="3:9" x14ac:dyDescent="0.25">
      <c r="C6888" s="12">
        <v>2</v>
      </c>
      <c r="D6888" s="13" t="s">
        <v>975</v>
      </c>
      <c r="E6888" s="53" t="s">
        <v>974</v>
      </c>
      <c r="F6888" s="115">
        <v>16.5</v>
      </c>
      <c r="G6888" s="19">
        <f t="shared" si="708"/>
        <v>4000</v>
      </c>
      <c r="H6888" s="19">
        <f t="shared" si="709"/>
        <v>66000</v>
      </c>
    </row>
    <row r="6889" spans="3:9" x14ac:dyDescent="0.25">
      <c r="C6889" s="12">
        <v>3</v>
      </c>
      <c r="D6889" s="13" t="s">
        <v>976</v>
      </c>
      <c r="E6889" s="53" t="s">
        <v>506</v>
      </c>
      <c r="F6889" s="115">
        <v>1</v>
      </c>
      <c r="G6889" s="19">
        <f t="shared" si="708"/>
        <v>4000</v>
      </c>
      <c r="H6889" s="19">
        <f t="shared" si="709"/>
        <v>4000</v>
      </c>
    </row>
    <row r="6890" spans="3:9" x14ac:dyDescent="0.25">
      <c r="C6890" s="12">
        <v>4</v>
      </c>
      <c r="D6890" s="13" t="s">
        <v>977</v>
      </c>
      <c r="E6890" s="53" t="s">
        <v>506</v>
      </c>
      <c r="F6890" s="115">
        <v>9</v>
      </c>
      <c r="G6890" s="19">
        <f t="shared" si="708"/>
        <v>700</v>
      </c>
      <c r="H6890" s="19">
        <f t="shared" si="709"/>
        <v>6300</v>
      </c>
    </row>
    <row r="6891" spans="3:9" x14ac:dyDescent="0.25">
      <c r="C6891" s="12">
        <v>5</v>
      </c>
      <c r="D6891" s="13" t="s">
        <v>1103</v>
      </c>
      <c r="E6891" s="53" t="s">
        <v>506</v>
      </c>
      <c r="F6891" s="115">
        <v>18</v>
      </c>
      <c r="G6891" s="19">
        <f t="shared" si="708"/>
        <v>900</v>
      </c>
      <c r="H6891" s="19">
        <f t="shared" si="709"/>
        <v>16200</v>
      </c>
    </row>
    <row r="6892" spans="3:9" x14ac:dyDescent="0.25">
      <c r="C6892" s="12">
        <v>6</v>
      </c>
      <c r="D6892" s="13" t="s">
        <v>1104</v>
      </c>
      <c r="E6892" s="53" t="s">
        <v>506</v>
      </c>
      <c r="F6892" s="115">
        <v>1</v>
      </c>
      <c r="G6892" s="19">
        <f t="shared" si="708"/>
        <v>5400</v>
      </c>
      <c r="H6892" s="19">
        <f t="shared" si="709"/>
        <v>5400</v>
      </c>
    </row>
    <row r="6893" spans="3:9" x14ac:dyDescent="0.25">
      <c r="C6893" s="12">
        <v>7</v>
      </c>
      <c r="D6893" s="13" t="s">
        <v>979</v>
      </c>
      <c r="E6893" s="53" t="s">
        <v>506</v>
      </c>
      <c r="F6893" s="115">
        <v>27</v>
      </c>
      <c r="G6893" s="19">
        <f t="shared" si="708"/>
        <v>21.5</v>
      </c>
      <c r="H6893" s="19">
        <f t="shared" si="709"/>
        <v>580.5</v>
      </c>
    </row>
    <row r="6894" spans="3:9" x14ac:dyDescent="0.3">
      <c r="C6894" s="21" t="s">
        <v>29</v>
      </c>
      <c r="D6894" s="22"/>
      <c r="E6894" s="22"/>
      <c r="F6894" s="22"/>
      <c r="G6894" s="28"/>
      <c r="H6894" s="19">
        <f>SUM(H6886:H6893)</f>
        <v>250280.5</v>
      </c>
    </row>
    <row r="6895" spans="3:9" x14ac:dyDescent="0.25">
      <c r="C6895" s="12" t="s">
        <v>30</v>
      </c>
      <c r="D6895" s="13" t="s">
        <v>31</v>
      </c>
      <c r="E6895" s="14"/>
      <c r="F6895" s="14"/>
      <c r="G6895" s="14"/>
      <c r="H6895" s="14"/>
    </row>
    <row r="6896" spans="3:9" x14ac:dyDescent="0.3">
      <c r="C6896" s="21" t="s">
        <v>32</v>
      </c>
      <c r="D6896" s="77"/>
      <c r="E6896" s="77"/>
      <c r="F6896" s="77"/>
      <c r="G6896" s="28"/>
      <c r="H6896" s="29">
        <f>SUM(H6895:H6895)</f>
        <v>0</v>
      </c>
    </row>
    <row r="6897" spans="3:11" x14ac:dyDescent="0.3">
      <c r="C6897" s="30" t="s">
        <v>33</v>
      </c>
      <c r="D6897" s="31" t="s">
        <v>34</v>
      </c>
      <c r="E6897" s="32"/>
      <c r="F6897" s="32"/>
      <c r="G6897" s="33"/>
      <c r="H6897" s="46">
        <f>H6896+H6894+H6885</f>
        <v>323190.5</v>
      </c>
      <c r="I6897" s="47"/>
    </row>
    <row r="6898" spans="3:11" x14ac:dyDescent="0.3">
      <c r="C6898" s="30" t="s">
        <v>35</v>
      </c>
      <c r="D6898" s="31" t="s">
        <v>36</v>
      </c>
      <c r="E6898" s="32"/>
      <c r="F6898" s="33"/>
      <c r="G6898" s="34">
        <f>$M$9</f>
        <v>0.1</v>
      </c>
      <c r="H6898" s="19">
        <f>H6897*G6898</f>
        <v>32319.050000000003</v>
      </c>
      <c r="I6898" s="47"/>
    </row>
    <row r="6899" spans="3:11" x14ac:dyDescent="0.3">
      <c r="C6899" s="30" t="s">
        <v>37</v>
      </c>
      <c r="D6899" s="31" t="s">
        <v>38</v>
      </c>
      <c r="E6899" s="32"/>
      <c r="F6899" s="32"/>
      <c r="G6899" s="33"/>
      <c r="H6899" s="48">
        <f>SUM(H6897:H6898)</f>
        <v>355509.55</v>
      </c>
      <c r="I6899" s="47"/>
    </row>
    <row r="6901" spans="3:11" x14ac:dyDescent="0.3">
      <c r="C6901" s="40" t="s">
        <v>1307</v>
      </c>
      <c r="D6901" s="68" t="s">
        <v>1308</v>
      </c>
      <c r="E6901" s="44"/>
      <c r="F6901" s="44"/>
      <c r="G6901" s="44"/>
      <c r="H6901" s="44"/>
      <c r="I6901" s="10">
        <f>ROUNDDOWN(H6922,0)</f>
        <v>605979</v>
      </c>
      <c r="J6901" s="15"/>
      <c r="K6901" s="39"/>
    </row>
    <row r="6902" spans="3:11" ht="27.6" x14ac:dyDescent="0.3">
      <c r="C6902" s="11" t="s">
        <v>9</v>
      </c>
      <c r="D6902" s="11" t="s">
        <v>10</v>
      </c>
      <c r="E6902" s="11" t="s">
        <v>11</v>
      </c>
      <c r="F6902" s="11" t="s">
        <v>12</v>
      </c>
      <c r="G6902" s="11" t="s">
        <v>13</v>
      </c>
      <c r="H6902" s="11" t="s">
        <v>14</v>
      </c>
    </row>
    <row r="6903" spans="3:11" x14ac:dyDescent="0.25">
      <c r="C6903" s="12" t="s">
        <v>15</v>
      </c>
      <c r="D6903" s="13" t="s">
        <v>16</v>
      </c>
      <c r="E6903" s="14"/>
      <c r="F6903" s="14"/>
      <c r="G6903" s="14"/>
      <c r="H6903" s="14"/>
    </row>
    <row r="6904" spans="3:11" x14ac:dyDescent="0.3">
      <c r="C6904" s="16">
        <v>1</v>
      </c>
      <c r="D6904" s="13" t="s">
        <v>18</v>
      </c>
      <c r="E6904" s="17" t="s">
        <v>19</v>
      </c>
      <c r="F6904" s="18">
        <v>0.19</v>
      </c>
      <c r="G6904" s="19">
        <f>VLOOKUP(D6904,upahbahan,3,FALSE)</f>
        <v>100000</v>
      </c>
      <c r="H6904" s="19">
        <f t="shared" ref="H6904:H6907" si="710">F6904*G6904</f>
        <v>19000</v>
      </c>
    </row>
    <row r="6905" spans="3:11" x14ac:dyDescent="0.3">
      <c r="C6905" s="16">
        <v>2</v>
      </c>
      <c r="D6905" s="13" t="s">
        <v>21</v>
      </c>
      <c r="E6905" s="17" t="s">
        <v>19</v>
      </c>
      <c r="F6905" s="18">
        <v>0.318</v>
      </c>
      <c r="G6905" s="19">
        <f>VLOOKUP(D6905,upahbahan,3,FALSE)</f>
        <v>145000</v>
      </c>
      <c r="H6905" s="19">
        <f t="shared" si="710"/>
        <v>46110</v>
      </c>
    </row>
    <row r="6906" spans="3:11" x14ac:dyDescent="0.3">
      <c r="C6906" s="16">
        <v>3</v>
      </c>
      <c r="D6906" s="13" t="s">
        <v>1224</v>
      </c>
      <c r="E6906" s="17" t="s">
        <v>19</v>
      </c>
      <c r="F6906" s="18">
        <v>3.2000000000000001E-2</v>
      </c>
      <c r="G6906" s="19">
        <f>VLOOKUP(D6906,upahbahan,3,FALSE)</f>
        <v>175000</v>
      </c>
      <c r="H6906" s="19">
        <f t="shared" si="710"/>
        <v>5600</v>
      </c>
    </row>
    <row r="6907" spans="3:11" x14ac:dyDescent="0.3">
      <c r="C6907" s="16">
        <v>4</v>
      </c>
      <c r="D6907" s="13" t="s">
        <v>23</v>
      </c>
      <c r="E6907" s="17" t="s">
        <v>19</v>
      </c>
      <c r="F6907" s="18">
        <v>1.0999999999999999E-2</v>
      </c>
      <c r="G6907" s="19">
        <f>VLOOKUP(D6907,upahbahan,3,FALSE)</f>
        <v>200000</v>
      </c>
      <c r="H6907" s="19">
        <f t="shared" si="710"/>
        <v>2200</v>
      </c>
    </row>
    <row r="6908" spans="3:11" x14ac:dyDescent="0.3">
      <c r="C6908" s="21" t="s">
        <v>24</v>
      </c>
      <c r="D6908" s="22"/>
      <c r="E6908" s="22"/>
      <c r="F6908" s="54"/>
      <c r="G6908" s="24"/>
      <c r="H6908" s="19">
        <f>SUM(H6904:H6907)</f>
        <v>72910</v>
      </c>
      <c r="I6908" s="25"/>
    </row>
    <row r="6909" spans="3:11" x14ac:dyDescent="0.25">
      <c r="C6909" s="12" t="s">
        <v>25</v>
      </c>
      <c r="D6909" s="13" t="s">
        <v>26</v>
      </c>
      <c r="E6909" s="14"/>
      <c r="F6909" s="55"/>
      <c r="G6909" s="14"/>
      <c r="H6909" s="14"/>
    </row>
    <row r="6910" spans="3:11" x14ac:dyDescent="0.25">
      <c r="C6910" s="12">
        <v>1</v>
      </c>
      <c r="D6910" s="13" t="s">
        <v>1304</v>
      </c>
      <c r="E6910" s="53" t="s">
        <v>974</v>
      </c>
      <c r="F6910" s="115">
        <v>16.5</v>
      </c>
      <c r="G6910" s="19">
        <f t="shared" ref="G6910:G6916" si="711">VLOOKUP(D6910,upahbahan,3,FALSE)</f>
        <v>23000</v>
      </c>
      <c r="H6910" s="19">
        <f t="shared" ref="H6910:H6916" si="712">F6910*G6910</f>
        <v>379500</v>
      </c>
    </row>
    <row r="6911" spans="3:11" x14ac:dyDescent="0.25">
      <c r="C6911" s="12">
        <v>2</v>
      </c>
      <c r="D6911" s="13" t="s">
        <v>975</v>
      </c>
      <c r="E6911" s="53" t="s">
        <v>974</v>
      </c>
      <c r="F6911" s="115">
        <v>16.5</v>
      </c>
      <c r="G6911" s="19">
        <f t="shared" si="711"/>
        <v>4000</v>
      </c>
      <c r="H6911" s="19">
        <f t="shared" si="712"/>
        <v>66000</v>
      </c>
    </row>
    <row r="6912" spans="3:11" x14ac:dyDescent="0.25">
      <c r="C6912" s="12">
        <v>3</v>
      </c>
      <c r="D6912" s="13" t="s">
        <v>976</v>
      </c>
      <c r="E6912" s="53" t="s">
        <v>506</v>
      </c>
      <c r="F6912" s="115">
        <v>1</v>
      </c>
      <c r="G6912" s="19">
        <f t="shared" si="711"/>
        <v>4000</v>
      </c>
      <c r="H6912" s="19">
        <f t="shared" si="712"/>
        <v>4000</v>
      </c>
    </row>
    <row r="6913" spans="3:11" x14ac:dyDescent="0.25">
      <c r="C6913" s="12">
        <v>4</v>
      </c>
      <c r="D6913" s="13" t="s">
        <v>977</v>
      </c>
      <c r="E6913" s="53" t="s">
        <v>506</v>
      </c>
      <c r="F6913" s="115">
        <v>9</v>
      </c>
      <c r="G6913" s="19">
        <f t="shared" si="711"/>
        <v>700</v>
      </c>
      <c r="H6913" s="19">
        <f t="shared" si="712"/>
        <v>6300</v>
      </c>
    </row>
    <row r="6914" spans="3:11" x14ac:dyDescent="0.25">
      <c r="C6914" s="12">
        <v>5</v>
      </c>
      <c r="D6914" s="13" t="s">
        <v>1103</v>
      </c>
      <c r="E6914" s="53" t="s">
        <v>506</v>
      </c>
      <c r="F6914" s="115">
        <v>18</v>
      </c>
      <c r="G6914" s="19">
        <f t="shared" si="711"/>
        <v>900</v>
      </c>
      <c r="H6914" s="19">
        <f t="shared" si="712"/>
        <v>16200</v>
      </c>
    </row>
    <row r="6915" spans="3:11" x14ac:dyDescent="0.25">
      <c r="C6915" s="12">
        <v>6</v>
      </c>
      <c r="D6915" s="13" t="s">
        <v>1104</v>
      </c>
      <c r="E6915" s="53" t="s">
        <v>506</v>
      </c>
      <c r="F6915" s="115">
        <v>1</v>
      </c>
      <c r="G6915" s="19">
        <f t="shared" si="711"/>
        <v>5400</v>
      </c>
      <c r="H6915" s="19">
        <f t="shared" si="712"/>
        <v>5400</v>
      </c>
    </row>
    <row r="6916" spans="3:11" x14ac:dyDescent="0.25">
      <c r="C6916" s="12">
        <v>7</v>
      </c>
      <c r="D6916" s="13" t="s">
        <v>979</v>
      </c>
      <c r="E6916" s="53" t="s">
        <v>506</v>
      </c>
      <c r="F6916" s="115">
        <v>27</v>
      </c>
      <c r="G6916" s="19">
        <f t="shared" si="711"/>
        <v>21.5</v>
      </c>
      <c r="H6916" s="19">
        <f t="shared" si="712"/>
        <v>580.5</v>
      </c>
    </row>
    <row r="6917" spans="3:11" x14ac:dyDescent="0.3">
      <c r="C6917" s="21" t="s">
        <v>29</v>
      </c>
      <c r="D6917" s="22"/>
      <c r="E6917" s="22"/>
      <c r="F6917" s="22"/>
      <c r="G6917" s="28"/>
      <c r="H6917" s="19">
        <f>SUM(H6909:H6916)</f>
        <v>477980.5</v>
      </c>
    </row>
    <row r="6918" spans="3:11" x14ac:dyDescent="0.25">
      <c r="C6918" s="12" t="s">
        <v>30</v>
      </c>
      <c r="D6918" s="13" t="s">
        <v>31</v>
      </c>
      <c r="E6918" s="14"/>
      <c r="F6918" s="14"/>
      <c r="G6918" s="14"/>
      <c r="H6918" s="14"/>
    </row>
    <row r="6919" spans="3:11" x14ac:dyDescent="0.3">
      <c r="C6919" s="21" t="s">
        <v>32</v>
      </c>
      <c r="D6919" s="77"/>
      <c r="E6919" s="77"/>
      <c r="F6919" s="77"/>
      <c r="G6919" s="28"/>
      <c r="H6919" s="29">
        <f>SUM(H6918:H6918)</f>
        <v>0</v>
      </c>
    </row>
    <row r="6920" spans="3:11" x14ac:dyDescent="0.3">
      <c r="C6920" s="30" t="s">
        <v>33</v>
      </c>
      <c r="D6920" s="31" t="s">
        <v>34</v>
      </c>
      <c r="E6920" s="32"/>
      <c r="F6920" s="32"/>
      <c r="G6920" s="33"/>
      <c r="H6920" s="46">
        <f>H6919+H6917+H6908</f>
        <v>550890.5</v>
      </c>
      <c r="I6920" s="47"/>
    </row>
    <row r="6921" spans="3:11" x14ac:dyDescent="0.3">
      <c r="C6921" s="30" t="s">
        <v>35</v>
      </c>
      <c r="D6921" s="31" t="s">
        <v>36</v>
      </c>
      <c r="E6921" s="32"/>
      <c r="F6921" s="33"/>
      <c r="G6921" s="34">
        <f>$M$9</f>
        <v>0.1</v>
      </c>
      <c r="H6921" s="19">
        <f>H6920*G6921</f>
        <v>55089.05</v>
      </c>
      <c r="I6921" s="47"/>
    </row>
    <row r="6922" spans="3:11" x14ac:dyDescent="0.3">
      <c r="C6922" s="30" t="s">
        <v>37</v>
      </c>
      <c r="D6922" s="31" t="s">
        <v>38</v>
      </c>
      <c r="E6922" s="32"/>
      <c r="F6922" s="32"/>
      <c r="G6922" s="33"/>
      <c r="H6922" s="48">
        <f>SUM(H6920:H6921)</f>
        <v>605979.55000000005</v>
      </c>
      <c r="I6922" s="47"/>
    </row>
    <row r="6925" spans="3:11" x14ac:dyDescent="0.3">
      <c r="C6925" s="40" t="s">
        <v>1309</v>
      </c>
      <c r="D6925" s="68" t="s">
        <v>1310</v>
      </c>
      <c r="E6925" s="44"/>
      <c r="F6925" s="44"/>
      <c r="G6925" s="44"/>
      <c r="H6925" s="44"/>
      <c r="I6925" s="10">
        <f>ROUNDDOWN(H6946,0)</f>
        <v>259750</v>
      </c>
      <c r="J6925" s="15"/>
      <c r="K6925" s="39"/>
    </row>
    <row r="6926" spans="3:11" ht="27.6" x14ac:dyDescent="0.3">
      <c r="C6926" s="11" t="s">
        <v>9</v>
      </c>
      <c r="D6926" s="11" t="s">
        <v>10</v>
      </c>
      <c r="E6926" s="11" t="s">
        <v>11</v>
      </c>
      <c r="F6926" s="11" t="s">
        <v>12</v>
      </c>
      <c r="G6926" s="11" t="s">
        <v>13</v>
      </c>
      <c r="H6926" s="11" t="s">
        <v>14</v>
      </c>
    </row>
    <row r="6927" spans="3:11" x14ac:dyDescent="0.25">
      <c r="C6927" s="12" t="s">
        <v>15</v>
      </c>
      <c r="D6927" s="13" t="s">
        <v>16</v>
      </c>
      <c r="E6927" s="14"/>
      <c r="F6927" s="14"/>
      <c r="G6927" s="14"/>
      <c r="H6927" s="14"/>
    </row>
    <row r="6928" spans="3:11" x14ac:dyDescent="0.3">
      <c r="C6928" s="16">
        <v>1</v>
      </c>
      <c r="D6928" s="13" t="s">
        <v>18</v>
      </c>
      <c r="E6928" s="17" t="s">
        <v>19</v>
      </c>
      <c r="F6928" s="18">
        <v>0.19</v>
      </c>
      <c r="G6928" s="19">
        <f>VLOOKUP(D6928,upahbahan,3,FALSE)</f>
        <v>100000</v>
      </c>
      <c r="H6928" s="19">
        <f t="shared" ref="H6928:H6931" si="713">F6928*G6928</f>
        <v>19000</v>
      </c>
    </row>
    <row r="6929" spans="3:9" x14ac:dyDescent="0.3">
      <c r="C6929" s="16">
        <v>2</v>
      </c>
      <c r="D6929" s="13" t="s">
        <v>21</v>
      </c>
      <c r="E6929" s="17" t="s">
        <v>19</v>
      </c>
      <c r="F6929" s="18">
        <v>0.318</v>
      </c>
      <c r="G6929" s="19">
        <f>VLOOKUP(D6929,upahbahan,3,FALSE)</f>
        <v>145000</v>
      </c>
      <c r="H6929" s="19">
        <f t="shared" si="713"/>
        <v>46110</v>
      </c>
    </row>
    <row r="6930" spans="3:9" x14ac:dyDescent="0.3">
      <c r="C6930" s="16">
        <v>3</v>
      </c>
      <c r="D6930" s="13" t="s">
        <v>1224</v>
      </c>
      <c r="E6930" s="17" t="s">
        <v>19</v>
      </c>
      <c r="F6930" s="18">
        <v>3.2000000000000001E-2</v>
      </c>
      <c r="G6930" s="19">
        <f>VLOOKUP(D6930,upahbahan,3,FALSE)</f>
        <v>175000</v>
      </c>
      <c r="H6930" s="19">
        <f t="shared" si="713"/>
        <v>5600</v>
      </c>
    </row>
    <row r="6931" spans="3:9" x14ac:dyDescent="0.3">
      <c r="C6931" s="16">
        <v>4</v>
      </c>
      <c r="D6931" s="13" t="s">
        <v>23</v>
      </c>
      <c r="E6931" s="17" t="s">
        <v>19</v>
      </c>
      <c r="F6931" s="18">
        <v>1.0999999999999999E-2</v>
      </c>
      <c r="G6931" s="19">
        <f>VLOOKUP(D6931,upahbahan,3,FALSE)</f>
        <v>200000</v>
      </c>
      <c r="H6931" s="19">
        <f t="shared" si="713"/>
        <v>2200</v>
      </c>
    </row>
    <row r="6932" spans="3:9" x14ac:dyDescent="0.3">
      <c r="C6932" s="21" t="s">
        <v>24</v>
      </c>
      <c r="D6932" s="22"/>
      <c r="E6932" s="22"/>
      <c r="F6932" s="54"/>
      <c r="G6932" s="24"/>
      <c r="H6932" s="19">
        <f>SUM(H6928:H6931)</f>
        <v>72910</v>
      </c>
      <c r="I6932" s="25"/>
    </row>
    <row r="6933" spans="3:9" x14ac:dyDescent="0.25">
      <c r="C6933" s="12" t="s">
        <v>25</v>
      </c>
      <c r="D6933" s="13" t="s">
        <v>26</v>
      </c>
      <c r="E6933" s="14"/>
      <c r="F6933" s="55"/>
      <c r="G6933" s="14"/>
      <c r="H6933" s="14"/>
    </row>
    <row r="6934" spans="3:9" x14ac:dyDescent="0.25">
      <c r="C6934" s="12">
        <v>1</v>
      </c>
      <c r="D6934" s="13" t="s">
        <v>1311</v>
      </c>
      <c r="E6934" s="53" t="s">
        <v>974</v>
      </c>
      <c r="F6934" s="115">
        <v>16.5</v>
      </c>
      <c r="G6934" s="19">
        <f t="shared" ref="G6934:G6940" si="714">VLOOKUP(D6934,upahbahan,3,FALSE)</f>
        <v>3924</v>
      </c>
      <c r="H6934" s="19">
        <f t="shared" ref="H6934:H6940" si="715">F6934*G6934</f>
        <v>64746</v>
      </c>
    </row>
    <row r="6935" spans="3:9" x14ac:dyDescent="0.25">
      <c r="C6935" s="12">
        <v>2</v>
      </c>
      <c r="D6935" s="13" t="s">
        <v>975</v>
      </c>
      <c r="E6935" s="53" t="s">
        <v>974</v>
      </c>
      <c r="F6935" s="115">
        <v>16.5</v>
      </c>
      <c r="G6935" s="19">
        <f t="shared" si="714"/>
        <v>4000</v>
      </c>
      <c r="H6935" s="19">
        <f t="shared" si="715"/>
        <v>66000</v>
      </c>
    </row>
    <row r="6936" spans="3:9" x14ac:dyDescent="0.25">
      <c r="C6936" s="12">
        <v>3</v>
      </c>
      <c r="D6936" s="13" t="s">
        <v>976</v>
      </c>
      <c r="E6936" s="53" t="s">
        <v>506</v>
      </c>
      <c r="F6936" s="115">
        <v>1</v>
      </c>
      <c r="G6936" s="19">
        <f t="shared" si="714"/>
        <v>4000</v>
      </c>
      <c r="H6936" s="19">
        <f t="shared" si="715"/>
        <v>4000</v>
      </c>
    </row>
    <row r="6937" spans="3:9" x14ac:dyDescent="0.25">
      <c r="C6937" s="12">
        <v>4</v>
      </c>
      <c r="D6937" s="13" t="s">
        <v>977</v>
      </c>
      <c r="E6937" s="53" t="s">
        <v>506</v>
      </c>
      <c r="F6937" s="115">
        <v>9</v>
      </c>
      <c r="G6937" s="19">
        <f t="shared" si="714"/>
        <v>700</v>
      </c>
      <c r="H6937" s="19">
        <f t="shared" si="715"/>
        <v>6300</v>
      </c>
    </row>
    <row r="6938" spans="3:9" x14ac:dyDescent="0.25">
      <c r="C6938" s="12">
        <v>5</v>
      </c>
      <c r="D6938" s="13" t="s">
        <v>1103</v>
      </c>
      <c r="E6938" s="53" t="s">
        <v>506</v>
      </c>
      <c r="F6938" s="115">
        <v>18</v>
      </c>
      <c r="G6938" s="19">
        <f t="shared" si="714"/>
        <v>900</v>
      </c>
      <c r="H6938" s="19">
        <f t="shared" si="715"/>
        <v>16200</v>
      </c>
    </row>
    <row r="6939" spans="3:9" x14ac:dyDescent="0.25">
      <c r="C6939" s="12">
        <v>6</v>
      </c>
      <c r="D6939" s="13" t="s">
        <v>1104</v>
      </c>
      <c r="E6939" s="53" t="s">
        <v>506</v>
      </c>
      <c r="F6939" s="115">
        <v>1</v>
      </c>
      <c r="G6939" s="19">
        <f t="shared" si="714"/>
        <v>5400</v>
      </c>
      <c r="H6939" s="19">
        <f t="shared" si="715"/>
        <v>5400</v>
      </c>
    </row>
    <row r="6940" spans="3:9" x14ac:dyDescent="0.25">
      <c r="C6940" s="12">
        <v>7</v>
      </c>
      <c r="D6940" s="13" t="s">
        <v>979</v>
      </c>
      <c r="E6940" s="53" t="s">
        <v>506</v>
      </c>
      <c r="F6940" s="115">
        <v>27</v>
      </c>
      <c r="G6940" s="19">
        <f t="shared" si="714"/>
        <v>21.5</v>
      </c>
      <c r="H6940" s="19">
        <f t="shared" si="715"/>
        <v>580.5</v>
      </c>
    </row>
    <row r="6941" spans="3:9" x14ac:dyDescent="0.3">
      <c r="C6941" s="21" t="s">
        <v>29</v>
      </c>
      <c r="D6941" s="22"/>
      <c r="E6941" s="22"/>
      <c r="F6941" s="22"/>
      <c r="G6941" s="28"/>
      <c r="H6941" s="19">
        <f>SUM(H6933:H6940)</f>
        <v>163226.5</v>
      </c>
    </row>
    <row r="6942" spans="3:9" x14ac:dyDescent="0.25">
      <c r="C6942" s="12" t="s">
        <v>30</v>
      </c>
      <c r="D6942" s="13" t="s">
        <v>31</v>
      </c>
      <c r="E6942" s="14"/>
      <c r="F6942" s="14"/>
      <c r="G6942" s="14"/>
      <c r="H6942" s="14"/>
    </row>
    <row r="6943" spans="3:9" x14ac:dyDescent="0.3">
      <c r="C6943" s="21" t="s">
        <v>32</v>
      </c>
      <c r="D6943" s="77"/>
      <c r="E6943" s="77"/>
      <c r="F6943" s="77"/>
      <c r="G6943" s="28"/>
      <c r="H6943" s="29">
        <f>SUM(H6942:H6942)</f>
        <v>0</v>
      </c>
    </row>
    <row r="6944" spans="3:9" x14ac:dyDescent="0.3">
      <c r="C6944" s="30" t="s">
        <v>33</v>
      </c>
      <c r="D6944" s="31" t="s">
        <v>34</v>
      </c>
      <c r="E6944" s="32"/>
      <c r="F6944" s="32"/>
      <c r="G6944" s="33"/>
      <c r="H6944" s="46">
        <f>H6943+H6941+H6932</f>
        <v>236136.5</v>
      </c>
      <c r="I6944" s="47"/>
    </row>
    <row r="6945" spans="3:11" x14ac:dyDescent="0.3">
      <c r="C6945" s="30" t="s">
        <v>35</v>
      </c>
      <c r="D6945" s="31" t="s">
        <v>36</v>
      </c>
      <c r="E6945" s="32"/>
      <c r="F6945" s="33"/>
      <c r="G6945" s="34">
        <f>$M$9</f>
        <v>0.1</v>
      </c>
      <c r="H6945" s="19">
        <f>H6944*G6945</f>
        <v>23613.65</v>
      </c>
      <c r="I6945" s="47"/>
    </row>
    <row r="6946" spans="3:11" x14ac:dyDescent="0.3">
      <c r="C6946" s="30" t="s">
        <v>37</v>
      </c>
      <c r="D6946" s="31" t="s">
        <v>38</v>
      </c>
      <c r="E6946" s="32"/>
      <c r="F6946" s="32"/>
      <c r="G6946" s="33"/>
      <c r="H6946" s="48">
        <f>SUM(H6944:H6945)</f>
        <v>259750.15</v>
      </c>
      <c r="I6946" s="47"/>
    </row>
    <row r="6949" spans="3:11" x14ac:dyDescent="0.3">
      <c r="C6949" s="40" t="s">
        <v>1312</v>
      </c>
      <c r="D6949" s="68" t="s">
        <v>1313</v>
      </c>
      <c r="E6949" s="44"/>
      <c r="F6949" s="44"/>
      <c r="G6949" s="44"/>
      <c r="H6949" s="44"/>
      <c r="I6949" s="10">
        <f>ROUNDDOWN(H6970,0)</f>
        <v>617657</v>
      </c>
      <c r="J6949" s="15"/>
      <c r="K6949" s="39"/>
    </row>
    <row r="6950" spans="3:11" ht="27.6" x14ac:dyDescent="0.3">
      <c r="C6950" s="11" t="s">
        <v>9</v>
      </c>
      <c r="D6950" s="11" t="s">
        <v>10</v>
      </c>
      <c r="E6950" s="11" t="s">
        <v>11</v>
      </c>
      <c r="F6950" s="11" t="s">
        <v>12</v>
      </c>
      <c r="G6950" s="11" t="s">
        <v>13</v>
      </c>
      <c r="H6950" s="11" t="s">
        <v>14</v>
      </c>
    </row>
    <row r="6951" spans="3:11" x14ac:dyDescent="0.25">
      <c r="C6951" s="12" t="s">
        <v>15</v>
      </c>
      <c r="D6951" s="13" t="s">
        <v>16</v>
      </c>
      <c r="E6951" s="14"/>
      <c r="F6951" s="14"/>
      <c r="G6951" s="14"/>
      <c r="H6951" s="14"/>
    </row>
    <row r="6952" spans="3:11" x14ac:dyDescent="0.3">
      <c r="C6952" s="16">
        <v>1</v>
      </c>
      <c r="D6952" s="13" t="s">
        <v>18</v>
      </c>
      <c r="E6952" s="17" t="s">
        <v>19</v>
      </c>
      <c r="F6952" s="18">
        <v>0.19</v>
      </c>
      <c r="G6952" s="19">
        <f>VLOOKUP(D6952,upahbahan,3,FALSE)</f>
        <v>100000</v>
      </c>
      <c r="H6952" s="19">
        <f t="shared" ref="H6952:H6955" si="716">F6952*G6952</f>
        <v>19000</v>
      </c>
    </row>
    <row r="6953" spans="3:11" x14ac:dyDescent="0.3">
      <c r="C6953" s="16">
        <v>2</v>
      </c>
      <c r="D6953" s="13" t="s">
        <v>21</v>
      </c>
      <c r="E6953" s="17" t="s">
        <v>19</v>
      </c>
      <c r="F6953" s="18">
        <v>0.318</v>
      </c>
      <c r="G6953" s="19">
        <f>VLOOKUP(D6953,upahbahan,3,FALSE)</f>
        <v>145000</v>
      </c>
      <c r="H6953" s="19">
        <f t="shared" si="716"/>
        <v>46110</v>
      </c>
    </row>
    <row r="6954" spans="3:11" x14ac:dyDescent="0.3">
      <c r="C6954" s="16">
        <v>3</v>
      </c>
      <c r="D6954" s="13" t="s">
        <v>1224</v>
      </c>
      <c r="E6954" s="17" t="s">
        <v>19</v>
      </c>
      <c r="F6954" s="18">
        <v>3.2000000000000001E-2</v>
      </c>
      <c r="G6954" s="19">
        <f>VLOOKUP(D6954,upahbahan,3,FALSE)</f>
        <v>175000</v>
      </c>
      <c r="H6954" s="19">
        <f t="shared" si="716"/>
        <v>5600</v>
      </c>
    </row>
    <row r="6955" spans="3:11" x14ac:dyDescent="0.3">
      <c r="C6955" s="16">
        <v>4</v>
      </c>
      <c r="D6955" s="13" t="s">
        <v>23</v>
      </c>
      <c r="E6955" s="17" t="s">
        <v>19</v>
      </c>
      <c r="F6955" s="18">
        <v>1.0999999999999999E-2</v>
      </c>
      <c r="G6955" s="19">
        <f>VLOOKUP(D6955,upahbahan,3,FALSE)</f>
        <v>200000</v>
      </c>
      <c r="H6955" s="19">
        <f t="shared" si="716"/>
        <v>2200</v>
      </c>
    </row>
    <row r="6956" spans="3:11" x14ac:dyDescent="0.3">
      <c r="C6956" s="21" t="s">
        <v>24</v>
      </c>
      <c r="D6956" s="22"/>
      <c r="E6956" s="22"/>
      <c r="F6956" s="54"/>
      <c r="G6956" s="24"/>
      <c r="H6956" s="19">
        <f>SUM(H6952:H6955)</f>
        <v>72910</v>
      </c>
      <c r="I6956" s="25"/>
    </row>
    <row r="6957" spans="3:11" x14ac:dyDescent="0.25">
      <c r="C6957" s="12" t="s">
        <v>25</v>
      </c>
      <c r="D6957" s="13" t="s">
        <v>26</v>
      </c>
      <c r="E6957" s="14"/>
      <c r="F6957" s="55"/>
      <c r="G6957" s="14"/>
      <c r="H6957" s="14"/>
    </row>
    <row r="6958" spans="3:11" x14ac:dyDescent="0.25">
      <c r="C6958" s="12">
        <v>1</v>
      </c>
      <c r="D6958" s="13" t="s">
        <v>203</v>
      </c>
      <c r="E6958" s="53" t="s">
        <v>974</v>
      </c>
      <c r="F6958" s="115">
        <v>33</v>
      </c>
      <c r="G6958" s="19">
        <f t="shared" ref="G6958:G6964" si="717">VLOOKUP(D6958,upahbahan,3,FALSE)</f>
        <v>9200</v>
      </c>
      <c r="H6958" s="19">
        <f t="shared" ref="H6958:H6964" si="718">F6958*G6958</f>
        <v>303600</v>
      </c>
    </row>
    <row r="6959" spans="3:11" x14ac:dyDescent="0.25">
      <c r="C6959" s="12">
        <v>2</v>
      </c>
      <c r="D6959" s="13" t="s">
        <v>975</v>
      </c>
      <c r="E6959" s="53" t="s">
        <v>974</v>
      </c>
      <c r="F6959" s="115">
        <v>33</v>
      </c>
      <c r="G6959" s="19">
        <f t="shared" si="717"/>
        <v>4000</v>
      </c>
      <c r="H6959" s="19">
        <f t="shared" si="718"/>
        <v>132000</v>
      </c>
    </row>
    <row r="6960" spans="3:11" x14ac:dyDescent="0.25">
      <c r="C6960" s="12">
        <v>3</v>
      </c>
      <c r="D6960" s="13" t="s">
        <v>976</v>
      </c>
      <c r="E6960" s="53" t="s">
        <v>506</v>
      </c>
      <c r="F6960" s="115">
        <v>1</v>
      </c>
      <c r="G6960" s="19">
        <f t="shared" si="717"/>
        <v>4000</v>
      </c>
      <c r="H6960" s="19">
        <f t="shared" si="718"/>
        <v>4000</v>
      </c>
    </row>
    <row r="6961" spans="3:11" x14ac:dyDescent="0.25">
      <c r="C6961" s="12">
        <v>4</v>
      </c>
      <c r="D6961" s="13" t="s">
        <v>977</v>
      </c>
      <c r="E6961" s="53" t="s">
        <v>506</v>
      </c>
      <c r="F6961" s="115">
        <v>17</v>
      </c>
      <c r="G6961" s="19">
        <f t="shared" si="717"/>
        <v>700</v>
      </c>
      <c r="H6961" s="19">
        <f t="shared" si="718"/>
        <v>11900</v>
      </c>
    </row>
    <row r="6962" spans="3:11" x14ac:dyDescent="0.25">
      <c r="C6962" s="12">
        <v>5</v>
      </c>
      <c r="D6962" s="13" t="s">
        <v>1103</v>
      </c>
      <c r="E6962" s="53" t="s">
        <v>506</v>
      </c>
      <c r="F6962" s="115">
        <v>34</v>
      </c>
      <c r="G6962" s="19">
        <f t="shared" si="717"/>
        <v>900</v>
      </c>
      <c r="H6962" s="19">
        <f t="shared" si="718"/>
        <v>30600</v>
      </c>
    </row>
    <row r="6963" spans="3:11" x14ac:dyDescent="0.25">
      <c r="C6963" s="12">
        <v>6</v>
      </c>
      <c r="D6963" s="13" t="s">
        <v>1104</v>
      </c>
      <c r="E6963" s="53" t="s">
        <v>506</v>
      </c>
      <c r="F6963" s="115">
        <v>1</v>
      </c>
      <c r="G6963" s="19">
        <f t="shared" si="717"/>
        <v>5400</v>
      </c>
      <c r="H6963" s="19">
        <f t="shared" si="718"/>
        <v>5400</v>
      </c>
    </row>
    <row r="6964" spans="3:11" x14ac:dyDescent="0.25">
      <c r="C6964" s="12">
        <v>7</v>
      </c>
      <c r="D6964" s="13" t="s">
        <v>979</v>
      </c>
      <c r="E6964" s="53" t="s">
        <v>506</v>
      </c>
      <c r="F6964" s="115">
        <v>51</v>
      </c>
      <c r="G6964" s="19">
        <f t="shared" si="717"/>
        <v>21.5</v>
      </c>
      <c r="H6964" s="19">
        <f t="shared" si="718"/>
        <v>1096.5</v>
      </c>
    </row>
    <row r="6965" spans="3:11" x14ac:dyDescent="0.3">
      <c r="C6965" s="21" t="s">
        <v>29</v>
      </c>
      <c r="D6965" s="22"/>
      <c r="E6965" s="22"/>
      <c r="F6965" s="22"/>
      <c r="G6965" s="28"/>
      <c r="H6965" s="19">
        <f>SUM(H6957:H6964)</f>
        <v>488596.5</v>
      </c>
    </row>
    <row r="6966" spans="3:11" x14ac:dyDescent="0.25">
      <c r="C6966" s="12" t="s">
        <v>30</v>
      </c>
      <c r="D6966" s="13" t="s">
        <v>31</v>
      </c>
      <c r="E6966" s="14"/>
      <c r="F6966" s="14"/>
      <c r="G6966" s="14"/>
      <c r="H6966" s="14"/>
    </row>
    <row r="6967" spans="3:11" x14ac:dyDescent="0.3">
      <c r="C6967" s="21" t="s">
        <v>32</v>
      </c>
      <c r="D6967" s="77"/>
      <c r="E6967" s="77"/>
      <c r="F6967" s="77"/>
      <c r="G6967" s="28"/>
      <c r="H6967" s="29">
        <f>SUM(H6966:H6966)</f>
        <v>0</v>
      </c>
    </row>
    <row r="6968" spans="3:11" x14ac:dyDescent="0.3">
      <c r="C6968" s="30" t="s">
        <v>33</v>
      </c>
      <c r="D6968" s="31" t="s">
        <v>34</v>
      </c>
      <c r="E6968" s="32"/>
      <c r="F6968" s="32"/>
      <c r="G6968" s="33"/>
      <c r="H6968" s="46">
        <f>H6967+H6965+H6956</f>
        <v>561506.5</v>
      </c>
      <c r="I6968" s="47"/>
    </row>
    <row r="6969" spans="3:11" x14ac:dyDescent="0.3">
      <c r="C6969" s="30" t="s">
        <v>35</v>
      </c>
      <c r="D6969" s="31" t="s">
        <v>36</v>
      </c>
      <c r="E6969" s="32"/>
      <c r="F6969" s="33"/>
      <c r="G6969" s="34">
        <f>$M$9</f>
        <v>0.1</v>
      </c>
      <c r="H6969" s="19">
        <f>H6968*G6969</f>
        <v>56150.65</v>
      </c>
      <c r="I6969" s="47"/>
    </row>
    <row r="6970" spans="3:11" x14ac:dyDescent="0.3">
      <c r="C6970" s="30" t="s">
        <v>37</v>
      </c>
      <c r="D6970" s="31" t="s">
        <v>38</v>
      </c>
      <c r="E6970" s="32"/>
      <c r="F6970" s="32"/>
      <c r="G6970" s="33"/>
      <c r="H6970" s="48">
        <f>SUM(H6968:H6969)</f>
        <v>617657.15</v>
      </c>
      <c r="I6970" s="47"/>
    </row>
    <row r="6972" spans="3:11" x14ac:dyDescent="0.3">
      <c r="C6972" s="40" t="s">
        <v>1314</v>
      </c>
      <c r="D6972" s="68" t="s">
        <v>1315</v>
      </c>
      <c r="E6972" s="44"/>
      <c r="F6972" s="44"/>
      <c r="G6972" s="44"/>
      <c r="H6972" s="44"/>
      <c r="I6972" s="10">
        <f>ROUNDDOWN(H6987,0)</f>
        <v>815622</v>
      </c>
      <c r="J6972" s="15"/>
      <c r="K6972" s="39"/>
    </row>
    <row r="6973" spans="3:11" ht="27.6" x14ac:dyDescent="0.3">
      <c r="C6973" s="11" t="s">
        <v>9</v>
      </c>
      <c r="D6973" s="11" t="s">
        <v>10</v>
      </c>
      <c r="E6973" s="11" t="s">
        <v>11</v>
      </c>
      <c r="F6973" s="11" t="s">
        <v>12</v>
      </c>
      <c r="G6973" s="11" t="s">
        <v>13</v>
      </c>
      <c r="H6973" s="11" t="s">
        <v>14</v>
      </c>
    </row>
    <row r="6974" spans="3:11" x14ac:dyDescent="0.25">
      <c r="C6974" s="12" t="s">
        <v>15</v>
      </c>
      <c r="D6974" s="13" t="s">
        <v>16</v>
      </c>
      <c r="E6974" s="14"/>
      <c r="F6974" s="14"/>
      <c r="G6974" s="14"/>
      <c r="H6974" s="14"/>
    </row>
    <row r="6975" spans="3:11" x14ac:dyDescent="0.3">
      <c r="C6975" s="16">
        <v>1</v>
      </c>
      <c r="D6975" s="13" t="s">
        <v>18</v>
      </c>
      <c r="E6975" s="17" t="s">
        <v>19</v>
      </c>
      <c r="F6975" s="18">
        <v>6.9000000000000006E-2</v>
      </c>
      <c r="G6975" s="19">
        <f>VLOOKUP(D6975,upahbahan,3,FALSE)</f>
        <v>100000</v>
      </c>
      <c r="H6975" s="19">
        <f t="shared" ref="H6975:H6978" si="719">F6975*G6975</f>
        <v>6900.0000000000009</v>
      </c>
    </row>
    <row r="6976" spans="3:11" x14ac:dyDescent="0.3">
      <c r="C6976" s="16">
        <v>2</v>
      </c>
      <c r="D6976" s="13" t="s">
        <v>21</v>
      </c>
      <c r="E6976" s="17" t="s">
        <v>19</v>
      </c>
      <c r="F6976" s="18">
        <v>0.115</v>
      </c>
      <c r="G6976" s="19">
        <f>VLOOKUP(D6976,upahbahan,3,FALSE)</f>
        <v>145000</v>
      </c>
      <c r="H6976" s="19">
        <f t="shared" si="719"/>
        <v>16675</v>
      </c>
    </row>
    <row r="6977" spans="3:11" x14ac:dyDescent="0.3">
      <c r="C6977" s="16">
        <v>3</v>
      </c>
      <c r="D6977" s="13" t="s">
        <v>1224</v>
      </c>
      <c r="E6977" s="17" t="s">
        <v>19</v>
      </c>
      <c r="F6977" s="18">
        <v>1.2E-2</v>
      </c>
      <c r="G6977" s="19">
        <f>VLOOKUP(D6977,upahbahan,3,FALSE)</f>
        <v>175000</v>
      </c>
      <c r="H6977" s="19">
        <f t="shared" si="719"/>
        <v>2100</v>
      </c>
    </row>
    <row r="6978" spans="3:11" x14ac:dyDescent="0.3">
      <c r="C6978" s="16">
        <v>4</v>
      </c>
      <c r="D6978" s="13" t="s">
        <v>23</v>
      </c>
      <c r="E6978" s="17" t="s">
        <v>19</v>
      </c>
      <c r="F6978" s="18">
        <v>4.0000000000000001E-3</v>
      </c>
      <c r="G6978" s="19">
        <f>VLOOKUP(D6978,upahbahan,3,FALSE)</f>
        <v>200000</v>
      </c>
      <c r="H6978" s="19">
        <f t="shared" si="719"/>
        <v>800</v>
      </c>
    </row>
    <row r="6979" spans="3:11" x14ac:dyDescent="0.3">
      <c r="C6979" s="21" t="s">
        <v>24</v>
      </c>
      <c r="D6979" s="22"/>
      <c r="E6979" s="22"/>
      <c r="F6979" s="54"/>
      <c r="G6979" s="24"/>
      <c r="H6979" s="19">
        <f>SUM(H6975:H6978)</f>
        <v>26475</v>
      </c>
      <c r="I6979" s="25"/>
    </row>
    <row r="6980" spans="3:11" x14ac:dyDescent="0.25">
      <c r="C6980" s="12" t="s">
        <v>25</v>
      </c>
      <c r="D6980" s="13" t="s">
        <v>26</v>
      </c>
      <c r="E6980" s="14"/>
      <c r="F6980" s="55"/>
      <c r="G6980" s="14"/>
      <c r="H6980" s="14"/>
    </row>
    <row r="6981" spans="3:11" x14ac:dyDescent="0.25">
      <c r="C6981" s="12">
        <v>1</v>
      </c>
      <c r="D6981" s="13" t="s">
        <v>1316</v>
      </c>
      <c r="E6981" s="53" t="s">
        <v>506</v>
      </c>
      <c r="F6981" s="115">
        <v>1.1000000000000001</v>
      </c>
      <c r="G6981" s="19">
        <f>VLOOKUP(D6981,upahbahan,3,FALSE)</f>
        <v>650000</v>
      </c>
      <c r="H6981" s="19">
        <f t="shared" ref="H6981" si="720">F6981*G6981</f>
        <v>715000</v>
      </c>
    </row>
    <row r="6982" spans="3:11" x14ac:dyDescent="0.3">
      <c r="C6982" s="21" t="s">
        <v>29</v>
      </c>
      <c r="D6982" s="22"/>
      <c r="E6982" s="22"/>
      <c r="F6982" s="22"/>
      <c r="G6982" s="28"/>
      <c r="H6982" s="19">
        <f>SUM(H6980:H6981)</f>
        <v>715000</v>
      </c>
    </row>
    <row r="6983" spans="3:11" x14ac:dyDescent="0.25">
      <c r="C6983" s="12" t="s">
        <v>30</v>
      </c>
      <c r="D6983" s="13" t="s">
        <v>31</v>
      </c>
      <c r="E6983" s="14"/>
      <c r="F6983" s="14"/>
      <c r="G6983" s="14"/>
      <c r="H6983" s="14"/>
    </row>
    <row r="6984" spans="3:11" x14ac:dyDescent="0.3">
      <c r="C6984" s="21" t="s">
        <v>32</v>
      </c>
      <c r="D6984" s="77"/>
      <c r="E6984" s="77"/>
      <c r="F6984" s="77"/>
      <c r="G6984" s="28"/>
      <c r="H6984" s="29">
        <f>SUM(H6983:H6983)</f>
        <v>0</v>
      </c>
    </row>
    <row r="6985" spans="3:11" x14ac:dyDescent="0.3">
      <c r="C6985" s="30" t="s">
        <v>33</v>
      </c>
      <c r="D6985" s="31" t="s">
        <v>34</v>
      </c>
      <c r="E6985" s="32"/>
      <c r="F6985" s="32"/>
      <c r="G6985" s="33"/>
      <c r="H6985" s="46">
        <f>H6984+H6982+H6979</f>
        <v>741475</v>
      </c>
      <c r="I6985" s="47"/>
    </row>
    <row r="6986" spans="3:11" x14ac:dyDescent="0.3">
      <c r="C6986" s="30" t="s">
        <v>35</v>
      </c>
      <c r="D6986" s="31" t="s">
        <v>36</v>
      </c>
      <c r="E6986" s="32"/>
      <c r="F6986" s="33"/>
      <c r="G6986" s="34">
        <f>$M$9</f>
        <v>0.1</v>
      </c>
      <c r="H6986" s="19">
        <f>H6985*G6986</f>
        <v>74147.5</v>
      </c>
      <c r="I6986" s="47"/>
    </row>
    <row r="6987" spans="3:11" x14ac:dyDescent="0.3">
      <c r="C6987" s="30" t="s">
        <v>37</v>
      </c>
      <c r="D6987" s="31" t="s">
        <v>38</v>
      </c>
      <c r="E6987" s="32"/>
      <c r="F6987" s="32"/>
      <c r="G6987" s="33"/>
      <c r="H6987" s="48">
        <f>SUM(H6985:H6986)</f>
        <v>815622.5</v>
      </c>
      <c r="I6987" s="47"/>
    </row>
    <row r="6989" spans="3:11" x14ac:dyDescent="0.3">
      <c r="C6989" s="40" t="s">
        <v>1317</v>
      </c>
      <c r="D6989" s="68" t="s">
        <v>1318</v>
      </c>
      <c r="E6989" s="44"/>
      <c r="F6989" s="44"/>
      <c r="G6989" s="44"/>
      <c r="H6989" s="44"/>
      <c r="I6989" s="10">
        <f>ROUNDDOWN(H7004,0)</f>
        <v>452622</v>
      </c>
      <c r="J6989" s="15"/>
      <c r="K6989" s="39"/>
    </row>
    <row r="6990" spans="3:11" ht="27.6" x14ac:dyDescent="0.3">
      <c r="C6990" s="11" t="s">
        <v>9</v>
      </c>
      <c r="D6990" s="11" t="s">
        <v>10</v>
      </c>
      <c r="E6990" s="11" t="s">
        <v>11</v>
      </c>
      <c r="F6990" s="11" t="s">
        <v>12</v>
      </c>
      <c r="G6990" s="11" t="s">
        <v>13</v>
      </c>
      <c r="H6990" s="11" t="s">
        <v>14</v>
      </c>
    </row>
    <row r="6991" spans="3:11" x14ac:dyDescent="0.25">
      <c r="C6991" s="12" t="s">
        <v>15</v>
      </c>
      <c r="D6991" s="13" t="s">
        <v>16</v>
      </c>
      <c r="E6991" s="14"/>
      <c r="F6991" s="14"/>
      <c r="G6991" s="14"/>
      <c r="H6991" s="14"/>
    </row>
    <row r="6992" spans="3:11" x14ac:dyDescent="0.3">
      <c r="C6992" s="16">
        <v>1</v>
      </c>
      <c r="D6992" s="13" t="s">
        <v>18</v>
      </c>
      <c r="E6992" s="17" t="s">
        <v>19</v>
      </c>
      <c r="F6992" s="18">
        <v>6.9000000000000006E-2</v>
      </c>
      <c r="G6992" s="19">
        <f>VLOOKUP(D6992,upahbahan,3,FALSE)</f>
        <v>100000</v>
      </c>
      <c r="H6992" s="19">
        <f t="shared" ref="H6992:H6995" si="721">F6992*G6992</f>
        <v>6900.0000000000009</v>
      </c>
    </row>
    <row r="6993" spans="3:11" x14ac:dyDescent="0.3">
      <c r="C6993" s="16">
        <v>2</v>
      </c>
      <c r="D6993" s="13" t="s">
        <v>21</v>
      </c>
      <c r="E6993" s="17" t="s">
        <v>19</v>
      </c>
      <c r="F6993" s="18">
        <v>0.115</v>
      </c>
      <c r="G6993" s="19">
        <f>VLOOKUP(D6993,upahbahan,3,FALSE)</f>
        <v>145000</v>
      </c>
      <c r="H6993" s="19">
        <f t="shared" si="721"/>
        <v>16675</v>
      </c>
    </row>
    <row r="6994" spans="3:11" x14ac:dyDescent="0.3">
      <c r="C6994" s="16">
        <v>3</v>
      </c>
      <c r="D6994" s="13" t="s">
        <v>1224</v>
      </c>
      <c r="E6994" s="17" t="s">
        <v>19</v>
      </c>
      <c r="F6994" s="18">
        <v>1.2E-2</v>
      </c>
      <c r="G6994" s="19">
        <f>VLOOKUP(D6994,upahbahan,3,FALSE)</f>
        <v>175000</v>
      </c>
      <c r="H6994" s="19">
        <f t="shared" si="721"/>
        <v>2100</v>
      </c>
    </row>
    <row r="6995" spans="3:11" x14ac:dyDescent="0.3">
      <c r="C6995" s="16">
        <v>4</v>
      </c>
      <c r="D6995" s="13" t="s">
        <v>23</v>
      </c>
      <c r="E6995" s="17" t="s">
        <v>19</v>
      </c>
      <c r="F6995" s="18">
        <v>4.0000000000000001E-3</v>
      </c>
      <c r="G6995" s="19">
        <f>VLOOKUP(D6995,upahbahan,3,FALSE)</f>
        <v>200000</v>
      </c>
      <c r="H6995" s="19">
        <f t="shared" si="721"/>
        <v>800</v>
      </c>
    </row>
    <row r="6996" spans="3:11" x14ac:dyDescent="0.3">
      <c r="C6996" s="21" t="s">
        <v>24</v>
      </c>
      <c r="D6996" s="22"/>
      <c r="E6996" s="22"/>
      <c r="F6996" s="54"/>
      <c r="G6996" s="24"/>
      <c r="H6996" s="19">
        <f>SUM(H6992:H6995)</f>
        <v>26475</v>
      </c>
      <c r="I6996" s="25"/>
    </row>
    <row r="6997" spans="3:11" x14ac:dyDescent="0.25">
      <c r="C6997" s="12" t="s">
        <v>25</v>
      </c>
      <c r="D6997" s="13" t="s">
        <v>26</v>
      </c>
      <c r="E6997" s="14"/>
      <c r="F6997" s="55"/>
      <c r="G6997" s="14"/>
      <c r="H6997" s="14"/>
    </row>
    <row r="6998" spans="3:11" x14ac:dyDescent="0.25">
      <c r="C6998" s="12">
        <v>1</v>
      </c>
      <c r="D6998" s="13" t="s">
        <v>1319</v>
      </c>
      <c r="E6998" s="53" t="s">
        <v>506</v>
      </c>
      <c r="F6998" s="115">
        <v>1.1000000000000001</v>
      </c>
      <c r="G6998" s="19">
        <f>VLOOKUP(D6998,upahbahan,3,FALSE)</f>
        <v>350000</v>
      </c>
      <c r="H6998" s="19">
        <f t="shared" ref="H6998" si="722">F6998*G6998</f>
        <v>385000.00000000006</v>
      </c>
    </row>
    <row r="6999" spans="3:11" x14ac:dyDescent="0.3">
      <c r="C6999" s="21" t="s">
        <v>29</v>
      </c>
      <c r="D6999" s="22"/>
      <c r="E6999" s="22"/>
      <c r="F6999" s="22"/>
      <c r="G6999" s="28"/>
      <c r="H6999" s="19">
        <f>SUM(H6997:H6998)</f>
        <v>385000.00000000006</v>
      </c>
    </row>
    <row r="7000" spans="3:11" x14ac:dyDescent="0.25">
      <c r="C7000" s="12" t="s">
        <v>30</v>
      </c>
      <c r="D7000" s="13" t="s">
        <v>31</v>
      </c>
      <c r="E7000" s="14"/>
      <c r="F7000" s="14"/>
      <c r="G7000" s="14"/>
      <c r="H7000" s="14"/>
    </row>
    <row r="7001" spans="3:11" x14ac:dyDescent="0.3">
      <c r="C7001" s="21" t="s">
        <v>32</v>
      </c>
      <c r="D7001" s="77"/>
      <c r="E7001" s="77"/>
      <c r="F7001" s="77"/>
      <c r="G7001" s="28"/>
      <c r="H7001" s="29">
        <f>SUM(H7000:H7000)</f>
        <v>0</v>
      </c>
    </row>
    <row r="7002" spans="3:11" x14ac:dyDescent="0.3">
      <c r="C7002" s="30" t="s">
        <v>33</v>
      </c>
      <c r="D7002" s="31" t="s">
        <v>34</v>
      </c>
      <c r="E7002" s="32"/>
      <c r="F7002" s="32"/>
      <c r="G7002" s="33"/>
      <c r="H7002" s="46">
        <f>H7001+H6999+H6996</f>
        <v>411475.00000000006</v>
      </c>
      <c r="I7002" s="47"/>
    </row>
    <row r="7003" spans="3:11" x14ac:dyDescent="0.3">
      <c r="C7003" s="30" t="s">
        <v>35</v>
      </c>
      <c r="D7003" s="31" t="s">
        <v>36</v>
      </c>
      <c r="E7003" s="32"/>
      <c r="F7003" s="33"/>
      <c r="G7003" s="34">
        <f>$M$9</f>
        <v>0.1</v>
      </c>
      <c r="H7003" s="19">
        <f>H7002*G7003</f>
        <v>41147.500000000007</v>
      </c>
      <c r="I7003" s="47"/>
    </row>
    <row r="7004" spans="3:11" x14ac:dyDescent="0.3">
      <c r="C7004" s="30" t="s">
        <v>37</v>
      </c>
      <c r="D7004" s="31" t="s">
        <v>38</v>
      </c>
      <c r="E7004" s="32"/>
      <c r="F7004" s="32"/>
      <c r="G7004" s="33"/>
      <c r="H7004" s="48">
        <f>SUM(H7002:H7003)</f>
        <v>452622.50000000006</v>
      </c>
      <c r="I7004" s="47"/>
    </row>
    <row r="7007" spans="3:11" x14ac:dyDescent="0.3">
      <c r="C7007" s="40" t="s">
        <v>1320</v>
      </c>
      <c r="D7007" s="68" t="s">
        <v>1321</v>
      </c>
      <c r="E7007" s="44"/>
      <c r="F7007" s="44"/>
      <c r="G7007" s="44"/>
      <c r="H7007" s="44"/>
      <c r="I7007" s="10">
        <f>ROUNDDOWN(H7022,0)</f>
        <v>154357</v>
      </c>
      <c r="J7007" s="15"/>
      <c r="K7007" s="39"/>
    </row>
    <row r="7008" spans="3:11" ht="27.6" x14ac:dyDescent="0.3">
      <c r="C7008" s="11" t="s">
        <v>9</v>
      </c>
      <c r="D7008" s="11" t="s">
        <v>10</v>
      </c>
      <c r="E7008" s="11" t="s">
        <v>11</v>
      </c>
      <c r="F7008" s="11" t="s">
        <v>12</v>
      </c>
      <c r="G7008" s="11" t="s">
        <v>13</v>
      </c>
      <c r="H7008" s="11" t="s">
        <v>14</v>
      </c>
    </row>
    <row r="7009" spans="3:11" x14ac:dyDescent="0.25">
      <c r="C7009" s="12" t="s">
        <v>15</v>
      </c>
      <c r="D7009" s="13" t="s">
        <v>16</v>
      </c>
      <c r="E7009" s="14"/>
      <c r="F7009" s="14"/>
      <c r="G7009" s="14"/>
      <c r="H7009" s="14"/>
    </row>
    <row r="7010" spans="3:11" x14ac:dyDescent="0.3">
      <c r="C7010" s="16">
        <v>1</v>
      </c>
      <c r="D7010" s="13" t="s">
        <v>18</v>
      </c>
      <c r="E7010" s="17" t="s">
        <v>19</v>
      </c>
      <c r="F7010" s="18">
        <v>6.9000000000000006E-2</v>
      </c>
      <c r="G7010" s="19">
        <f>VLOOKUP(D7010,upahbahan,3,FALSE)</f>
        <v>100000</v>
      </c>
      <c r="H7010" s="19">
        <f t="shared" ref="H7010:H7013" si="723">F7010*G7010</f>
        <v>6900.0000000000009</v>
      </c>
    </row>
    <row r="7011" spans="3:11" x14ac:dyDescent="0.3">
      <c r="C7011" s="16">
        <v>2</v>
      </c>
      <c r="D7011" s="13" t="s">
        <v>21</v>
      </c>
      <c r="E7011" s="17" t="s">
        <v>19</v>
      </c>
      <c r="F7011" s="18">
        <v>0.115</v>
      </c>
      <c r="G7011" s="19">
        <f>VLOOKUP(D7011,upahbahan,3,FALSE)</f>
        <v>145000</v>
      </c>
      <c r="H7011" s="19">
        <f t="shared" si="723"/>
        <v>16675</v>
      </c>
    </row>
    <row r="7012" spans="3:11" x14ac:dyDescent="0.3">
      <c r="C7012" s="16">
        <v>3</v>
      </c>
      <c r="D7012" s="13" t="s">
        <v>1224</v>
      </c>
      <c r="E7012" s="17" t="s">
        <v>19</v>
      </c>
      <c r="F7012" s="18">
        <v>1.2E-2</v>
      </c>
      <c r="G7012" s="19">
        <f>VLOOKUP(D7012,upahbahan,3,FALSE)</f>
        <v>175000</v>
      </c>
      <c r="H7012" s="19">
        <f t="shared" si="723"/>
        <v>2100</v>
      </c>
    </row>
    <row r="7013" spans="3:11" x14ac:dyDescent="0.3">
      <c r="C7013" s="16">
        <v>4</v>
      </c>
      <c r="D7013" s="13" t="s">
        <v>23</v>
      </c>
      <c r="E7013" s="17" t="s">
        <v>19</v>
      </c>
      <c r="F7013" s="18">
        <v>4.0000000000000001E-3</v>
      </c>
      <c r="G7013" s="19">
        <f>VLOOKUP(D7013,upahbahan,3,FALSE)</f>
        <v>200000</v>
      </c>
      <c r="H7013" s="19">
        <f t="shared" si="723"/>
        <v>800</v>
      </c>
    </row>
    <row r="7014" spans="3:11" x14ac:dyDescent="0.3">
      <c r="C7014" s="21" t="s">
        <v>24</v>
      </c>
      <c r="D7014" s="22"/>
      <c r="E7014" s="22"/>
      <c r="F7014" s="54"/>
      <c r="G7014" s="24"/>
      <c r="H7014" s="19">
        <f>SUM(H7010:H7013)</f>
        <v>26475</v>
      </c>
      <c r="I7014" s="25"/>
    </row>
    <row r="7015" spans="3:11" x14ac:dyDescent="0.25">
      <c r="C7015" s="12" t="s">
        <v>25</v>
      </c>
      <c r="D7015" s="13" t="s">
        <v>26</v>
      </c>
      <c r="E7015" s="14"/>
      <c r="F7015" s="55"/>
      <c r="G7015" s="14"/>
      <c r="H7015" s="14"/>
    </row>
    <row r="7016" spans="3:11" x14ac:dyDescent="0.25">
      <c r="C7016" s="12">
        <v>1</v>
      </c>
      <c r="D7016" s="13" t="s">
        <v>1322</v>
      </c>
      <c r="E7016" s="53" t="s">
        <v>506</v>
      </c>
      <c r="F7016" s="115">
        <v>1.1000000000000001</v>
      </c>
      <c r="G7016" s="19">
        <f>VLOOKUP(D7016,upahbahan,3,FALSE)</f>
        <v>103500</v>
      </c>
      <c r="H7016" s="19">
        <f t="shared" ref="H7016" si="724">F7016*G7016</f>
        <v>113850.00000000001</v>
      </c>
    </row>
    <row r="7017" spans="3:11" x14ac:dyDescent="0.3">
      <c r="C7017" s="21" t="s">
        <v>29</v>
      </c>
      <c r="D7017" s="22"/>
      <c r="E7017" s="22"/>
      <c r="F7017" s="22"/>
      <c r="G7017" s="28"/>
      <c r="H7017" s="19">
        <f>SUM(H7015:H7016)</f>
        <v>113850.00000000001</v>
      </c>
    </row>
    <row r="7018" spans="3:11" x14ac:dyDescent="0.25">
      <c r="C7018" s="12" t="s">
        <v>30</v>
      </c>
      <c r="D7018" s="13" t="s">
        <v>31</v>
      </c>
      <c r="E7018" s="14"/>
      <c r="F7018" s="14"/>
      <c r="G7018" s="14"/>
      <c r="H7018" s="14"/>
    </row>
    <row r="7019" spans="3:11" x14ac:dyDescent="0.3">
      <c r="C7019" s="21" t="s">
        <v>32</v>
      </c>
      <c r="D7019" s="77"/>
      <c r="E7019" s="77"/>
      <c r="F7019" s="77"/>
      <c r="G7019" s="28"/>
      <c r="H7019" s="29">
        <f>SUM(H7018:H7018)</f>
        <v>0</v>
      </c>
    </row>
    <row r="7020" spans="3:11" x14ac:dyDescent="0.3">
      <c r="C7020" s="30" t="s">
        <v>33</v>
      </c>
      <c r="D7020" s="31" t="s">
        <v>34</v>
      </c>
      <c r="E7020" s="32"/>
      <c r="F7020" s="32"/>
      <c r="G7020" s="33"/>
      <c r="H7020" s="46">
        <f>H7019+H7017+H7014</f>
        <v>140325</v>
      </c>
      <c r="I7020" s="47"/>
    </row>
    <row r="7021" spans="3:11" x14ac:dyDescent="0.3">
      <c r="C7021" s="30" t="s">
        <v>35</v>
      </c>
      <c r="D7021" s="31" t="s">
        <v>36</v>
      </c>
      <c r="E7021" s="32"/>
      <c r="F7021" s="33"/>
      <c r="G7021" s="34">
        <f>$M$9</f>
        <v>0.1</v>
      </c>
      <c r="H7021" s="19">
        <f>H7020*G7021</f>
        <v>14032.5</v>
      </c>
      <c r="I7021" s="47"/>
    </row>
    <row r="7022" spans="3:11" x14ac:dyDescent="0.3">
      <c r="C7022" s="30" t="s">
        <v>37</v>
      </c>
      <c r="D7022" s="31" t="s">
        <v>38</v>
      </c>
      <c r="E7022" s="32"/>
      <c r="F7022" s="32"/>
      <c r="G7022" s="33"/>
      <c r="H7022" s="48">
        <f>SUM(H7020:H7021)</f>
        <v>154357.5</v>
      </c>
      <c r="I7022" s="47"/>
    </row>
    <row r="7024" spans="3:11" x14ac:dyDescent="0.3">
      <c r="C7024" s="40" t="s">
        <v>1323</v>
      </c>
      <c r="D7024" s="68" t="s">
        <v>1324</v>
      </c>
      <c r="E7024" s="44"/>
      <c r="F7024" s="44"/>
      <c r="G7024" s="44"/>
      <c r="H7024" s="44"/>
      <c r="I7024" s="10">
        <f>ROUNDDOWN(H7039,0)</f>
        <v>295322</v>
      </c>
      <c r="J7024" s="15"/>
      <c r="K7024" s="39"/>
    </row>
    <row r="7025" spans="3:9" ht="27.6" x14ac:dyDescent="0.3">
      <c r="C7025" s="11" t="s">
        <v>9</v>
      </c>
      <c r="D7025" s="11" t="s">
        <v>10</v>
      </c>
      <c r="E7025" s="11" t="s">
        <v>11</v>
      </c>
      <c r="F7025" s="11" t="s">
        <v>12</v>
      </c>
      <c r="G7025" s="11" t="s">
        <v>13</v>
      </c>
      <c r="H7025" s="11" t="s">
        <v>14</v>
      </c>
    </row>
    <row r="7026" spans="3:9" x14ac:dyDescent="0.25">
      <c r="C7026" s="12" t="s">
        <v>15</v>
      </c>
      <c r="D7026" s="13" t="s">
        <v>16</v>
      </c>
      <c r="E7026" s="14"/>
      <c r="F7026" s="14"/>
      <c r="G7026" s="14"/>
      <c r="H7026" s="14"/>
    </row>
    <row r="7027" spans="3:9" x14ac:dyDescent="0.3">
      <c r="C7027" s="16">
        <v>1</v>
      </c>
      <c r="D7027" s="13" t="s">
        <v>18</v>
      </c>
      <c r="E7027" s="17" t="s">
        <v>19</v>
      </c>
      <c r="F7027" s="18">
        <v>6.9000000000000006E-2</v>
      </c>
      <c r="G7027" s="19">
        <f>VLOOKUP(D7027,upahbahan,3,FALSE)</f>
        <v>100000</v>
      </c>
      <c r="H7027" s="19">
        <f t="shared" ref="H7027:H7030" si="725">F7027*G7027</f>
        <v>6900.0000000000009</v>
      </c>
    </row>
    <row r="7028" spans="3:9" x14ac:dyDescent="0.3">
      <c r="C7028" s="16">
        <v>2</v>
      </c>
      <c r="D7028" s="13" t="s">
        <v>21</v>
      </c>
      <c r="E7028" s="17" t="s">
        <v>19</v>
      </c>
      <c r="F7028" s="18">
        <v>0.115</v>
      </c>
      <c r="G7028" s="19">
        <f>VLOOKUP(D7028,upahbahan,3,FALSE)</f>
        <v>145000</v>
      </c>
      <c r="H7028" s="19">
        <f t="shared" si="725"/>
        <v>16675</v>
      </c>
    </row>
    <row r="7029" spans="3:9" x14ac:dyDescent="0.3">
      <c r="C7029" s="16">
        <v>3</v>
      </c>
      <c r="D7029" s="13" t="s">
        <v>1224</v>
      </c>
      <c r="E7029" s="17" t="s">
        <v>19</v>
      </c>
      <c r="F7029" s="18">
        <v>1.2E-2</v>
      </c>
      <c r="G7029" s="19">
        <f>VLOOKUP(D7029,upahbahan,3,FALSE)</f>
        <v>175000</v>
      </c>
      <c r="H7029" s="19">
        <f t="shared" si="725"/>
        <v>2100</v>
      </c>
    </row>
    <row r="7030" spans="3:9" x14ac:dyDescent="0.3">
      <c r="C7030" s="16">
        <v>4</v>
      </c>
      <c r="D7030" s="13" t="s">
        <v>23</v>
      </c>
      <c r="E7030" s="17" t="s">
        <v>19</v>
      </c>
      <c r="F7030" s="18">
        <v>4.0000000000000001E-3</v>
      </c>
      <c r="G7030" s="19">
        <f>VLOOKUP(D7030,upahbahan,3,FALSE)</f>
        <v>200000</v>
      </c>
      <c r="H7030" s="19">
        <f t="shared" si="725"/>
        <v>800</v>
      </c>
    </row>
    <row r="7031" spans="3:9" x14ac:dyDescent="0.3">
      <c r="C7031" s="21" t="s">
        <v>24</v>
      </c>
      <c r="D7031" s="22"/>
      <c r="E7031" s="22"/>
      <c r="F7031" s="54"/>
      <c r="G7031" s="24"/>
      <c r="H7031" s="19">
        <f>SUM(H7027:H7030)</f>
        <v>26475</v>
      </c>
      <c r="I7031" s="25"/>
    </row>
    <row r="7032" spans="3:9" x14ac:dyDescent="0.25">
      <c r="C7032" s="12" t="s">
        <v>25</v>
      </c>
      <c r="D7032" s="13" t="s">
        <v>26</v>
      </c>
      <c r="E7032" s="14"/>
      <c r="F7032" s="55"/>
      <c r="G7032" s="14"/>
      <c r="H7032" s="14"/>
    </row>
    <row r="7033" spans="3:9" x14ac:dyDescent="0.25">
      <c r="C7033" s="12">
        <v>1</v>
      </c>
      <c r="D7033" s="13" t="s">
        <v>1325</v>
      </c>
      <c r="E7033" s="53" t="s">
        <v>506</v>
      </c>
      <c r="F7033" s="115">
        <v>1.1000000000000001</v>
      </c>
      <c r="G7033" s="19">
        <f>VLOOKUP(D7033,upahbahan,3,FALSE)</f>
        <v>220000</v>
      </c>
      <c r="H7033" s="19">
        <f t="shared" ref="H7033" si="726">F7033*G7033</f>
        <v>242000.00000000003</v>
      </c>
    </row>
    <row r="7034" spans="3:9" x14ac:dyDescent="0.3">
      <c r="C7034" s="21" t="s">
        <v>29</v>
      </c>
      <c r="D7034" s="22"/>
      <c r="E7034" s="22"/>
      <c r="F7034" s="22"/>
      <c r="G7034" s="28"/>
      <c r="H7034" s="19">
        <f>SUM(H7032:H7033)</f>
        <v>242000.00000000003</v>
      </c>
    </row>
    <row r="7035" spans="3:9" x14ac:dyDescent="0.25">
      <c r="C7035" s="12" t="s">
        <v>30</v>
      </c>
      <c r="D7035" s="13" t="s">
        <v>31</v>
      </c>
      <c r="E7035" s="14"/>
      <c r="F7035" s="14"/>
      <c r="G7035" s="14"/>
      <c r="H7035" s="14"/>
    </row>
    <row r="7036" spans="3:9" x14ac:dyDescent="0.3">
      <c r="C7036" s="21" t="s">
        <v>32</v>
      </c>
      <c r="D7036" s="77"/>
      <c r="E7036" s="77"/>
      <c r="F7036" s="77"/>
      <c r="G7036" s="28"/>
      <c r="H7036" s="29">
        <f>SUM(H7035:H7035)</f>
        <v>0</v>
      </c>
    </row>
    <row r="7037" spans="3:9" x14ac:dyDescent="0.3">
      <c r="C7037" s="30" t="s">
        <v>33</v>
      </c>
      <c r="D7037" s="31" t="s">
        <v>34</v>
      </c>
      <c r="E7037" s="32"/>
      <c r="F7037" s="32"/>
      <c r="G7037" s="33"/>
      <c r="H7037" s="46">
        <f>H7036+H7034+H7031</f>
        <v>268475</v>
      </c>
      <c r="I7037" s="47"/>
    </row>
    <row r="7038" spans="3:9" x14ac:dyDescent="0.3">
      <c r="C7038" s="30" t="s">
        <v>35</v>
      </c>
      <c r="D7038" s="31" t="s">
        <v>36</v>
      </c>
      <c r="E7038" s="32"/>
      <c r="F7038" s="33"/>
      <c r="G7038" s="34">
        <f>$M$9</f>
        <v>0.1</v>
      </c>
      <c r="H7038" s="19">
        <f>H7037*G7038</f>
        <v>26847.5</v>
      </c>
      <c r="I7038" s="47"/>
    </row>
    <row r="7039" spans="3:9" x14ac:dyDescent="0.3">
      <c r="C7039" s="30" t="s">
        <v>37</v>
      </c>
      <c r="D7039" s="31" t="s">
        <v>38</v>
      </c>
      <c r="E7039" s="32"/>
      <c r="F7039" s="32"/>
      <c r="G7039" s="33"/>
      <c r="H7039" s="48">
        <f>SUM(H7037:H7038)</f>
        <v>295322.5</v>
      </c>
      <c r="I7039" s="47"/>
    </row>
    <row r="7041" spans="3:11" x14ac:dyDescent="0.3">
      <c r="C7041" s="40" t="s">
        <v>1326</v>
      </c>
      <c r="D7041" s="68" t="s">
        <v>1327</v>
      </c>
      <c r="E7041" s="44"/>
      <c r="F7041" s="44"/>
      <c r="G7041" s="44"/>
      <c r="H7041" s="44"/>
      <c r="I7041" s="10">
        <f>ROUNDDOWN(H7056,0)</f>
        <v>271122</v>
      </c>
      <c r="J7041" s="15"/>
      <c r="K7041" s="39"/>
    </row>
    <row r="7042" spans="3:11" ht="27.6" x14ac:dyDescent="0.3">
      <c r="C7042" s="11" t="s">
        <v>9</v>
      </c>
      <c r="D7042" s="11" t="s">
        <v>10</v>
      </c>
      <c r="E7042" s="11" t="s">
        <v>11</v>
      </c>
      <c r="F7042" s="11" t="s">
        <v>12</v>
      </c>
      <c r="G7042" s="11" t="s">
        <v>13</v>
      </c>
      <c r="H7042" s="11" t="s">
        <v>14</v>
      </c>
    </row>
    <row r="7043" spans="3:11" x14ac:dyDescent="0.25">
      <c r="C7043" s="12" t="s">
        <v>15</v>
      </c>
      <c r="D7043" s="13" t="s">
        <v>16</v>
      </c>
      <c r="E7043" s="14"/>
      <c r="F7043" s="14"/>
      <c r="G7043" s="14"/>
      <c r="H7043" s="14"/>
    </row>
    <row r="7044" spans="3:11" x14ac:dyDescent="0.3">
      <c r="C7044" s="16">
        <v>1</v>
      </c>
      <c r="D7044" s="13" t="s">
        <v>18</v>
      </c>
      <c r="E7044" s="17" t="s">
        <v>19</v>
      </c>
      <c r="F7044" s="18">
        <v>6.9000000000000006E-2</v>
      </c>
      <c r="G7044" s="19">
        <f>VLOOKUP(D7044,upahbahan,3,FALSE)</f>
        <v>100000</v>
      </c>
      <c r="H7044" s="19">
        <f t="shared" ref="H7044:H7047" si="727">F7044*G7044</f>
        <v>6900.0000000000009</v>
      </c>
    </row>
    <row r="7045" spans="3:11" x14ac:dyDescent="0.3">
      <c r="C7045" s="16">
        <v>2</v>
      </c>
      <c r="D7045" s="13" t="s">
        <v>21</v>
      </c>
      <c r="E7045" s="17" t="s">
        <v>19</v>
      </c>
      <c r="F7045" s="18">
        <v>0.115</v>
      </c>
      <c r="G7045" s="19">
        <f>VLOOKUP(D7045,upahbahan,3,FALSE)</f>
        <v>145000</v>
      </c>
      <c r="H7045" s="19">
        <f t="shared" si="727"/>
        <v>16675</v>
      </c>
    </row>
    <row r="7046" spans="3:11" x14ac:dyDescent="0.3">
      <c r="C7046" s="16">
        <v>3</v>
      </c>
      <c r="D7046" s="13" t="s">
        <v>1224</v>
      </c>
      <c r="E7046" s="17" t="s">
        <v>19</v>
      </c>
      <c r="F7046" s="18">
        <v>1.2E-2</v>
      </c>
      <c r="G7046" s="19">
        <f>VLOOKUP(D7046,upahbahan,3,FALSE)</f>
        <v>175000</v>
      </c>
      <c r="H7046" s="19">
        <f t="shared" si="727"/>
        <v>2100</v>
      </c>
    </row>
    <row r="7047" spans="3:11" x14ac:dyDescent="0.3">
      <c r="C7047" s="16">
        <v>4</v>
      </c>
      <c r="D7047" s="13" t="s">
        <v>23</v>
      </c>
      <c r="E7047" s="17" t="s">
        <v>19</v>
      </c>
      <c r="F7047" s="18">
        <v>4.0000000000000001E-3</v>
      </c>
      <c r="G7047" s="19">
        <f>VLOOKUP(D7047,upahbahan,3,FALSE)</f>
        <v>200000</v>
      </c>
      <c r="H7047" s="19">
        <f t="shared" si="727"/>
        <v>800</v>
      </c>
    </row>
    <row r="7048" spans="3:11" x14ac:dyDescent="0.3">
      <c r="C7048" s="21" t="s">
        <v>24</v>
      </c>
      <c r="D7048" s="22"/>
      <c r="E7048" s="22"/>
      <c r="F7048" s="54"/>
      <c r="G7048" s="24"/>
      <c r="H7048" s="19">
        <f>SUM(H7044:H7047)</f>
        <v>26475</v>
      </c>
      <c r="I7048" s="25"/>
    </row>
    <row r="7049" spans="3:11" x14ac:dyDescent="0.25">
      <c r="C7049" s="12" t="s">
        <v>25</v>
      </c>
      <c r="D7049" s="13" t="s">
        <v>26</v>
      </c>
      <c r="E7049" s="14"/>
      <c r="F7049" s="55"/>
      <c r="G7049" s="14"/>
      <c r="H7049" s="14"/>
    </row>
    <row r="7050" spans="3:11" x14ac:dyDescent="0.25">
      <c r="C7050" s="12">
        <v>1</v>
      </c>
      <c r="D7050" s="13" t="s">
        <v>1328</v>
      </c>
      <c r="E7050" s="53" t="s">
        <v>506</v>
      </c>
      <c r="F7050" s="115">
        <v>1.1000000000000001</v>
      </c>
      <c r="G7050" s="19">
        <f>VLOOKUP(D7050,upahbahan,3,FALSE)</f>
        <v>200000</v>
      </c>
      <c r="H7050" s="19">
        <f t="shared" ref="H7050" si="728">F7050*G7050</f>
        <v>220000.00000000003</v>
      </c>
    </row>
    <row r="7051" spans="3:11" x14ac:dyDescent="0.3">
      <c r="C7051" s="21" t="s">
        <v>29</v>
      </c>
      <c r="D7051" s="22"/>
      <c r="E7051" s="22"/>
      <c r="F7051" s="22"/>
      <c r="G7051" s="28"/>
      <c r="H7051" s="19">
        <f>SUM(H7049:H7050)</f>
        <v>220000.00000000003</v>
      </c>
    </row>
    <row r="7052" spans="3:11" x14ac:dyDescent="0.25">
      <c r="C7052" s="12" t="s">
        <v>30</v>
      </c>
      <c r="D7052" s="13" t="s">
        <v>31</v>
      </c>
      <c r="E7052" s="14"/>
      <c r="F7052" s="14"/>
      <c r="G7052" s="14"/>
      <c r="H7052" s="14"/>
    </row>
    <row r="7053" spans="3:11" x14ac:dyDescent="0.3">
      <c r="C7053" s="21" t="s">
        <v>32</v>
      </c>
      <c r="D7053" s="77"/>
      <c r="E7053" s="77"/>
      <c r="F7053" s="77"/>
      <c r="G7053" s="28"/>
      <c r="H7053" s="29">
        <f>SUM(H7052:H7052)</f>
        <v>0</v>
      </c>
    </row>
    <row r="7054" spans="3:11" x14ac:dyDescent="0.3">
      <c r="C7054" s="30" t="s">
        <v>33</v>
      </c>
      <c r="D7054" s="31" t="s">
        <v>34</v>
      </c>
      <c r="E7054" s="32"/>
      <c r="F7054" s="32"/>
      <c r="G7054" s="33"/>
      <c r="H7054" s="46">
        <f>H7053+H7051+H7048</f>
        <v>246475.00000000003</v>
      </c>
      <c r="I7054" s="47"/>
    </row>
    <row r="7055" spans="3:11" x14ac:dyDescent="0.3">
      <c r="C7055" s="30" t="s">
        <v>35</v>
      </c>
      <c r="D7055" s="31" t="s">
        <v>36</v>
      </c>
      <c r="E7055" s="32"/>
      <c r="F7055" s="33"/>
      <c r="G7055" s="34">
        <f>$M$9</f>
        <v>0.1</v>
      </c>
      <c r="H7055" s="19">
        <f>H7054*G7055</f>
        <v>24647.500000000004</v>
      </c>
      <c r="I7055" s="47"/>
    </row>
    <row r="7056" spans="3:11" x14ac:dyDescent="0.3">
      <c r="C7056" s="30" t="s">
        <v>37</v>
      </c>
      <c r="D7056" s="31" t="s">
        <v>38</v>
      </c>
      <c r="E7056" s="32"/>
      <c r="F7056" s="32"/>
      <c r="G7056" s="33"/>
      <c r="H7056" s="48">
        <f>SUM(H7054:H7055)</f>
        <v>271122.50000000006</v>
      </c>
      <c r="I7056" s="47"/>
    </row>
    <row r="7059" spans="3:11" x14ac:dyDescent="0.3">
      <c r="C7059" s="56" t="s">
        <v>1329</v>
      </c>
      <c r="D7059" s="69" t="s">
        <v>1330</v>
      </c>
      <c r="E7059" s="58"/>
      <c r="F7059" s="58"/>
      <c r="G7059" s="58"/>
      <c r="H7059" s="58"/>
      <c r="I7059" s="10">
        <f>ROUNDDOWN(H7074,0)</f>
        <v>374000</v>
      </c>
      <c r="J7059" s="15"/>
      <c r="K7059" s="39"/>
    </row>
    <row r="7060" spans="3:11" ht="27.6" x14ac:dyDescent="0.3">
      <c r="C7060" s="11" t="s">
        <v>9</v>
      </c>
      <c r="D7060" s="11" t="s">
        <v>10</v>
      </c>
      <c r="E7060" s="11" t="s">
        <v>11</v>
      </c>
      <c r="F7060" s="11" t="s">
        <v>12</v>
      </c>
      <c r="G7060" s="11" t="s">
        <v>13</v>
      </c>
      <c r="H7060" s="11" t="s">
        <v>14</v>
      </c>
    </row>
    <row r="7061" spans="3:11" x14ac:dyDescent="0.25">
      <c r="C7061" s="12" t="s">
        <v>15</v>
      </c>
      <c r="D7061" s="13" t="s">
        <v>16</v>
      </c>
      <c r="E7061" s="14"/>
      <c r="F7061" s="14"/>
      <c r="G7061" s="14"/>
      <c r="H7061" s="14"/>
    </row>
    <row r="7062" spans="3:11" x14ac:dyDescent="0.3">
      <c r="C7062" s="16">
        <v>1</v>
      </c>
      <c r="D7062" s="13" t="s">
        <v>18</v>
      </c>
      <c r="E7062" s="17" t="s">
        <v>19</v>
      </c>
      <c r="F7062" s="18">
        <v>0.129</v>
      </c>
      <c r="G7062" s="19">
        <f>VLOOKUP(D7062,upahbahan,3,FALSE)</f>
        <v>100000</v>
      </c>
      <c r="H7062" s="19">
        <f t="shared" ref="H7062:H7065" si="729">F7062*G7062</f>
        <v>12900</v>
      </c>
    </row>
    <row r="7063" spans="3:11" x14ac:dyDescent="0.3">
      <c r="C7063" s="16">
        <v>2</v>
      </c>
      <c r="D7063" s="13" t="s">
        <v>21</v>
      </c>
      <c r="E7063" s="17" t="s">
        <v>19</v>
      </c>
      <c r="F7063" s="18">
        <v>0.215</v>
      </c>
      <c r="G7063" s="19">
        <f>VLOOKUP(D7063,upahbahan,3,FALSE)</f>
        <v>145000</v>
      </c>
      <c r="H7063" s="19">
        <f t="shared" si="729"/>
        <v>31175</v>
      </c>
    </row>
    <row r="7064" spans="3:11" x14ac:dyDescent="0.3">
      <c r="C7064" s="16">
        <v>3</v>
      </c>
      <c r="D7064" s="13" t="s">
        <v>1224</v>
      </c>
      <c r="E7064" s="17" t="s">
        <v>19</v>
      </c>
      <c r="F7064" s="18">
        <v>2.1000000000000001E-2</v>
      </c>
      <c r="G7064" s="19">
        <f>VLOOKUP(D7064,upahbahan,3,FALSE)</f>
        <v>175000</v>
      </c>
      <c r="H7064" s="19">
        <f t="shared" si="729"/>
        <v>3675.0000000000005</v>
      </c>
    </row>
    <row r="7065" spans="3:11" x14ac:dyDescent="0.3">
      <c r="C7065" s="16">
        <v>4</v>
      </c>
      <c r="D7065" s="13" t="s">
        <v>23</v>
      </c>
      <c r="E7065" s="17" t="s">
        <v>19</v>
      </c>
      <c r="F7065" s="18">
        <v>7.0000000000000007E-2</v>
      </c>
      <c r="G7065" s="19">
        <f>VLOOKUP(D7065,upahbahan,3,FALSE)</f>
        <v>200000</v>
      </c>
      <c r="H7065" s="19">
        <f t="shared" si="729"/>
        <v>14000.000000000002</v>
      </c>
    </row>
    <row r="7066" spans="3:11" x14ac:dyDescent="0.3">
      <c r="C7066" s="21" t="s">
        <v>24</v>
      </c>
      <c r="D7066" s="22"/>
      <c r="E7066" s="22"/>
      <c r="F7066" s="54"/>
      <c r="G7066" s="24"/>
      <c r="H7066" s="19">
        <f>SUM(H7062:H7065)</f>
        <v>61750</v>
      </c>
      <c r="I7066" s="25"/>
    </row>
    <row r="7067" spans="3:11" x14ac:dyDescent="0.25">
      <c r="C7067" s="12" t="s">
        <v>25</v>
      </c>
      <c r="D7067" s="13" t="s">
        <v>26</v>
      </c>
      <c r="E7067" s="14"/>
      <c r="F7067" s="55"/>
      <c r="G7067" s="14"/>
      <c r="H7067" s="14"/>
    </row>
    <row r="7068" spans="3:11" x14ac:dyDescent="0.25">
      <c r="C7068" s="12">
        <v>1</v>
      </c>
      <c r="D7068" s="13" t="s">
        <v>1261</v>
      </c>
      <c r="E7068" s="53" t="s">
        <v>506</v>
      </c>
      <c r="F7068" s="115">
        <v>1.05</v>
      </c>
      <c r="G7068" s="19">
        <f>VLOOKUP(D7068,upahbahan,3,FALSE)</f>
        <v>265000</v>
      </c>
      <c r="H7068" s="19">
        <f t="shared" ref="H7068" si="730">F7068*G7068</f>
        <v>278250</v>
      </c>
    </row>
    <row r="7069" spans="3:11" x14ac:dyDescent="0.3">
      <c r="C7069" s="21" t="s">
        <v>29</v>
      </c>
      <c r="D7069" s="22"/>
      <c r="E7069" s="22"/>
      <c r="F7069" s="22"/>
      <c r="G7069" s="28"/>
      <c r="H7069" s="19">
        <f>SUM(H7067:H7068)</f>
        <v>278250</v>
      </c>
    </row>
    <row r="7070" spans="3:11" x14ac:dyDescent="0.25">
      <c r="C7070" s="12" t="s">
        <v>30</v>
      </c>
      <c r="D7070" s="13" t="s">
        <v>31</v>
      </c>
      <c r="E7070" s="14"/>
      <c r="F7070" s="14"/>
      <c r="G7070" s="14"/>
      <c r="H7070" s="14"/>
    </row>
    <row r="7071" spans="3:11" x14ac:dyDescent="0.3">
      <c r="C7071" s="21" t="s">
        <v>32</v>
      </c>
      <c r="D7071" s="77"/>
      <c r="E7071" s="77"/>
      <c r="F7071" s="77"/>
      <c r="G7071" s="28"/>
      <c r="H7071" s="29">
        <f>SUM(H7070:H7070)</f>
        <v>0</v>
      </c>
    </row>
    <row r="7072" spans="3:11" x14ac:dyDescent="0.3">
      <c r="C7072" s="30" t="s">
        <v>33</v>
      </c>
      <c r="D7072" s="31" t="s">
        <v>34</v>
      </c>
      <c r="E7072" s="32"/>
      <c r="F7072" s="32"/>
      <c r="G7072" s="33"/>
      <c r="H7072" s="46">
        <f>H7071+H7069+H7066</f>
        <v>340000</v>
      </c>
      <c r="I7072" s="47"/>
    </row>
    <row r="7073" spans="3:11" x14ac:dyDescent="0.3">
      <c r="C7073" s="30" t="s">
        <v>35</v>
      </c>
      <c r="D7073" s="31" t="s">
        <v>36</v>
      </c>
      <c r="E7073" s="32"/>
      <c r="F7073" s="33"/>
      <c r="G7073" s="34">
        <f>$M$9</f>
        <v>0.1</v>
      </c>
      <c r="H7073" s="19">
        <f>H7072*G7073</f>
        <v>34000</v>
      </c>
      <c r="I7073" s="47"/>
    </row>
    <row r="7074" spans="3:11" x14ac:dyDescent="0.3">
      <c r="C7074" s="30" t="s">
        <v>37</v>
      </c>
      <c r="D7074" s="31" t="s">
        <v>38</v>
      </c>
      <c r="E7074" s="32"/>
      <c r="F7074" s="32"/>
      <c r="G7074" s="33"/>
      <c r="H7074" s="48">
        <f>SUM(H7072:H7073)</f>
        <v>374000</v>
      </c>
      <c r="I7074" s="47"/>
    </row>
    <row r="7076" spans="3:11" x14ac:dyDescent="0.3">
      <c r="C7076" s="40" t="s">
        <v>1331</v>
      </c>
      <c r="D7076" s="68" t="s">
        <v>1332</v>
      </c>
      <c r="E7076" s="44"/>
      <c r="F7076" s="44"/>
      <c r="G7076" s="44"/>
      <c r="H7076" s="44"/>
      <c r="I7076" s="10">
        <f>ROUNDDOWN(H7091,0)</f>
        <v>26763</v>
      </c>
      <c r="J7076" s="15"/>
      <c r="K7076" s="39"/>
    </row>
    <row r="7077" spans="3:11" ht="27.6" x14ac:dyDescent="0.3">
      <c r="C7077" s="11" t="s">
        <v>9</v>
      </c>
      <c r="D7077" s="11" t="s">
        <v>10</v>
      </c>
      <c r="E7077" s="11" t="s">
        <v>11</v>
      </c>
      <c r="F7077" s="11" t="s">
        <v>12</v>
      </c>
      <c r="G7077" s="11" t="s">
        <v>13</v>
      </c>
      <c r="H7077" s="11" t="s">
        <v>14</v>
      </c>
    </row>
    <row r="7078" spans="3:11" x14ac:dyDescent="0.25">
      <c r="C7078" s="12" t="s">
        <v>15</v>
      </c>
      <c r="D7078" s="13" t="s">
        <v>16</v>
      </c>
      <c r="E7078" s="14"/>
      <c r="F7078" s="14"/>
      <c r="G7078" s="14"/>
      <c r="H7078" s="14"/>
    </row>
    <row r="7079" spans="3:11" x14ac:dyDescent="0.3">
      <c r="C7079" s="16">
        <v>1</v>
      </c>
      <c r="D7079" s="13" t="s">
        <v>18</v>
      </c>
      <c r="E7079" s="17" t="s">
        <v>19</v>
      </c>
      <c r="F7079" s="18">
        <v>3.5999999999999997E-2</v>
      </c>
      <c r="G7079" s="19">
        <f>VLOOKUP(D7079,upahbahan,3,FALSE)</f>
        <v>100000</v>
      </c>
      <c r="H7079" s="19">
        <f t="shared" ref="H7079:H7082" si="731">F7079*G7079</f>
        <v>3599.9999999999995</v>
      </c>
    </row>
    <row r="7080" spans="3:11" x14ac:dyDescent="0.3">
      <c r="C7080" s="16">
        <v>2</v>
      </c>
      <c r="D7080" s="13" t="s">
        <v>21</v>
      </c>
      <c r="E7080" s="17" t="s">
        <v>19</v>
      </c>
      <c r="F7080" s="18">
        <v>0.06</v>
      </c>
      <c r="G7080" s="19">
        <f>VLOOKUP(D7080,upahbahan,3,FALSE)</f>
        <v>145000</v>
      </c>
      <c r="H7080" s="19">
        <f t="shared" si="731"/>
        <v>8700</v>
      </c>
    </row>
    <row r="7081" spans="3:11" x14ac:dyDescent="0.3">
      <c r="C7081" s="16">
        <v>3</v>
      </c>
      <c r="D7081" s="13" t="s">
        <v>1224</v>
      </c>
      <c r="E7081" s="17" t="s">
        <v>19</v>
      </c>
      <c r="F7081" s="18">
        <v>6.0000000000000001E-3</v>
      </c>
      <c r="G7081" s="19">
        <f>VLOOKUP(D7081,upahbahan,3,FALSE)</f>
        <v>175000</v>
      </c>
      <c r="H7081" s="19">
        <f t="shared" si="731"/>
        <v>1050</v>
      </c>
    </row>
    <row r="7082" spans="3:11" x14ac:dyDescent="0.3">
      <c r="C7082" s="16">
        <v>4</v>
      </c>
      <c r="D7082" s="13" t="s">
        <v>23</v>
      </c>
      <c r="E7082" s="17" t="s">
        <v>19</v>
      </c>
      <c r="F7082" s="18">
        <v>2E-3</v>
      </c>
      <c r="G7082" s="19">
        <f>VLOOKUP(D7082,upahbahan,3,FALSE)</f>
        <v>200000</v>
      </c>
      <c r="H7082" s="19">
        <f t="shared" si="731"/>
        <v>400</v>
      </c>
    </row>
    <row r="7083" spans="3:11" x14ac:dyDescent="0.3">
      <c r="C7083" s="21" t="s">
        <v>24</v>
      </c>
      <c r="D7083" s="22"/>
      <c r="E7083" s="22"/>
      <c r="F7083" s="54"/>
      <c r="G7083" s="24"/>
      <c r="H7083" s="19">
        <f>SUM(H7079:H7082)</f>
        <v>13750</v>
      </c>
      <c r="I7083" s="25"/>
    </row>
    <row r="7084" spans="3:11" x14ac:dyDescent="0.25">
      <c r="C7084" s="12" t="s">
        <v>25</v>
      </c>
      <c r="D7084" s="13" t="s">
        <v>26</v>
      </c>
      <c r="E7084" s="14"/>
      <c r="F7084" s="55"/>
      <c r="G7084" s="14"/>
      <c r="H7084" s="14"/>
    </row>
    <row r="7085" spans="3:11" x14ac:dyDescent="0.25">
      <c r="C7085" s="12">
        <v>1</v>
      </c>
      <c r="D7085" s="13" t="s">
        <v>203</v>
      </c>
      <c r="E7085" s="53" t="s">
        <v>974</v>
      </c>
      <c r="F7085" s="115">
        <v>1.1499999999999999</v>
      </c>
      <c r="G7085" s="19">
        <f>VLOOKUP(D7085,upahbahan,3,FALSE)</f>
        <v>9200</v>
      </c>
      <c r="H7085" s="19">
        <f t="shared" ref="H7085" si="732">F7085*G7085</f>
        <v>10580</v>
      </c>
    </row>
    <row r="7086" spans="3:11" x14ac:dyDescent="0.3">
      <c r="C7086" s="21" t="s">
        <v>29</v>
      </c>
      <c r="D7086" s="22"/>
      <c r="E7086" s="22"/>
      <c r="F7086" s="22"/>
      <c r="G7086" s="28"/>
      <c r="H7086" s="19">
        <f>SUM(H7084:H7085)</f>
        <v>10580</v>
      </c>
    </row>
    <row r="7087" spans="3:11" x14ac:dyDescent="0.25">
      <c r="C7087" s="12" t="s">
        <v>30</v>
      </c>
      <c r="D7087" s="13" t="s">
        <v>31</v>
      </c>
      <c r="E7087" s="14"/>
      <c r="F7087" s="14"/>
      <c r="G7087" s="14"/>
      <c r="H7087" s="14"/>
    </row>
    <row r="7088" spans="3:11" x14ac:dyDescent="0.3">
      <c r="C7088" s="21" t="s">
        <v>32</v>
      </c>
      <c r="D7088" s="77"/>
      <c r="E7088" s="77"/>
      <c r="F7088" s="77"/>
      <c r="G7088" s="28"/>
      <c r="H7088" s="29">
        <f>SUM(H7087:H7087)</f>
        <v>0</v>
      </c>
    </row>
    <row r="7089" spans="3:11" x14ac:dyDescent="0.3">
      <c r="C7089" s="30" t="s">
        <v>33</v>
      </c>
      <c r="D7089" s="31" t="s">
        <v>34</v>
      </c>
      <c r="E7089" s="32"/>
      <c r="F7089" s="32"/>
      <c r="G7089" s="33"/>
      <c r="H7089" s="46">
        <f>H7088+H7086+H7083</f>
        <v>24330</v>
      </c>
      <c r="I7089" s="47"/>
    </row>
    <row r="7090" spans="3:11" x14ac:dyDescent="0.3">
      <c r="C7090" s="30" t="s">
        <v>35</v>
      </c>
      <c r="D7090" s="31" t="s">
        <v>36</v>
      </c>
      <c r="E7090" s="32"/>
      <c r="F7090" s="33"/>
      <c r="G7090" s="34">
        <f>$M$9</f>
        <v>0.1</v>
      </c>
      <c r="H7090" s="19">
        <f>H7089*G7090</f>
        <v>2433</v>
      </c>
      <c r="I7090" s="47"/>
    </row>
    <row r="7091" spans="3:11" x14ac:dyDescent="0.3">
      <c r="C7091" s="30" t="s">
        <v>37</v>
      </c>
      <c r="D7091" s="31" t="s">
        <v>38</v>
      </c>
      <c r="E7091" s="32"/>
      <c r="F7091" s="32"/>
      <c r="G7091" s="33"/>
      <c r="H7091" s="48">
        <f>SUM(H7089:H7090)</f>
        <v>26763</v>
      </c>
      <c r="I7091" s="47"/>
    </row>
    <row r="7094" spans="3:11" x14ac:dyDescent="0.3">
      <c r="C7094" s="40" t="s">
        <v>1333</v>
      </c>
      <c r="D7094" s="68" t="s">
        <v>1334</v>
      </c>
      <c r="E7094" s="44"/>
      <c r="F7094" s="44"/>
      <c r="G7094" s="44"/>
      <c r="H7094" s="44"/>
      <c r="I7094" s="10">
        <f>ROUNDDOWN(H7109,0)</f>
        <v>34611</v>
      </c>
      <c r="J7094" s="15"/>
      <c r="K7094" s="39"/>
    </row>
    <row r="7095" spans="3:11" ht="27.6" x14ac:dyDescent="0.3">
      <c r="C7095" s="11" t="s">
        <v>9</v>
      </c>
      <c r="D7095" s="11" t="s">
        <v>10</v>
      </c>
      <c r="E7095" s="11" t="s">
        <v>11</v>
      </c>
      <c r="F7095" s="11" t="s">
        <v>12</v>
      </c>
      <c r="G7095" s="11" t="s">
        <v>13</v>
      </c>
      <c r="H7095" s="11" t="s">
        <v>14</v>
      </c>
    </row>
    <row r="7096" spans="3:11" x14ac:dyDescent="0.25">
      <c r="C7096" s="12" t="s">
        <v>15</v>
      </c>
      <c r="D7096" s="13" t="s">
        <v>16</v>
      </c>
      <c r="E7096" s="14"/>
      <c r="F7096" s="14"/>
      <c r="G7096" s="14"/>
      <c r="H7096" s="14"/>
    </row>
    <row r="7097" spans="3:11" x14ac:dyDescent="0.3">
      <c r="C7097" s="16">
        <v>1</v>
      </c>
      <c r="D7097" s="13" t="s">
        <v>18</v>
      </c>
      <c r="E7097" s="17" t="s">
        <v>19</v>
      </c>
      <c r="F7097" s="18">
        <v>2.4E-2</v>
      </c>
      <c r="G7097" s="19">
        <f>VLOOKUP(D7097,upahbahan,3,FALSE)</f>
        <v>100000</v>
      </c>
      <c r="H7097" s="19">
        <f t="shared" ref="H7097:H7100" si="733">F7097*G7097</f>
        <v>2400</v>
      </c>
    </row>
    <row r="7098" spans="3:11" x14ac:dyDescent="0.3">
      <c r="C7098" s="16">
        <v>2</v>
      </c>
      <c r="D7098" s="13" t="s">
        <v>21</v>
      </c>
      <c r="E7098" s="17" t="s">
        <v>19</v>
      </c>
      <c r="F7098" s="18">
        <v>0.04</v>
      </c>
      <c r="G7098" s="19">
        <f>VLOOKUP(D7098,upahbahan,3,FALSE)</f>
        <v>145000</v>
      </c>
      <c r="H7098" s="19">
        <f t="shared" si="733"/>
        <v>5800</v>
      </c>
    </row>
    <row r="7099" spans="3:11" x14ac:dyDescent="0.3">
      <c r="C7099" s="16">
        <v>3</v>
      </c>
      <c r="D7099" s="13" t="s">
        <v>1224</v>
      </c>
      <c r="E7099" s="17" t="s">
        <v>19</v>
      </c>
      <c r="F7099" s="18">
        <v>4.0000000000000001E-3</v>
      </c>
      <c r="G7099" s="19">
        <f>VLOOKUP(D7099,upahbahan,3,FALSE)</f>
        <v>175000</v>
      </c>
      <c r="H7099" s="19">
        <f t="shared" si="733"/>
        <v>700</v>
      </c>
    </row>
    <row r="7100" spans="3:11" x14ac:dyDescent="0.3">
      <c r="C7100" s="16">
        <v>4</v>
      </c>
      <c r="D7100" s="13" t="s">
        <v>23</v>
      </c>
      <c r="E7100" s="17" t="s">
        <v>19</v>
      </c>
      <c r="F7100" s="18">
        <v>1E-3</v>
      </c>
      <c r="G7100" s="19">
        <f>VLOOKUP(D7100,upahbahan,3,FALSE)</f>
        <v>200000</v>
      </c>
      <c r="H7100" s="19">
        <f t="shared" si="733"/>
        <v>200</v>
      </c>
    </row>
    <row r="7101" spans="3:11" x14ac:dyDescent="0.3">
      <c r="C7101" s="21" t="s">
        <v>24</v>
      </c>
      <c r="D7101" s="22"/>
      <c r="E7101" s="22"/>
      <c r="F7101" s="54"/>
      <c r="G7101" s="24"/>
      <c r="H7101" s="19">
        <f>SUM(H7097:H7100)</f>
        <v>9100</v>
      </c>
      <c r="I7101" s="25"/>
    </row>
    <row r="7102" spans="3:11" x14ac:dyDescent="0.25">
      <c r="C7102" s="12" t="s">
        <v>25</v>
      </c>
      <c r="D7102" s="13" t="s">
        <v>26</v>
      </c>
      <c r="E7102" s="14"/>
      <c r="F7102" s="55"/>
      <c r="G7102" s="14"/>
      <c r="H7102" s="14"/>
    </row>
    <row r="7103" spans="3:11" x14ac:dyDescent="0.25">
      <c r="C7103" s="12">
        <v>1</v>
      </c>
      <c r="D7103" s="13" t="s">
        <v>211</v>
      </c>
      <c r="E7103" s="53" t="s">
        <v>974</v>
      </c>
      <c r="F7103" s="115">
        <v>1.1499999999999999</v>
      </c>
      <c r="G7103" s="19">
        <f>VLOOKUP(D7103,upahbahan,3,FALSE)</f>
        <v>19448</v>
      </c>
      <c r="H7103" s="19">
        <f t="shared" ref="H7103" si="734">F7103*G7103</f>
        <v>22365.199999999997</v>
      </c>
    </row>
    <row r="7104" spans="3:11" x14ac:dyDescent="0.3">
      <c r="C7104" s="21" t="s">
        <v>29</v>
      </c>
      <c r="D7104" s="22"/>
      <c r="E7104" s="22"/>
      <c r="F7104" s="22"/>
      <c r="G7104" s="28"/>
      <c r="H7104" s="19">
        <f>SUM(H7102:H7103)</f>
        <v>22365.199999999997</v>
      </c>
    </row>
    <row r="7105" spans="3:11" x14ac:dyDescent="0.25">
      <c r="C7105" s="12" t="s">
        <v>30</v>
      </c>
      <c r="D7105" s="13" t="s">
        <v>31</v>
      </c>
      <c r="E7105" s="14"/>
      <c r="F7105" s="14"/>
      <c r="G7105" s="14"/>
      <c r="H7105" s="14"/>
    </row>
    <row r="7106" spans="3:11" x14ac:dyDescent="0.3">
      <c r="C7106" s="21" t="s">
        <v>32</v>
      </c>
      <c r="D7106" s="77"/>
      <c r="E7106" s="77"/>
      <c r="F7106" s="77"/>
      <c r="G7106" s="28"/>
      <c r="H7106" s="29">
        <f>SUM(H7105:H7105)</f>
        <v>0</v>
      </c>
    </row>
    <row r="7107" spans="3:11" x14ac:dyDescent="0.3">
      <c r="C7107" s="30" t="s">
        <v>33</v>
      </c>
      <c r="D7107" s="31" t="s">
        <v>34</v>
      </c>
      <c r="E7107" s="32"/>
      <c r="F7107" s="32"/>
      <c r="G7107" s="33"/>
      <c r="H7107" s="46">
        <f>H7106+H7104+H7101</f>
        <v>31465.199999999997</v>
      </c>
      <c r="I7107" s="47"/>
    </row>
    <row r="7108" spans="3:11" x14ac:dyDescent="0.3">
      <c r="C7108" s="30" t="s">
        <v>35</v>
      </c>
      <c r="D7108" s="31" t="s">
        <v>36</v>
      </c>
      <c r="E7108" s="32"/>
      <c r="F7108" s="33"/>
      <c r="G7108" s="34">
        <f>$M$9</f>
        <v>0.1</v>
      </c>
      <c r="H7108" s="19">
        <f>H7107*G7108</f>
        <v>3146.52</v>
      </c>
      <c r="I7108" s="47"/>
    </row>
    <row r="7109" spans="3:11" x14ac:dyDescent="0.3">
      <c r="C7109" s="30" t="s">
        <v>37</v>
      </c>
      <c r="D7109" s="31" t="s">
        <v>38</v>
      </c>
      <c r="E7109" s="32"/>
      <c r="F7109" s="32"/>
      <c r="G7109" s="33"/>
      <c r="H7109" s="48">
        <f>SUM(H7107:H7108)</f>
        <v>34611.719999999994</v>
      </c>
      <c r="I7109" s="47"/>
    </row>
    <row r="7111" spans="3:11" x14ac:dyDescent="0.3">
      <c r="C7111" s="40" t="s">
        <v>1335</v>
      </c>
      <c r="D7111" s="68" t="s">
        <v>1336</v>
      </c>
      <c r="E7111" s="44"/>
      <c r="F7111" s="44"/>
      <c r="G7111" s="44"/>
      <c r="H7111" s="44"/>
      <c r="I7111" s="10">
        <f>ROUNDDOWN(H7126,0)</f>
        <v>80272</v>
      </c>
      <c r="J7111" s="15"/>
      <c r="K7111" s="39"/>
    </row>
    <row r="7112" spans="3:11" ht="27.6" x14ac:dyDescent="0.3">
      <c r="C7112" s="11" t="s">
        <v>9</v>
      </c>
      <c r="D7112" s="11" t="s">
        <v>10</v>
      </c>
      <c r="E7112" s="11" t="s">
        <v>11</v>
      </c>
      <c r="F7112" s="11" t="s">
        <v>12</v>
      </c>
      <c r="G7112" s="11" t="s">
        <v>13</v>
      </c>
      <c r="H7112" s="11" t="s">
        <v>14</v>
      </c>
    </row>
    <row r="7113" spans="3:11" x14ac:dyDescent="0.25">
      <c r="C7113" s="12" t="s">
        <v>15</v>
      </c>
      <c r="D7113" s="13" t="s">
        <v>16</v>
      </c>
      <c r="E7113" s="14"/>
      <c r="F7113" s="14"/>
      <c r="G7113" s="14"/>
      <c r="H7113" s="14"/>
    </row>
    <row r="7114" spans="3:11" x14ac:dyDescent="0.3">
      <c r="C7114" s="16">
        <v>1</v>
      </c>
      <c r="D7114" s="13" t="s">
        <v>18</v>
      </c>
      <c r="E7114" s="17" t="s">
        <v>19</v>
      </c>
      <c r="F7114" s="18">
        <v>3.5999999999999997E-2</v>
      </c>
      <c r="G7114" s="19">
        <f>VLOOKUP(D7114,upahbahan,3,FALSE)</f>
        <v>100000</v>
      </c>
      <c r="H7114" s="19">
        <f t="shared" ref="H7114:H7117" si="735">F7114*G7114</f>
        <v>3599.9999999999995</v>
      </c>
    </row>
    <row r="7115" spans="3:11" x14ac:dyDescent="0.3">
      <c r="C7115" s="16">
        <v>2</v>
      </c>
      <c r="D7115" s="13" t="s">
        <v>21</v>
      </c>
      <c r="E7115" s="17" t="s">
        <v>19</v>
      </c>
      <c r="F7115" s="18">
        <v>0.06</v>
      </c>
      <c r="G7115" s="19">
        <f>VLOOKUP(D7115,upahbahan,3,FALSE)</f>
        <v>145000</v>
      </c>
      <c r="H7115" s="19">
        <f t="shared" si="735"/>
        <v>8700</v>
      </c>
    </row>
    <row r="7116" spans="3:11" x14ac:dyDescent="0.3">
      <c r="C7116" s="16">
        <v>3</v>
      </c>
      <c r="D7116" s="13" t="s">
        <v>1224</v>
      </c>
      <c r="E7116" s="17" t="s">
        <v>19</v>
      </c>
      <c r="F7116" s="18">
        <v>6.0000000000000001E-3</v>
      </c>
      <c r="G7116" s="19">
        <f>VLOOKUP(D7116,upahbahan,3,FALSE)</f>
        <v>175000</v>
      </c>
      <c r="H7116" s="19">
        <f t="shared" si="735"/>
        <v>1050</v>
      </c>
    </row>
    <row r="7117" spans="3:11" x14ac:dyDescent="0.3">
      <c r="C7117" s="16">
        <v>4</v>
      </c>
      <c r="D7117" s="13" t="s">
        <v>23</v>
      </c>
      <c r="E7117" s="17" t="s">
        <v>19</v>
      </c>
      <c r="F7117" s="18">
        <v>2E-3</v>
      </c>
      <c r="G7117" s="19">
        <f>VLOOKUP(D7117,upahbahan,3,FALSE)</f>
        <v>200000</v>
      </c>
      <c r="H7117" s="19">
        <f t="shared" si="735"/>
        <v>400</v>
      </c>
    </row>
    <row r="7118" spans="3:11" x14ac:dyDescent="0.3">
      <c r="C7118" s="21" t="s">
        <v>24</v>
      </c>
      <c r="D7118" s="22"/>
      <c r="E7118" s="22"/>
      <c r="F7118" s="54"/>
      <c r="G7118" s="24"/>
      <c r="H7118" s="19">
        <f>SUM(H7114:H7117)</f>
        <v>13750</v>
      </c>
      <c r="I7118" s="25"/>
    </row>
    <row r="7119" spans="3:11" x14ac:dyDescent="0.25">
      <c r="C7119" s="12" t="s">
        <v>25</v>
      </c>
      <c r="D7119" s="13" t="s">
        <v>26</v>
      </c>
      <c r="E7119" s="14"/>
      <c r="F7119" s="55"/>
      <c r="G7119" s="14"/>
      <c r="H7119" s="14"/>
    </row>
    <row r="7120" spans="3:11" x14ac:dyDescent="0.25">
      <c r="C7120" s="12">
        <v>1</v>
      </c>
      <c r="D7120" s="13" t="s">
        <v>218</v>
      </c>
      <c r="E7120" s="53" t="s">
        <v>28</v>
      </c>
      <c r="F7120" s="115">
        <v>1.1499999999999999</v>
      </c>
      <c r="G7120" s="19">
        <f>VLOOKUP(D7120,upahbahan,3,FALSE)</f>
        <v>51500</v>
      </c>
      <c r="H7120" s="19">
        <f t="shared" ref="H7120" si="736">F7120*G7120</f>
        <v>59224.999999999993</v>
      </c>
    </row>
    <row r="7121" spans="3:11" x14ac:dyDescent="0.3">
      <c r="C7121" s="21" t="s">
        <v>29</v>
      </c>
      <c r="D7121" s="22"/>
      <c r="E7121" s="22"/>
      <c r="F7121" s="22"/>
      <c r="G7121" s="28"/>
      <c r="H7121" s="19">
        <f>SUM(H7119:H7120)</f>
        <v>59224.999999999993</v>
      </c>
    </row>
    <row r="7122" spans="3:11" x14ac:dyDescent="0.25">
      <c r="C7122" s="12" t="s">
        <v>30</v>
      </c>
      <c r="D7122" s="13" t="s">
        <v>31</v>
      </c>
      <c r="E7122" s="14"/>
      <c r="F7122" s="14"/>
      <c r="G7122" s="14"/>
      <c r="H7122" s="14"/>
    </row>
    <row r="7123" spans="3:11" x14ac:dyDescent="0.3">
      <c r="C7123" s="21" t="s">
        <v>32</v>
      </c>
      <c r="D7123" s="77"/>
      <c r="E7123" s="77"/>
      <c r="F7123" s="77"/>
      <c r="G7123" s="28"/>
      <c r="H7123" s="29">
        <f>SUM(H7122:H7122)</f>
        <v>0</v>
      </c>
    </row>
    <row r="7124" spans="3:11" x14ac:dyDescent="0.3">
      <c r="C7124" s="30" t="s">
        <v>33</v>
      </c>
      <c r="D7124" s="31" t="s">
        <v>34</v>
      </c>
      <c r="E7124" s="32"/>
      <c r="F7124" s="32"/>
      <c r="G7124" s="33"/>
      <c r="H7124" s="46">
        <f>H7123+H7121+H7118</f>
        <v>72975</v>
      </c>
      <c r="I7124" s="47"/>
    </row>
    <row r="7125" spans="3:11" x14ac:dyDescent="0.3">
      <c r="C7125" s="30" t="s">
        <v>35</v>
      </c>
      <c r="D7125" s="31" t="s">
        <v>36</v>
      </c>
      <c r="E7125" s="32"/>
      <c r="F7125" s="33"/>
      <c r="G7125" s="34">
        <f>$M$9</f>
        <v>0.1</v>
      </c>
      <c r="H7125" s="19">
        <f>H7124*G7125</f>
        <v>7297.5</v>
      </c>
      <c r="I7125" s="47"/>
    </row>
    <row r="7126" spans="3:11" x14ac:dyDescent="0.3">
      <c r="C7126" s="30" t="s">
        <v>37</v>
      </c>
      <c r="D7126" s="31" t="s">
        <v>38</v>
      </c>
      <c r="E7126" s="32"/>
      <c r="F7126" s="32"/>
      <c r="G7126" s="33"/>
      <c r="H7126" s="48">
        <f>SUM(H7124:H7125)</f>
        <v>80272.5</v>
      </c>
      <c r="I7126" s="47"/>
    </row>
    <row r="7128" spans="3:11" x14ac:dyDescent="0.3">
      <c r="C7128" s="40" t="s">
        <v>1337</v>
      </c>
      <c r="D7128" s="68" t="s">
        <v>1338</v>
      </c>
      <c r="E7128" s="44"/>
      <c r="F7128" s="44"/>
      <c r="G7128" s="44"/>
      <c r="H7128" s="44"/>
      <c r="I7128" s="10">
        <f>ROUNDDOWN(H7143,0)</f>
        <v>4271063</v>
      </c>
      <c r="J7128" s="15"/>
      <c r="K7128" s="39"/>
    </row>
    <row r="7129" spans="3:11" ht="27.6" x14ac:dyDescent="0.3">
      <c r="C7129" s="11" t="s">
        <v>9</v>
      </c>
      <c r="D7129" s="11" t="s">
        <v>10</v>
      </c>
      <c r="E7129" s="11" t="s">
        <v>11</v>
      </c>
      <c r="F7129" s="11" t="s">
        <v>12</v>
      </c>
      <c r="G7129" s="11" t="s">
        <v>13</v>
      </c>
      <c r="H7129" s="11" t="s">
        <v>14</v>
      </c>
    </row>
    <row r="7130" spans="3:11" x14ac:dyDescent="0.25">
      <c r="C7130" s="12" t="s">
        <v>15</v>
      </c>
      <c r="D7130" s="13" t="s">
        <v>16</v>
      </c>
      <c r="E7130" s="14"/>
      <c r="F7130" s="14"/>
      <c r="G7130" s="14"/>
      <c r="H7130" s="14"/>
    </row>
    <row r="7131" spans="3:11" x14ac:dyDescent="0.3">
      <c r="C7131" s="16">
        <v>1</v>
      </c>
      <c r="D7131" s="13" t="s">
        <v>18</v>
      </c>
      <c r="E7131" s="17" t="s">
        <v>19</v>
      </c>
      <c r="F7131" s="18">
        <v>8.5999999999999993E-2</v>
      </c>
      <c r="G7131" s="19">
        <f>VLOOKUP(D7131,upahbahan,3,FALSE)</f>
        <v>100000</v>
      </c>
      <c r="H7131" s="19">
        <f t="shared" ref="H7131:H7134" si="737">F7131*G7131</f>
        <v>8600</v>
      </c>
    </row>
    <row r="7132" spans="3:11" x14ac:dyDescent="0.3">
      <c r="C7132" s="16">
        <v>2</v>
      </c>
      <c r="D7132" s="13" t="s">
        <v>21</v>
      </c>
      <c r="E7132" s="17" t="s">
        <v>19</v>
      </c>
      <c r="F7132" s="18">
        <v>0.14299999999999999</v>
      </c>
      <c r="G7132" s="19">
        <f>VLOOKUP(D7132,upahbahan,3,FALSE)</f>
        <v>145000</v>
      </c>
      <c r="H7132" s="19">
        <f t="shared" si="737"/>
        <v>20735</v>
      </c>
    </row>
    <row r="7133" spans="3:11" x14ac:dyDescent="0.3">
      <c r="C7133" s="16">
        <v>3</v>
      </c>
      <c r="D7133" s="13" t="s">
        <v>1224</v>
      </c>
      <c r="E7133" s="17" t="s">
        <v>19</v>
      </c>
      <c r="F7133" s="18">
        <v>1.4E-2</v>
      </c>
      <c r="G7133" s="19">
        <f>VLOOKUP(D7133,upahbahan,3,FALSE)</f>
        <v>175000</v>
      </c>
      <c r="H7133" s="19">
        <f t="shared" si="737"/>
        <v>2450</v>
      </c>
    </row>
    <row r="7134" spans="3:11" x14ac:dyDescent="0.3">
      <c r="C7134" s="16">
        <v>4</v>
      </c>
      <c r="D7134" s="13" t="s">
        <v>23</v>
      </c>
      <c r="E7134" s="17" t="s">
        <v>19</v>
      </c>
      <c r="F7134" s="18">
        <v>5.0000000000000001E-3</v>
      </c>
      <c r="G7134" s="19">
        <f>VLOOKUP(D7134,upahbahan,3,FALSE)</f>
        <v>200000</v>
      </c>
      <c r="H7134" s="19">
        <f t="shared" si="737"/>
        <v>1000</v>
      </c>
    </row>
    <row r="7135" spans="3:11" x14ac:dyDescent="0.3">
      <c r="C7135" s="21" t="s">
        <v>24</v>
      </c>
      <c r="D7135" s="22"/>
      <c r="E7135" s="22"/>
      <c r="F7135" s="54"/>
      <c r="G7135" s="24"/>
      <c r="H7135" s="19">
        <f>SUM(H7131:H7134)</f>
        <v>32785</v>
      </c>
      <c r="I7135" s="25"/>
    </row>
    <row r="7136" spans="3:11" x14ac:dyDescent="0.25">
      <c r="C7136" s="12" t="s">
        <v>25</v>
      </c>
      <c r="D7136" s="13" t="s">
        <v>26</v>
      </c>
      <c r="E7136" s="14"/>
      <c r="F7136" s="55"/>
      <c r="G7136" s="14"/>
      <c r="H7136" s="14"/>
    </row>
    <row r="7137" spans="3:11" x14ac:dyDescent="0.25">
      <c r="C7137" s="12">
        <v>1</v>
      </c>
      <c r="D7137" s="13" t="s">
        <v>1339</v>
      </c>
      <c r="E7137" s="53" t="s">
        <v>617</v>
      </c>
      <c r="F7137" s="115">
        <v>1.1000000000000001</v>
      </c>
      <c r="G7137" s="19">
        <f>VLOOKUP(D7137,upahbahan,3,FALSE)</f>
        <v>3500000</v>
      </c>
      <c r="H7137" s="19">
        <f t="shared" ref="H7137" si="738">F7137*G7137</f>
        <v>3850000.0000000005</v>
      </c>
    </row>
    <row r="7138" spans="3:11" x14ac:dyDescent="0.3">
      <c r="C7138" s="21" t="s">
        <v>29</v>
      </c>
      <c r="D7138" s="22"/>
      <c r="E7138" s="22" t="s">
        <v>1340</v>
      </c>
      <c r="F7138" s="22"/>
      <c r="G7138" s="28"/>
      <c r="H7138" s="19">
        <f>SUM(H7136:H7137)</f>
        <v>3850000.0000000005</v>
      </c>
    </row>
    <row r="7139" spans="3:11" x14ac:dyDescent="0.25">
      <c r="C7139" s="12" t="s">
        <v>30</v>
      </c>
      <c r="D7139" s="13" t="s">
        <v>31</v>
      </c>
      <c r="E7139" s="14"/>
      <c r="F7139" s="14"/>
      <c r="G7139" s="14"/>
      <c r="H7139" s="14"/>
    </row>
    <row r="7140" spans="3:11" x14ac:dyDescent="0.3">
      <c r="C7140" s="21" t="s">
        <v>32</v>
      </c>
      <c r="D7140" s="77"/>
      <c r="E7140" s="77"/>
      <c r="F7140" s="77"/>
      <c r="G7140" s="28"/>
      <c r="H7140" s="29">
        <f>SUM(H7139:H7139)</f>
        <v>0</v>
      </c>
    </row>
    <row r="7141" spans="3:11" x14ac:dyDescent="0.3">
      <c r="C7141" s="30" t="s">
        <v>33</v>
      </c>
      <c r="D7141" s="31" t="s">
        <v>34</v>
      </c>
      <c r="E7141" s="32"/>
      <c r="F7141" s="32"/>
      <c r="G7141" s="33"/>
      <c r="H7141" s="46">
        <f>H7140+H7138+H7135</f>
        <v>3882785.0000000005</v>
      </c>
      <c r="I7141" s="47"/>
    </row>
    <row r="7142" spans="3:11" x14ac:dyDescent="0.3">
      <c r="C7142" s="30" t="s">
        <v>35</v>
      </c>
      <c r="D7142" s="31" t="s">
        <v>36</v>
      </c>
      <c r="E7142" s="32"/>
      <c r="F7142" s="33"/>
      <c r="G7142" s="34">
        <f>$M$9</f>
        <v>0.1</v>
      </c>
      <c r="H7142" s="19">
        <f>H7141*G7142</f>
        <v>388278.50000000006</v>
      </c>
      <c r="I7142" s="47"/>
    </row>
    <row r="7143" spans="3:11" x14ac:dyDescent="0.3">
      <c r="C7143" s="30" t="s">
        <v>37</v>
      </c>
      <c r="D7143" s="31" t="s">
        <v>38</v>
      </c>
      <c r="E7143" s="32"/>
      <c r="F7143" s="32"/>
      <c r="G7143" s="33"/>
      <c r="H7143" s="48">
        <f>SUM(H7141:H7142)</f>
        <v>4271063.5000000009</v>
      </c>
      <c r="I7143" s="47"/>
    </row>
    <row r="7145" spans="3:11" x14ac:dyDescent="0.3">
      <c r="C7145" s="40" t="s">
        <v>1341</v>
      </c>
      <c r="D7145" s="68" t="s">
        <v>1342</v>
      </c>
      <c r="E7145" s="44"/>
      <c r="F7145" s="44"/>
      <c r="G7145" s="44"/>
      <c r="H7145" s="44"/>
      <c r="I7145" s="10">
        <f>ROUNDDOWN(H7160,0)</f>
        <v>1623644</v>
      </c>
      <c r="J7145" s="15"/>
      <c r="K7145" s="39"/>
    </row>
    <row r="7146" spans="3:11" ht="27.6" x14ac:dyDescent="0.3">
      <c r="C7146" s="11" t="s">
        <v>9</v>
      </c>
      <c r="D7146" s="11" t="s">
        <v>10</v>
      </c>
      <c r="E7146" s="11" t="s">
        <v>11</v>
      </c>
      <c r="F7146" s="11" t="s">
        <v>12</v>
      </c>
      <c r="G7146" s="11" t="s">
        <v>13</v>
      </c>
      <c r="H7146" s="11" t="s">
        <v>14</v>
      </c>
    </row>
    <row r="7147" spans="3:11" x14ac:dyDescent="0.25">
      <c r="C7147" s="12" t="s">
        <v>15</v>
      </c>
      <c r="D7147" s="13" t="s">
        <v>16</v>
      </c>
      <c r="E7147" s="14"/>
      <c r="F7147" s="14"/>
      <c r="G7147" s="14"/>
      <c r="H7147" s="14"/>
    </row>
    <row r="7148" spans="3:11" x14ac:dyDescent="0.3">
      <c r="C7148" s="16">
        <v>1</v>
      </c>
      <c r="D7148" s="13" t="s">
        <v>18</v>
      </c>
      <c r="E7148" s="17" t="s">
        <v>19</v>
      </c>
      <c r="F7148" s="18">
        <v>0.18099999999999999</v>
      </c>
      <c r="G7148" s="19">
        <f>VLOOKUP(D7148,upahbahan,3,FALSE)</f>
        <v>100000</v>
      </c>
      <c r="H7148" s="19">
        <f t="shared" ref="H7148:H7151" si="739">F7148*G7148</f>
        <v>18100</v>
      </c>
    </row>
    <row r="7149" spans="3:11" x14ac:dyDescent="0.3">
      <c r="C7149" s="16">
        <v>2</v>
      </c>
      <c r="D7149" s="13" t="s">
        <v>21</v>
      </c>
      <c r="E7149" s="17" t="s">
        <v>19</v>
      </c>
      <c r="F7149" s="18">
        <v>0.30199999999999999</v>
      </c>
      <c r="G7149" s="19">
        <f>VLOOKUP(D7149,upahbahan,3,FALSE)</f>
        <v>145000</v>
      </c>
      <c r="H7149" s="19">
        <f t="shared" si="739"/>
        <v>43790</v>
      </c>
    </row>
    <row r="7150" spans="3:11" x14ac:dyDescent="0.3">
      <c r="C7150" s="16">
        <v>3</v>
      </c>
      <c r="D7150" s="13" t="s">
        <v>1224</v>
      </c>
      <c r="E7150" s="17" t="s">
        <v>19</v>
      </c>
      <c r="F7150" s="18">
        <v>0.03</v>
      </c>
      <c r="G7150" s="19">
        <f>VLOOKUP(D7150,upahbahan,3,FALSE)</f>
        <v>175000</v>
      </c>
      <c r="H7150" s="19">
        <f t="shared" si="739"/>
        <v>5250</v>
      </c>
    </row>
    <row r="7151" spans="3:11" x14ac:dyDescent="0.3">
      <c r="C7151" s="16">
        <v>4</v>
      </c>
      <c r="D7151" s="13" t="s">
        <v>23</v>
      </c>
      <c r="E7151" s="17" t="s">
        <v>19</v>
      </c>
      <c r="F7151" s="18">
        <v>0.01</v>
      </c>
      <c r="G7151" s="19">
        <f>VLOOKUP(D7151,upahbahan,3,FALSE)</f>
        <v>200000</v>
      </c>
      <c r="H7151" s="19">
        <f t="shared" si="739"/>
        <v>2000</v>
      </c>
    </row>
    <row r="7152" spans="3:11" x14ac:dyDescent="0.3">
      <c r="C7152" s="21" t="s">
        <v>24</v>
      </c>
      <c r="D7152" s="22"/>
      <c r="E7152" s="22"/>
      <c r="F7152" s="54"/>
      <c r="G7152" s="24"/>
      <c r="H7152" s="19">
        <f>SUM(H7148:H7151)</f>
        <v>69140</v>
      </c>
      <c r="I7152" s="25"/>
    </row>
    <row r="7153" spans="3:11" x14ac:dyDescent="0.25">
      <c r="C7153" s="12" t="s">
        <v>25</v>
      </c>
      <c r="D7153" s="13" t="s">
        <v>26</v>
      </c>
      <c r="E7153" s="14"/>
      <c r="F7153" s="55"/>
      <c r="G7153" s="14"/>
      <c r="H7153" s="14"/>
    </row>
    <row r="7154" spans="3:11" x14ac:dyDescent="0.25">
      <c r="C7154" s="12">
        <v>1</v>
      </c>
      <c r="D7154" s="13" t="s">
        <v>1343</v>
      </c>
      <c r="E7154" s="53" t="s">
        <v>617</v>
      </c>
      <c r="F7154" s="115">
        <v>1.1000000000000001</v>
      </c>
      <c r="G7154" s="19">
        <f>VLOOKUP(D7154,upahbahan,3,FALSE)</f>
        <v>1279000</v>
      </c>
      <c r="H7154" s="19">
        <f t="shared" ref="H7154" si="740">F7154*G7154</f>
        <v>1406900</v>
      </c>
    </row>
    <row r="7155" spans="3:11" x14ac:dyDescent="0.3">
      <c r="C7155" s="21" t="s">
        <v>29</v>
      </c>
      <c r="D7155" s="22"/>
      <c r="E7155" s="22" t="s">
        <v>1340</v>
      </c>
      <c r="F7155" s="22"/>
      <c r="G7155" s="28"/>
      <c r="H7155" s="19">
        <f>SUM(H7153:H7154)</f>
        <v>1406900</v>
      </c>
    </row>
    <row r="7156" spans="3:11" x14ac:dyDescent="0.25">
      <c r="C7156" s="12" t="s">
        <v>30</v>
      </c>
      <c r="D7156" s="13" t="s">
        <v>31</v>
      </c>
      <c r="E7156" s="14"/>
      <c r="F7156" s="14"/>
      <c r="G7156" s="14"/>
      <c r="H7156" s="14"/>
    </row>
    <row r="7157" spans="3:11" x14ac:dyDescent="0.3">
      <c r="C7157" s="21" t="s">
        <v>32</v>
      </c>
      <c r="D7157" s="77"/>
      <c r="E7157" s="77"/>
      <c r="F7157" s="77"/>
      <c r="G7157" s="28"/>
      <c r="H7157" s="29">
        <f>SUM(H7156:H7156)</f>
        <v>0</v>
      </c>
    </row>
    <row r="7158" spans="3:11" x14ac:dyDescent="0.3">
      <c r="C7158" s="30" t="s">
        <v>33</v>
      </c>
      <c r="D7158" s="31" t="s">
        <v>34</v>
      </c>
      <c r="E7158" s="32"/>
      <c r="F7158" s="32"/>
      <c r="G7158" s="33"/>
      <c r="H7158" s="46">
        <f>H7157+H7155+H7152</f>
        <v>1476040</v>
      </c>
      <c r="I7158" s="47"/>
    </row>
    <row r="7159" spans="3:11" x14ac:dyDescent="0.3">
      <c r="C7159" s="30" t="s">
        <v>35</v>
      </c>
      <c r="D7159" s="31" t="s">
        <v>36</v>
      </c>
      <c r="E7159" s="32"/>
      <c r="F7159" s="33"/>
      <c r="G7159" s="34">
        <f>$M$9</f>
        <v>0.1</v>
      </c>
      <c r="H7159" s="19">
        <f>H7158*G7159</f>
        <v>147604</v>
      </c>
      <c r="I7159" s="47"/>
    </row>
    <row r="7160" spans="3:11" x14ac:dyDescent="0.3">
      <c r="C7160" s="30" t="s">
        <v>37</v>
      </c>
      <c r="D7160" s="31" t="s">
        <v>38</v>
      </c>
      <c r="E7160" s="32"/>
      <c r="F7160" s="32"/>
      <c r="G7160" s="33"/>
      <c r="H7160" s="48">
        <f>SUM(H7158:H7159)</f>
        <v>1623644</v>
      </c>
      <c r="I7160" s="47"/>
    </row>
    <row r="7162" spans="3:11" x14ac:dyDescent="0.3">
      <c r="C7162" s="40" t="s">
        <v>1344</v>
      </c>
      <c r="D7162" s="68" t="s">
        <v>1345</v>
      </c>
      <c r="E7162" s="44"/>
      <c r="F7162" s="44"/>
      <c r="G7162" s="44"/>
      <c r="H7162" s="44"/>
      <c r="I7162" s="10">
        <f>ROUNDDOWN(H7177,0)</f>
        <v>4494336</v>
      </c>
      <c r="J7162" s="15"/>
      <c r="K7162" s="39"/>
    </row>
    <row r="7163" spans="3:11" ht="27.6" x14ac:dyDescent="0.3">
      <c r="C7163" s="11" t="s">
        <v>9</v>
      </c>
      <c r="D7163" s="11" t="s">
        <v>10</v>
      </c>
      <c r="E7163" s="11" t="s">
        <v>11</v>
      </c>
      <c r="F7163" s="11" t="s">
        <v>12</v>
      </c>
      <c r="G7163" s="11" t="s">
        <v>13</v>
      </c>
      <c r="H7163" s="11" t="s">
        <v>14</v>
      </c>
    </row>
    <row r="7164" spans="3:11" x14ac:dyDescent="0.25">
      <c r="C7164" s="12" t="s">
        <v>15</v>
      </c>
      <c r="D7164" s="13" t="s">
        <v>16</v>
      </c>
      <c r="E7164" s="14"/>
      <c r="F7164" s="14"/>
      <c r="G7164" s="14"/>
      <c r="H7164" s="14"/>
    </row>
    <row r="7165" spans="3:11" x14ac:dyDescent="0.3">
      <c r="C7165" s="16">
        <v>1</v>
      </c>
      <c r="D7165" s="13" t="s">
        <v>18</v>
      </c>
      <c r="E7165" s="17" t="s">
        <v>19</v>
      </c>
      <c r="F7165" s="18">
        <v>0.25</v>
      </c>
      <c r="G7165" s="19">
        <f>VLOOKUP(D7165,upahbahan,3,FALSE)</f>
        <v>100000</v>
      </c>
      <c r="H7165" s="19">
        <f t="shared" ref="H7165:H7168" si="741">F7165*G7165</f>
        <v>25000</v>
      </c>
    </row>
    <row r="7166" spans="3:11" x14ac:dyDescent="0.3">
      <c r="C7166" s="16">
        <v>2</v>
      </c>
      <c r="D7166" s="13" t="s">
        <v>21</v>
      </c>
      <c r="E7166" s="17" t="s">
        <v>19</v>
      </c>
      <c r="F7166" s="18">
        <v>0.41799999999999998</v>
      </c>
      <c r="G7166" s="19">
        <f>VLOOKUP(D7166,upahbahan,3,FALSE)</f>
        <v>145000</v>
      </c>
      <c r="H7166" s="19">
        <f t="shared" si="741"/>
        <v>60610</v>
      </c>
    </row>
    <row r="7167" spans="3:11" x14ac:dyDescent="0.3">
      <c r="C7167" s="16">
        <v>3</v>
      </c>
      <c r="D7167" s="13" t="s">
        <v>1224</v>
      </c>
      <c r="E7167" s="17" t="s">
        <v>19</v>
      </c>
      <c r="F7167" s="18">
        <v>4.2000000000000003E-2</v>
      </c>
      <c r="G7167" s="19">
        <f>VLOOKUP(D7167,upahbahan,3,FALSE)</f>
        <v>175000</v>
      </c>
      <c r="H7167" s="19">
        <f t="shared" si="741"/>
        <v>7350.0000000000009</v>
      </c>
    </row>
    <row r="7168" spans="3:11" x14ac:dyDescent="0.3">
      <c r="C7168" s="16">
        <v>4</v>
      </c>
      <c r="D7168" s="13" t="s">
        <v>23</v>
      </c>
      <c r="E7168" s="17" t="s">
        <v>19</v>
      </c>
      <c r="F7168" s="18">
        <v>1.4E-2</v>
      </c>
      <c r="G7168" s="19">
        <f>VLOOKUP(D7168,upahbahan,3,FALSE)</f>
        <v>200000</v>
      </c>
      <c r="H7168" s="19">
        <f t="shared" si="741"/>
        <v>2800</v>
      </c>
    </row>
    <row r="7169" spans="3:11" x14ac:dyDescent="0.3">
      <c r="C7169" s="21" t="s">
        <v>24</v>
      </c>
      <c r="D7169" s="22"/>
      <c r="E7169" s="22"/>
      <c r="F7169" s="54"/>
      <c r="G7169" s="24"/>
      <c r="H7169" s="19">
        <f>SUM(H7165:H7168)</f>
        <v>95760</v>
      </c>
      <c r="I7169" s="25"/>
    </row>
    <row r="7170" spans="3:11" x14ac:dyDescent="0.25">
      <c r="C7170" s="12" t="s">
        <v>25</v>
      </c>
      <c r="D7170" s="13" t="s">
        <v>26</v>
      </c>
      <c r="E7170" s="14"/>
      <c r="F7170" s="55"/>
      <c r="G7170" s="14"/>
      <c r="H7170" s="14"/>
    </row>
    <row r="7171" spans="3:11" x14ac:dyDescent="0.25">
      <c r="C7171" s="12">
        <v>1</v>
      </c>
      <c r="D7171" s="13" t="s">
        <v>1346</v>
      </c>
      <c r="E7171" s="53" t="s">
        <v>617</v>
      </c>
      <c r="F7171" s="115">
        <v>1.05</v>
      </c>
      <c r="G7171" s="19">
        <f>VLOOKUP(D7171,upahbahan,3,FALSE)</f>
        <v>3800000</v>
      </c>
      <c r="H7171" s="19">
        <f t="shared" ref="H7171" si="742">F7171*G7171</f>
        <v>3990000</v>
      </c>
    </row>
    <row r="7172" spans="3:11" x14ac:dyDescent="0.3">
      <c r="C7172" s="21" t="s">
        <v>29</v>
      </c>
      <c r="D7172" s="22"/>
      <c r="E7172" s="22" t="s">
        <v>1340</v>
      </c>
      <c r="F7172" s="22"/>
      <c r="G7172" s="28"/>
      <c r="H7172" s="19">
        <f>SUM(H7170:H7171)</f>
        <v>3990000</v>
      </c>
    </row>
    <row r="7173" spans="3:11" x14ac:dyDescent="0.25">
      <c r="C7173" s="12" t="s">
        <v>30</v>
      </c>
      <c r="D7173" s="13" t="s">
        <v>31</v>
      </c>
      <c r="E7173" s="14"/>
      <c r="F7173" s="14"/>
      <c r="G7173" s="14"/>
      <c r="H7173" s="14"/>
    </row>
    <row r="7174" spans="3:11" x14ac:dyDescent="0.3">
      <c r="C7174" s="21" t="s">
        <v>32</v>
      </c>
      <c r="D7174" s="77"/>
      <c r="E7174" s="77"/>
      <c r="F7174" s="77"/>
      <c r="G7174" s="28"/>
      <c r="H7174" s="29">
        <f>SUM(H7173:H7173)</f>
        <v>0</v>
      </c>
    </row>
    <row r="7175" spans="3:11" x14ac:dyDescent="0.3">
      <c r="C7175" s="30" t="s">
        <v>33</v>
      </c>
      <c r="D7175" s="31" t="s">
        <v>34</v>
      </c>
      <c r="E7175" s="32"/>
      <c r="F7175" s="32"/>
      <c r="G7175" s="33"/>
      <c r="H7175" s="46">
        <f>H7174+H7172+H7169</f>
        <v>4085760</v>
      </c>
      <c r="I7175" s="47"/>
    </row>
    <row r="7176" spans="3:11" x14ac:dyDescent="0.3">
      <c r="C7176" s="30" t="s">
        <v>35</v>
      </c>
      <c r="D7176" s="31" t="s">
        <v>36</v>
      </c>
      <c r="E7176" s="32"/>
      <c r="F7176" s="33"/>
      <c r="G7176" s="34">
        <f>$M$9</f>
        <v>0.1</v>
      </c>
      <c r="H7176" s="19">
        <f>H7175*G7176</f>
        <v>408576</v>
      </c>
      <c r="I7176" s="47"/>
    </row>
    <row r="7177" spans="3:11" x14ac:dyDescent="0.3">
      <c r="C7177" s="30" t="s">
        <v>37</v>
      </c>
      <c r="D7177" s="31" t="s">
        <v>38</v>
      </c>
      <c r="E7177" s="32"/>
      <c r="F7177" s="32"/>
      <c r="G7177" s="33"/>
      <c r="H7177" s="48">
        <f>SUM(H7175:H7176)</f>
        <v>4494336</v>
      </c>
      <c r="I7177" s="47"/>
    </row>
    <row r="7179" spans="3:11" x14ac:dyDescent="0.3">
      <c r="C7179" s="40" t="s">
        <v>1347</v>
      </c>
      <c r="D7179" s="68" t="s">
        <v>1348</v>
      </c>
      <c r="E7179" s="44"/>
      <c r="F7179" s="44"/>
      <c r="G7179" s="44"/>
      <c r="H7179" s="44"/>
      <c r="I7179" s="10">
        <f>ROUNDDOWN(H7194,0)</f>
        <v>4840836</v>
      </c>
      <c r="J7179" s="15"/>
      <c r="K7179" s="39"/>
    </row>
    <row r="7180" spans="3:11" ht="27.6" x14ac:dyDescent="0.3">
      <c r="C7180" s="11" t="s">
        <v>9</v>
      </c>
      <c r="D7180" s="11" t="s">
        <v>10</v>
      </c>
      <c r="E7180" s="11" t="s">
        <v>11</v>
      </c>
      <c r="F7180" s="11" t="s">
        <v>12</v>
      </c>
      <c r="G7180" s="11" t="s">
        <v>13</v>
      </c>
      <c r="H7180" s="11" t="s">
        <v>14</v>
      </c>
    </row>
    <row r="7181" spans="3:11" x14ac:dyDescent="0.25">
      <c r="C7181" s="12" t="s">
        <v>15</v>
      </c>
      <c r="D7181" s="13" t="s">
        <v>16</v>
      </c>
      <c r="E7181" s="14"/>
      <c r="F7181" s="14"/>
      <c r="G7181" s="14"/>
      <c r="H7181" s="14"/>
    </row>
    <row r="7182" spans="3:11" x14ac:dyDescent="0.3">
      <c r="C7182" s="16">
        <v>1</v>
      </c>
      <c r="D7182" s="13" t="s">
        <v>18</v>
      </c>
      <c r="E7182" s="17" t="s">
        <v>19</v>
      </c>
      <c r="F7182" s="18">
        <v>0.25</v>
      </c>
      <c r="G7182" s="19">
        <f>VLOOKUP(D7182,upahbahan,3,FALSE)</f>
        <v>100000</v>
      </c>
      <c r="H7182" s="19">
        <f t="shared" ref="H7182:H7185" si="743">F7182*G7182</f>
        <v>25000</v>
      </c>
    </row>
    <row r="7183" spans="3:11" x14ac:dyDescent="0.3">
      <c r="C7183" s="16">
        <v>2</v>
      </c>
      <c r="D7183" s="13" t="s">
        <v>21</v>
      </c>
      <c r="E7183" s="17" t="s">
        <v>19</v>
      </c>
      <c r="F7183" s="18">
        <v>0.41799999999999998</v>
      </c>
      <c r="G7183" s="19">
        <f>VLOOKUP(D7183,upahbahan,3,FALSE)</f>
        <v>145000</v>
      </c>
      <c r="H7183" s="19">
        <f t="shared" si="743"/>
        <v>60610</v>
      </c>
    </row>
    <row r="7184" spans="3:11" x14ac:dyDescent="0.3">
      <c r="C7184" s="16">
        <v>3</v>
      </c>
      <c r="D7184" s="13" t="s">
        <v>1224</v>
      </c>
      <c r="E7184" s="17" t="s">
        <v>19</v>
      </c>
      <c r="F7184" s="18">
        <v>4.2000000000000003E-2</v>
      </c>
      <c r="G7184" s="19">
        <f>VLOOKUP(D7184,upahbahan,3,FALSE)</f>
        <v>175000</v>
      </c>
      <c r="H7184" s="19">
        <f t="shared" si="743"/>
        <v>7350.0000000000009</v>
      </c>
    </row>
    <row r="7185" spans="3:11" x14ac:dyDescent="0.3">
      <c r="C7185" s="16">
        <v>4</v>
      </c>
      <c r="D7185" s="13" t="s">
        <v>23</v>
      </c>
      <c r="E7185" s="17" t="s">
        <v>19</v>
      </c>
      <c r="F7185" s="18">
        <v>1.4E-2</v>
      </c>
      <c r="G7185" s="19">
        <f>VLOOKUP(D7185,upahbahan,3,FALSE)</f>
        <v>200000</v>
      </c>
      <c r="H7185" s="19">
        <f t="shared" si="743"/>
        <v>2800</v>
      </c>
    </row>
    <row r="7186" spans="3:11" x14ac:dyDescent="0.3">
      <c r="C7186" s="21" t="s">
        <v>24</v>
      </c>
      <c r="D7186" s="22"/>
      <c r="E7186" s="22"/>
      <c r="F7186" s="54"/>
      <c r="G7186" s="24"/>
      <c r="H7186" s="19">
        <f>SUM(H7182:H7185)</f>
        <v>95760</v>
      </c>
      <c r="I7186" s="25"/>
    </row>
    <row r="7187" spans="3:11" x14ac:dyDescent="0.25">
      <c r="C7187" s="12" t="s">
        <v>25</v>
      </c>
      <c r="D7187" s="13" t="s">
        <v>26</v>
      </c>
      <c r="E7187" s="14"/>
      <c r="F7187" s="55"/>
      <c r="G7187" s="14"/>
      <c r="H7187" s="14"/>
    </row>
    <row r="7188" spans="3:11" x14ac:dyDescent="0.25">
      <c r="C7188" s="12">
        <v>1</v>
      </c>
      <c r="D7188" s="13" t="s">
        <v>1349</v>
      </c>
      <c r="E7188" s="53" t="s">
        <v>617</v>
      </c>
      <c r="F7188" s="115">
        <v>1.05</v>
      </c>
      <c r="G7188" s="19">
        <f>VLOOKUP(D7188,upahbahan,3,FALSE)</f>
        <v>4100000</v>
      </c>
      <c r="H7188" s="19">
        <f t="shared" ref="H7188" si="744">F7188*G7188</f>
        <v>4305000</v>
      </c>
    </row>
    <row r="7189" spans="3:11" x14ac:dyDescent="0.3">
      <c r="C7189" s="21" t="s">
        <v>29</v>
      </c>
      <c r="D7189" s="22"/>
      <c r="E7189" s="22" t="s">
        <v>1340</v>
      </c>
      <c r="F7189" s="22"/>
      <c r="G7189" s="28"/>
      <c r="H7189" s="19">
        <f>SUM(H7187:H7188)</f>
        <v>4305000</v>
      </c>
    </row>
    <row r="7190" spans="3:11" x14ac:dyDescent="0.25">
      <c r="C7190" s="12" t="s">
        <v>30</v>
      </c>
      <c r="D7190" s="13" t="s">
        <v>31</v>
      </c>
      <c r="E7190" s="14"/>
      <c r="F7190" s="14"/>
      <c r="G7190" s="14"/>
      <c r="H7190" s="14"/>
    </row>
    <row r="7191" spans="3:11" x14ac:dyDescent="0.3">
      <c r="C7191" s="21" t="s">
        <v>32</v>
      </c>
      <c r="D7191" s="77"/>
      <c r="E7191" s="77"/>
      <c r="F7191" s="77"/>
      <c r="G7191" s="28"/>
      <c r="H7191" s="29">
        <f>SUM(H7190:H7190)</f>
        <v>0</v>
      </c>
    </row>
    <row r="7192" spans="3:11" x14ac:dyDescent="0.3">
      <c r="C7192" s="30" t="s">
        <v>33</v>
      </c>
      <c r="D7192" s="31" t="s">
        <v>34</v>
      </c>
      <c r="E7192" s="32"/>
      <c r="F7192" s="32"/>
      <c r="G7192" s="33"/>
      <c r="H7192" s="46">
        <f>H7191+H7189+H7186</f>
        <v>4400760</v>
      </c>
      <c r="I7192" s="47"/>
    </row>
    <row r="7193" spans="3:11" x14ac:dyDescent="0.3">
      <c r="C7193" s="30" t="s">
        <v>35</v>
      </c>
      <c r="D7193" s="31" t="s">
        <v>36</v>
      </c>
      <c r="E7193" s="32"/>
      <c r="F7193" s="33"/>
      <c r="G7193" s="34">
        <f>$M$9</f>
        <v>0.1</v>
      </c>
      <c r="H7193" s="19">
        <f>H7192*G7193</f>
        <v>440076</v>
      </c>
      <c r="I7193" s="47"/>
    </row>
    <row r="7194" spans="3:11" x14ac:dyDescent="0.3">
      <c r="C7194" s="30" t="s">
        <v>37</v>
      </c>
      <c r="D7194" s="31" t="s">
        <v>38</v>
      </c>
      <c r="E7194" s="32"/>
      <c r="F7194" s="32"/>
      <c r="G7194" s="33"/>
      <c r="H7194" s="48">
        <f>SUM(H7192:H7193)</f>
        <v>4840836</v>
      </c>
      <c r="I7194" s="47"/>
    </row>
    <row r="7196" spans="3:11" x14ac:dyDescent="0.3">
      <c r="C7196" s="56" t="s">
        <v>1350</v>
      </c>
      <c r="D7196" s="69" t="s">
        <v>1351</v>
      </c>
      <c r="E7196" s="58"/>
      <c r="F7196" s="58"/>
      <c r="G7196" s="58"/>
      <c r="H7196" s="58"/>
      <c r="I7196" s="10">
        <f>ROUNDDOWN(H7211,0)</f>
        <v>5764836</v>
      </c>
      <c r="J7196" s="15"/>
      <c r="K7196" s="39"/>
    </row>
    <row r="7197" spans="3:11" ht="27.6" x14ac:dyDescent="0.3">
      <c r="C7197" s="11" t="s">
        <v>9</v>
      </c>
      <c r="D7197" s="11" t="s">
        <v>10</v>
      </c>
      <c r="E7197" s="11" t="s">
        <v>11</v>
      </c>
      <c r="F7197" s="11" t="s">
        <v>12</v>
      </c>
      <c r="G7197" s="11" t="s">
        <v>13</v>
      </c>
      <c r="H7197" s="11" t="s">
        <v>14</v>
      </c>
    </row>
    <row r="7198" spans="3:11" x14ac:dyDescent="0.25">
      <c r="C7198" s="12" t="s">
        <v>15</v>
      </c>
      <c r="D7198" s="13" t="s">
        <v>16</v>
      </c>
      <c r="E7198" s="14"/>
      <c r="F7198" s="14"/>
      <c r="G7198" s="14"/>
      <c r="H7198" s="14"/>
    </row>
    <row r="7199" spans="3:11" x14ac:dyDescent="0.3">
      <c r="C7199" s="16">
        <v>1</v>
      </c>
      <c r="D7199" s="13" t="s">
        <v>18</v>
      </c>
      <c r="E7199" s="17" t="s">
        <v>19</v>
      </c>
      <c r="F7199" s="18">
        <v>0.25</v>
      </c>
      <c r="G7199" s="19">
        <f>VLOOKUP(D7199,upahbahan,3,FALSE)</f>
        <v>100000</v>
      </c>
      <c r="H7199" s="19">
        <f t="shared" ref="H7199:H7202" si="745">F7199*G7199</f>
        <v>25000</v>
      </c>
    </row>
    <row r="7200" spans="3:11" x14ac:dyDescent="0.3">
      <c r="C7200" s="16">
        <v>2</v>
      </c>
      <c r="D7200" s="13" t="s">
        <v>21</v>
      </c>
      <c r="E7200" s="17" t="s">
        <v>19</v>
      </c>
      <c r="F7200" s="18">
        <v>0.41799999999999998</v>
      </c>
      <c r="G7200" s="19">
        <f>VLOOKUP(D7200,upahbahan,3,FALSE)</f>
        <v>145000</v>
      </c>
      <c r="H7200" s="19">
        <f t="shared" si="745"/>
        <v>60610</v>
      </c>
    </row>
    <row r="7201" spans="3:11" x14ac:dyDescent="0.3">
      <c r="C7201" s="16">
        <v>3</v>
      </c>
      <c r="D7201" s="13" t="s">
        <v>1224</v>
      </c>
      <c r="E7201" s="17" t="s">
        <v>19</v>
      </c>
      <c r="F7201" s="18">
        <v>4.2000000000000003E-2</v>
      </c>
      <c r="G7201" s="19">
        <f>VLOOKUP(D7201,upahbahan,3,FALSE)</f>
        <v>175000</v>
      </c>
      <c r="H7201" s="19">
        <f t="shared" si="745"/>
        <v>7350.0000000000009</v>
      </c>
    </row>
    <row r="7202" spans="3:11" x14ac:dyDescent="0.3">
      <c r="C7202" s="16">
        <v>4</v>
      </c>
      <c r="D7202" s="13" t="s">
        <v>23</v>
      </c>
      <c r="E7202" s="17" t="s">
        <v>19</v>
      </c>
      <c r="F7202" s="18">
        <v>1.4E-2</v>
      </c>
      <c r="G7202" s="19">
        <f>VLOOKUP(D7202,upahbahan,3,FALSE)</f>
        <v>200000</v>
      </c>
      <c r="H7202" s="19">
        <f t="shared" si="745"/>
        <v>2800</v>
      </c>
    </row>
    <row r="7203" spans="3:11" x14ac:dyDescent="0.3">
      <c r="C7203" s="21" t="s">
        <v>24</v>
      </c>
      <c r="D7203" s="22"/>
      <c r="E7203" s="22"/>
      <c r="F7203" s="54"/>
      <c r="G7203" s="24"/>
      <c r="H7203" s="19">
        <f>SUM(H7199:H7202)</f>
        <v>95760</v>
      </c>
      <c r="I7203" s="25"/>
    </row>
    <row r="7204" spans="3:11" x14ac:dyDescent="0.25">
      <c r="C7204" s="12" t="s">
        <v>25</v>
      </c>
      <c r="D7204" s="13" t="s">
        <v>26</v>
      </c>
      <c r="E7204" s="14"/>
      <c r="F7204" s="55"/>
      <c r="G7204" s="14"/>
      <c r="H7204" s="14"/>
    </row>
    <row r="7205" spans="3:11" x14ac:dyDescent="0.25">
      <c r="C7205" s="12">
        <v>1</v>
      </c>
      <c r="D7205" s="13" t="s">
        <v>1352</v>
      </c>
      <c r="E7205" s="53" t="s">
        <v>617</v>
      </c>
      <c r="F7205" s="115">
        <v>1.05</v>
      </c>
      <c r="G7205" s="19">
        <f>VLOOKUP(D7205,upahbahan,3,FALSE)</f>
        <v>4900000</v>
      </c>
      <c r="H7205" s="19">
        <f t="shared" ref="H7205" si="746">F7205*G7205</f>
        <v>5145000</v>
      </c>
    </row>
    <row r="7206" spans="3:11" x14ac:dyDescent="0.3">
      <c r="C7206" s="21" t="s">
        <v>29</v>
      </c>
      <c r="D7206" s="22"/>
      <c r="E7206" s="22" t="s">
        <v>1340</v>
      </c>
      <c r="F7206" s="22"/>
      <c r="G7206" s="28"/>
      <c r="H7206" s="19">
        <f>SUM(H7204:H7205)</f>
        <v>5145000</v>
      </c>
    </row>
    <row r="7207" spans="3:11" x14ac:dyDescent="0.25">
      <c r="C7207" s="12" t="s">
        <v>30</v>
      </c>
      <c r="D7207" s="13" t="s">
        <v>31</v>
      </c>
      <c r="E7207" s="14"/>
      <c r="F7207" s="14"/>
      <c r="G7207" s="14"/>
      <c r="H7207" s="14"/>
    </row>
    <row r="7208" spans="3:11" x14ac:dyDescent="0.3">
      <c r="C7208" s="21" t="s">
        <v>32</v>
      </c>
      <c r="D7208" s="77"/>
      <c r="E7208" s="77"/>
      <c r="F7208" s="77"/>
      <c r="G7208" s="28"/>
      <c r="H7208" s="29">
        <f>SUM(H7207:H7207)</f>
        <v>0</v>
      </c>
    </row>
    <row r="7209" spans="3:11" x14ac:dyDescent="0.3">
      <c r="C7209" s="30" t="s">
        <v>33</v>
      </c>
      <c r="D7209" s="31" t="s">
        <v>34</v>
      </c>
      <c r="E7209" s="32"/>
      <c r="F7209" s="32"/>
      <c r="G7209" s="33"/>
      <c r="H7209" s="46">
        <f>H7208+H7206+H7203</f>
        <v>5240760</v>
      </c>
      <c r="I7209" s="47"/>
    </row>
    <row r="7210" spans="3:11" x14ac:dyDescent="0.3">
      <c r="C7210" s="30" t="s">
        <v>35</v>
      </c>
      <c r="D7210" s="31" t="s">
        <v>36</v>
      </c>
      <c r="E7210" s="32"/>
      <c r="F7210" s="33"/>
      <c r="G7210" s="34">
        <f>$M$9</f>
        <v>0.1</v>
      </c>
      <c r="H7210" s="19">
        <f>H7209*G7210</f>
        <v>524076</v>
      </c>
      <c r="I7210" s="47"/>
    </row>
    <row r="7211" spans="3:11" x14ac:dyDescent="0.3">
      <c r="C7211" s="30" t="s">
        <v>37</v>
      </c>
      <c r="D7211" s="31" t="s">
        <v>38</v>
      </c>
      <c r="E7211" s="32"/>
      <c r="F7211" s="32"/>
      <c r="G7211" s="33"/>
      <c r="H7211" s="48">
        <f>SUM(H7209:H7210)</f>
        <v>5764836</v>
      </c>
      <c r="I7211" s="47"/>
    </row>
    <row r="7213" spans="3:11" x14ac:dyDescent="0.3">
      <c r="C7213" s="40" t="s">
        <v>1353</v>
      </c>
      <c r="D7213" s="68" t="s">
        <v>1354</v>
      </c>
      <c r="E7213" s="44"/>
      <c r="F7213" s="44"/>
      <c r="G7213" s="44"/>
      <c r="H7213" s="44"/>
      <c r="I7213" s="10">
        <f>ROUNDDOWN(H7228,0)</f>
        <v>6111336</v>
      </c>
      <c r="J7213" s="15"/>
      <c r="K7213" s="39"/>
    </row>
    <row r="7214" spans="3:11" ht="27.6" x14ac:dyDescent="0.3">
      <c r="C7214" s="11" t="s">
        <v>9</v>
      </c>
      <c r="D7214" s="11" t="s">
        <v>10</v>
      </c>
      <c r="E7214" s="11" t="s">
        <v>11</v>
      </c>
      <c r="F7214" s="11" t="s">
        <v>12</v>
      </c>
      <c r="G7214" s="11" t="s">
        <v>13</v>
      </c>
      <c r="H7214" s="11" t="s">
        <v>14</v>
      </c>
    </row>
    <row r="7215" spans="3:11" x14ac:dyDescent="0.25">
      <c r="C7215" s="12" t="s">
        <v>15</v>
      </c>
      <c r="D7215" s="13" t="s">
        <v>16</v>
      </c>
      <c r="E7215" s="14"/>
      <c r="F7215" s="14"/>
      <c r="G7215" s="14"/>
      <c r="H7215" s="14"/>
    </row>
    <row r="7216" spans="3:11" x14ac:dyDescent="0.3">
      <c r="C7216" s="16">
        <v>1</v>
      </c>
      <c r="D7216" s="13" t="s">
        <v>18</v>
      </c>
      <c r="E7216" s="17" t="s">
        <v>19</v>
      </c>
      <c r="F7216" s="18">
        <v>0.25</v>
      </c>
      <c r="G7216" s="19">
        <f>VLOOKUP(D7216,upahbahan,3,FALSE)</f>
        <v>100000</v>
      </c>
      <c r="H7216" s="19">
        <f t="shared" ref="H7216:H7219" si="747">F7216*G7216</f>
        <v>25000</v>
      </c>
    </row>
    <row r="7217" spans="3:11" x14ac:dyDescent="0.3">
      <c r="C7217" s="16">
        <v>2</v>
      </c>
      <c r="D7217" s="13" t="s">
        <v>21</v>
      </c>
      <c r="E7217" s="17" t="s">
        <v>19</v>
      </c>
      <c r="F7217" s="18">
        <v>0.41799999999999998</v>
      </c>
      <c r="G7217" s="19">
        <f>VLOOKUP(D7217,upahbahan,3,FALSE)</f>
        <v>145000</v>
      </c>
      <c r="H7217" s="19">
        <f t="shared" si="747"/>
        <v>60610</v>
      </c>
    </row>
    <row r="7218" spans="3:11" x14ac:dyDescent="0.3">
      <c r="C7218" s="16">
        <v>3</v>
      </c>
      <c r="D7218" s="13" t="s">
        <v>1224</v>
      </c>
      <c r="E7218" s="17" t="s">
        <v>19</v>
      </c>
      <c r="F7218" s="18">
        <v>4.2000000000000003E-2</v>
      </c>
      <c r="G7218" s="19">
        <f>VLOOKUP(D7218,upahbahan,3,FALSE)</f>
        <v>175000</v>
      </c>
      <c r="H7218" s="19">
        <f t="shared" si="747"/>
        <v>7350.0000000000009</v>
      </c>
    </row>
    <row r="7219" spans="3:11" x14ac:dyDescent="0.3">
      <c r="C7219" s="16">
        <v>4</v>
      </c>
      <c r="D7219" s="13" t="s">
        <v>23</v>
      </c>
      <c r="E7219" s="17" t="s">
        <v>19</v>
      </c>
      <c r="F7219" s="18">
        <v>1.4E-2</v>
      </c>
      <c r="G7219" s="19">
        <f>VLOOKUP(D7219,upahbahan,3,FALSE)</f>
        <v>200000</v>
      </c>
      <c r="H7219" s="19">
        <f t="shared" si="747"/>
        <v>2800</v>
      </c>
    </row>
    <row r="7220" spans="3:11" x14ac:dyDescent="0.3">
      <c r="C7220" s="21" t="s">
        <v>24</v>
      </c>
      <c r="D7220" s="22"/>
      <c r="E7220" s="22"/>
      <c r="F7220" s="54"/>
      <c r="G7220" s="24"/>
      <c r="H7220" s="19">
        <f>SUM(H7216:H7219)</f>
        <v>95760</v>
      </c>
      <c r="I7220" s="25"/>
    </row>
    <row r="7221" spans="3:11" x14ac:dyDescent="0.25">
      <c r="C7221" s="12" t="s">
        <v>25</v>
      </c>
      <c r="D7221" s="13" t="s">
        <v>26</v>
      </c>
      <c r="E7221" s="14"/>
      <c r="F7221" s="55"/>
      <c r="G7221" s="14"/>
      <c r="H7221" s="14"/>
    </row>
    <row r="7222" spans="3:11" x14ac:dyDescent="0.25">
      <c r="C7222" s="12">
        <v>1</v>
      </c>
      <c r="D7222" s="13" t="s">
        <v>1355</v>
      </c>
      <c r="E7222" s="53" t="s">
        <v>617</v>
      </c>
      <c r="F7222" s="115">
        <v>1.05</v>
      </c>
      <c r="G7222" s="19">
        <f>VLOOKUP(D7222,upahbahan,3,FALSE)</f>
        <v>5200000</v>
      </c>
      <c r="H7222" s="19">
        <f t="shared" ref="H7222" si="748">F7222*G7222</f>
        <v>5460000</v>
      </c>
    </row>
    <row r="7223" spans="3:11" x14ac:dyDescent="0.3">
      <c r="C7223" s="21" t="s">
        <v>29</v>
      </c>
      <c r="D7223" s="22"/>
      <c r="E7223" s="22" t="s">
        <v>1340</v>
      </c>
      <c r="F7223" s="22"/>
      <c r="G7223" s="28"/>
      <c r="H7223" s="19">
        <f>SUM(H7221:H7222)</f>
        <v>5460000</v>
      </c>
    </row>
    <row r="7224" spans="3:11" x14ac:dyDescent="0.25">
      <c r="C7224" s="12" t="s">
        <v>30</v>
      </c>
      <c r="D7224" s="13" t="s">
        <v>31</v>
      </c>
      <c r="E7224" s="14"/>
      <c r="F7224" s="14"/>
      <c r="G7224" s="14"/>
      <c r="H7224" s="14"/>
    </row>
    <row r="7225" spans="3:11" x14ac:dyDescent="0.3">
      <c r="C7225" s="21" t="s">
        <v>32</v>
      </c>
      <c r="D7225" s="77"/>
      <c r="E7225" s="77"/>
      <c r="F7225" s="77"/>
      <c r="G7225" s="28"/>
      <c r="H7225" s="29">
        <f>SUM(H7224:H7224)</f>
        <v>0</v>
      </c>
    </row>
    <row r="7226" spans="3:11" x14ac:dyDescent="0.3">
      <c r="C7226" s="30" t="s">
        <v>33</v>
      </c>
      <c r="D7226" s="31" t="s">
        <v>34</v>
      </c>
      <c r="E7226" s="32"/>
      <c r="F7226" s="32"/>
      <c r="G7226" s="33"/>
      <c r="H7226" s="46">
        <f>H7225+H7223+H7220</f>
        <v>5555760</v>
      </c>
      <c r="I7226" s="47"/>
    </row>
    <row r="7227" spans="3:11" x14ac:dyDescent="0.3">
      <c r="C7227" s="30" t="s">
        <v>35</v>
      </c>
      <c r="D7227" s="31" t="s">
        <v>36</v>
      </c>
      <c r="E7227" s="32"/>
      <c r="F7227" s="33"/>
      <c r="G7227" s="34">
        <f>$M$9</f>
        <v>0.1</v>
      </c>
      <c r="H7227" s="19">
        <f>H7226*G7227</f>
        <v>555576</v>
      </c>
      <c r="I7227" s="47"/>
    </row>
    <row r="7228" spans="3:11" x14ac:dyDescent="0.3">
      <c r="C7228" s="30" t="s">
        <v>37</v>
      </c>
      <c r="D7228" s="31" t="s">
        <v>38</v>
      </c>
      <c r="E7228" s="32"/>
      <c r="F7228" s="32"/>
      <c r="G7228" s="33"/>
      <c r="H7228" s="48">
        <f>SUM(H7226:H7227)</f>
        <v>6111336</v>
      </c>
      <c r="I7228" s="47"/>
    </row>
    <row r="7231" spans="3:11" x14ac:dyDescent="0.3">
      <c r="C7231" s="116" t="s">
        <v>1356</v>
      </c>
      <c r="D7231" s="117" t="s">
        <v>1357</v>
      </c>
      <c r="E7231" s="118"/>
      <c r="F7231" s="118"/>
      <c r="G7231" s="118"/>
      <c r="H7231" s="118"/>
      <c r="I7231" s="10">
        <f>ROUNDDOWN(H7246,0)</f>
        <v>6688836</v>
      </c>
      <c r="J7231" s="15"/>
      <c r="K7231" s="39"/>
    </row>
    <row r="7232" spans="3:11" ht="27.6" x14ac:dyDescent="0.3">
      <c r="C7232" s="11" t="s">
        <v>9</v>
      </c>
      <c r="D7232" s="11" t="s">
        <v>10</v>
      </c>
      <c r="E7232" s="11" t="s">
        <v>11</v>
      </c>
      <c r="F7232" s="11" t="s">
        <v>12</v>
      </c>
      <c r="G7232" s="11" t="s">
        <v>13</v>
      </c>
      <c r="H7232" s="11" t="s">
        <v>14</v>
      </c>
    </row>
    <row r="7233" spans="3:11" x14ac:dyDescent="0.25">
      <c r="C7233" s="12" t="s">
        <v>15</v>
      </c>
      <c r="D7233" s="13" t="s">
        <v>16</v>
      </c>
      <c r="E7233" s="14"/>
      <c r="F7233" s="14"/>
      <c r="G7233" s="14"/>
      <c r="H7233" s="14"/>
    </row>
    <row r="7234" spans="3:11" x14ac:dyDescent="0.3">
      <c r="C7234" s="16">
        <v>1</v>
      </c>
      <c r="D7234" s="13" t="s">
        <v>18</v>
      </c>
      <c r="E7234" s="17" t="s">
        <v>19</v>
      </c>
      <c r="F7234" s="18">
        <v>0.25</v>
      </c>
      <c r="G7234" s="19">
        <f>VLOOKUP(D7234,upahbahan,3,FALSE)</f>
        <v>100000</v>
      </c>
      <c r="H7234" s="19">
        <f t="shared" ref="H7234:H7237" si="749">F7234*G7234</f>
        <v>25000</v>
      </c>
    </row>
    <row r="7235" spans="3:11" x14ac:dyDescent="0.3">
      <c r="C7235" s="16">
        <v>2</v>
      </c>
      <c r="D7235" s="13" t="s">
        <v>21</v>
      </c>
      <c r="E7235" s="17" t="s">
        <v>19</v>
      </c>
      <c r="F7235" s="18">
        <v>0.41799999999999998</v>
      </c>
      <c r="G7235" s="19">
        <f>VLOOKUP(D7235,upahbahan,3,FALSE)</f>
        <v>145000</v>
      </c>
      <c r="H7235" s="19">
        <f t="shared" si="749"/>
        <v>60610</v>
      </c>
    </row>
    <row r="7236" spans="3:11" x14ac:dyDescent="0.3">
      <c r="C7236" s="16">
        <v>3</v>
      </c>
      <c r="D7236" s="13" t="s">
        <v>1224</v>
      </c>
      <c r="E7236" s="17" t="s">
        <v>19</v>
      </c>
      <c r="F7236" s="18">
        <v>4.2000000000000003E-2</v>
      </c>
      <c r="G7236" s="19">
        <f>VLOOKUP(D7236,upahbahan,3,FALSE)</f>
        <v>175000</v>
      </c>
      <c r="H7236" s="19">
        <f t="shared" si="749"/>
        <v>7350.0000000000009</v>
      </c>
    </row>
    <row r="7237" spans="3:11" x14ac:dyDescent="0.3">
      <c r="C7237" s="16">
        <v>4</v>
      </c>
      <c r="D7237" s="13" t="s">
        <v>23</v>
      </c>
      <c r="E7237" s="17" t="s">
        <v>19</v>
      </c>
      <c r="F7237" s="18">
        <v>1.4E-2</v>
      </c>
      <c r="G7237" s="19">
        <f>VLOOKUP(D7237,upahbahan,3,FALSE)</f>
        <v>200000</v>
      </c>
      <c r="H7237" s="19">
        <f t="shared" si="749"/>
        <v>2800</v>
      </c>
    </row>
    <row r="7238" spans="3:11" x14ac:dyDescent="0.3">
      <c r="C7238" s="21" t="s">
        <v>24</v>
      </c>
      <c r="D7238" s="22"/>
      <c r="E7238" s="22"/>
      <c r="F7238" s="54"/>
      <c r="G7238" s="24"/>
      <c r="H7238" s="19">
        <f>SUM(H7234:H7237)</f>
        <v>95760</v>
      </c>
      <c r="I7238" s="25"/>
    </row>
    <row r="7239" spans="3:11" x14ac:dyDescent="0.25">
      <c r="C7239" s="12" t="s">
        <v>25</v>
      </c>
      <c r="D7239" s="13" t="s">
        <v>26</v>
      </c>
      <c r="E7239" s="14"/>
      <c r="F7239" s="55"/>
      <c r="G7239" s="14"/>
      <c r="H7239" s="14"/>
    </row>
    <row r="7240" spans="3:11" x14ac:dyDescent="0.25">
      <c r="C7240" s="12">
        <v>1</v>
      </c>
      <c r="D7240" s="13" t="s">
        <v>1358</v>
      </c>
      <c r="E7240" s="53" t="s">
        <v>617</v>
      </c>
      <c r="F7240" s="115">
        <v>1.05</v>
      </c>
      <c r="G7240" s="19">
        <f>VLOOKUP(D7240,upahbahan,3,FALSE)</f>
        <v>5700000</v>
      </c>
      <c r="H7240" s="19">
        <f t="shared" ref="H7240" si="750">F7240*G7240</f>
        <v>5985000</v>
      </c>
    </row>
    <row r="7241" spans="3:11" x14ac:dyDescent="0.3">
      <c r="C7241" s="21" t="s">
        <v>29</v>
      </c>
      <c r="D7241" s="22"/>
      <c r="E7241" s="22" t="s">
        <v>1340</v>
      </c>
      <c r="F7241" s="22"/>
      <c r="G7241" s="28"/>
      <c r="H7241" s="19">
        <f>SUM(H7239:H7240)</f>
        <v>5985000</v>
      </c>
    </row>
    <row r="7242" spans="3:11" x14ac:dyDescent="0.25">
      <c r="C7242" s="12" t="s">
        <v>30</v>
      </c>
      <c r="D7242" s="13" t="s">
        <v>31</v>
      </c>
      <c r="E7242" s="14"/>
      <c r="F7242" s="14"/>
      <c r="G7242" s="14"/>
      <c r="H7242" s="14"/>
    </row>
    <row r="7243" spans="3:11" x14ac:dyDescent="0.3">
      <c r="C7243" s="21" t="s">
        <v>32</v>
      </c>
      <c r="D7243" s="77"/>
      <c r="E7243" s="77"/>
      <c r="F7243" s="77"/>
      <c r="G7243" s="28"/>
      <c r="H7243" s="29">
        <f>SUM(H7242:H7242)</f>
        <v>0</v>
      </c>
    </row>
    <row r="7244" spans="3:11" x14ac:dyDescent="0.3">
      <c r="C7244" s="30" t="s">
        <v>33</v>
      </c>
      <c r="D7244" s="31" t="s">
        <v>34</v>
      </c>
      <c r="E7244" s="32"/>
      <c r="F7244" s="32"/>
      <c r="G7244" s="33"/>
      <c r="H7244" s="46">
        <f>H7243+H7241+H7238</f>
        <v>6080760</v>
      </c>
      <c r="I7244" s="47"/>
    </row>
    <row r="7245" spans="3:11" x14ac:dyDescent="0.3">
      <c r="C7245" s="30" t="s">
        <v>35</v>
      </c>
      <c r="D7245" s="31" t="s">
        <v>36</v>
      </c>
      <c r="E7245" s="32"/>
      <c r="F7245" s="33"/>
      <c r="G7245" s="34">
        <f>$M$9</f>
        <v>0.1</v>
      </c>
      <c r="H7245" s="19">
        <f>H7244*G7245</f>
        <v>608076</v>
      </c>
      <c r="I7245" s="47"/>
    </row>
    <row r="7246" spans="3:11" x14ac:dyDescent="0.3">
      <c r="C7246" s="30" t="s">
        <v>37</v>
      </c>
      <c r="D7246" s="31" t="s">
        <v>38</v>
      </c>
      <c r="E7246" s="32"/>
      <c r="F7246" s="32"/>
      <c r="G7246" s="33"/>
      <c r="H7246" s="48">
        <f>SUM(H7244:H7245)</f>
        <v>6688836</v>
      </c>
      <c r="I7246" s="47"/>
    </row>
    <row r="7248" spans="3:11" x14ac:dyDescent="0.3">
      <c r="C7248" s="56" t="s">
        <v>1359</v>
      </c>
      <c r="D7248" s="69" t="s">
        <v>1360</v>
      </c>
      <c r="E7248" s="58"/>
      <c r="F7248" s="58"/>
      <c r="G7248" s="58"/>
      <c r="H7248" s="58"/>
      <c r="I7248" s="10">
        <f>ROUNDDOWN(H7263,0)</f>
        <v>30233</v>
      </c>
      <c r="J7248" s="15"/>
      <c r="K7248" s="39"/>
    </row>
    <row r="7249" spans="3:9" ht="27.6" x14ac:dyDescent="0.3">
      <c r="C7249" s="11" t="s">
        <v>9</v>
      </c>
      <c r="D7249" s="11" t="s">
        <v>10</v>
      </c>
      <c r="E7249" s="11" t="s">
        <v>11</v>
      </c>
      <c r="F7249" s="11" t="s">
        <v>12</v>
      </c>
      <c r="G7249" s="11" t="s">
        <v>13</v>
      </c>
      <c r="H7249" s="11" t="s">
        <v>14</v>
      </c>
    </row>
    <row r="7250" spans="3:9" x14ac:dyDescent="0.25">
      <c r="C7250" s="12" t="s">
        <v>15</v>
      </c>
      <c r="D7250" s="13" t="s">
        <v>16</v>
      </c>
      <c r="E7250" s="14"/>
      <c r="F7250" s="14"/>
      <c r="G7250" s="14"/>
      <c r="H7250" s="14"/>
    </row>
    <row r="7251" spans="3:9" x14ac:dyDescent="0.3">
      <c r="C7251" s="16">
        <v>1</v>
      </c>
      <c r="D7251" s="13" t="s">
        <v>18</v>
      </c>
      <c r="E7251" s="17" t="s">
        <v>19</v>
      </c>
      <c r="F7251" s="18">
        <v>1.7000000000000001E-2</v>
      </c>
      <c r="G7251" s="19">
        <f>VLOOKUP(D7251,upahbahan,3,FALSE)</f>
        <v>100000</v>
      </c>
      <c r="H7251" s="19">
        <f t="shared" ref="H7251:H7254" si="751">F7251*G7251</f>
        <v>1700.0000000000002</v>
      </c>
    </row>
    <row r="7252" spans="3:9" x14ac:dyDescent="0.3">
      <c r="C7252" s="16">
        <v>2</v>
      </c>
      <c r="D7252" s="13" t="s">
        <v>21</v>
      </c>
      <c r="E7252" s="17" t="s">
        <v>19</v>
      </c>
      <c r="F7252" s="18">
        <v>2.8000000000000001E-2</v>
      </c>
      <c r="G7252" s="19">
        <f>VLOOKUP(D7252,upahbahan,3,FALSE)</f>
        <v>145000</v>
      </c>
      <c r="H7252" s="19">
        <f t="shared" si="751"/>
        <v>4060</v>
      </c>
    </row>
    <row r="7253" spans="3:9" x14ac:dyDescent="0.3">
      <c r="C7253" s="16">
        <v>3</v>
      </c>
      <c r="D7253" s="13" t="s">
        <v>1224</v>
      </c>
      <c r="E7253" s="17" t="s">
        <v>19</v>
      </c>
      <c r="F7253" s="18">
        <v>3.0000000000000001E-3</v>
      </c>
      <c r="G7253" s="19">
        <f>VLOOKUP(D7253,upahbahan,3,FALSE)</f>
        <v>175000</v>
      </c>
      <c r="H7253" s="19">
        <f t="shared" si="751"/>
        <v>525</v>
      </c>
    </row>
    <row r="7254" spans="3:9" x14ac:dyDescent="0.3">
      <c r="C7254" s="16">
        <v>4</v>
      </c>
      <c r="D7254" s="13" t="s">
        <v>23</v>
      </c>
      <c r="E7254" s="17" t="s">
        <v>19</v>
      </c>
      <c r="F7254" s="18">
        <v>1E-3</v>
      </c>
      <c r="G7254" s="19">
        <f>VLOOKUP(D7254,upahbahan,3,FALSE)</f>
        <v>200000</v>
      </c>
      <c r="H7254" s="19">
        <f t="shared" si="751"/>
        <v>200</v>
      </c>
    </row>
    <row r="7255" spans="3:9" x14ac:dyDescent="0.3">
      <c r="C7255" s="21" t="s">
        <v>24</v>
      </c>
      <c r="D7255" s="22"/>
      <c r="E7255" s="22"/>
      <c r="F7255" s="54"/>
      <c r="G7255" s="24"/>
      <c r="H7255" s="19">
        <f>SUM(H7251:H7254)</f>
        <v>6485</v>
      </c>
      <c r="I7255" s="25"/>
    </row>
    <row r="7256" spans="3:9" x14ac:dyDescent="0.25">
      <c r="C7256" s="12" t="s">
        <v>25</v>
      </c>
      <c r="D7256" s="13" t="s">
        <v>26</v>
      </c>
      <c r="E7256" s="14"/>
      <c r="F7256" s="55"/>
      <c r="G7256" s="14"/>
      <c r="H7256" s="14"/>
    </row>
    <row r="7257" spans="3:9" x14ac:dyDescent="0.25">
      <c r="C7257" s="12">
        <v>1</v>
      </c>
      <c r="D7257" s="13" t="s">
        <v>1361</v>
      </c>
      <c r="E7257" s="53" t="s">
        <v>617</v>
      </c>
      <c r="F7257" s="115">
        <v>1.05</v>
      </c>
      <c r="G7257" s="19">
        <f>VLOOKUP(D7257,upahbahan,3,FALSE)</f>
        <v>20000</v>
      </c>
      <c r="H7257" s="19">
        <f t="shared" ref="H7257" si="752">F7257*G7257</f>
        <v>21000</v>
      </c>
    </row>
    <row r="7258" spans="3:9" x14ac:dyDescent="0.3">
      <c r="C7258" s="21" t="s">
        <v>29</v>
      </c>
      <c r="D7258" s="22"/>
      <c r="E7258" s="22" t="s">
        <v>1340</v>
      </c>
      <c r="F7258" s="22"/>
      <c r="G7258" s="28"/>
      <c r="H7258" s="19">
        <f>SUM(H7256:H7257)</f>
        <v>21000</v>
      </c>
    </row>
    <row r="7259" spans="3:9" x14ac:dyDescent="0.25">
      <c r="C7259" s="12" t="s">
        <v>30</v>
      </c>
      <c r="D7259" s="13" t="s">
        <v>31</v>
      </c>
      <c r="E7259" s="14"/>
      <c r="F7259" s="14"/>
      <c r="G7259" s="14"/>
      <c r="H7259" s="14"/>
    </row>
    <row r="7260" spans="3:9" x14ac:dyDescent="0.3">
      <c r="C7260" s="21" t="s">
        <v>32</v>
      </c>
      <c r="D7260" s="77"/>
      <c r="E7260" s="77"/>
      <c r="F7260" s="77"/>
      <c r="G7260" s="28"/>
      <c r="H7260" s="29">
        <f>SUM(H7259:H7259)</f>
        <v>0</v>
      </c>
    </row>
    <row r="7261" spans="3:9" x14ac:dyDescent="0.3">
      <c r="C7261" s="30" t="s">
        <v>33</v>
      </c>
      <c r="D7261" s="31" t="s">
        <v>34</v>
      </c>
      <c r="E7261" s="32"/>
      <c r="F7261" s="32"/>
      <c r="G7261" s="33"/>
      <c r="H7261" s="46">
        <f>H7260+H7258+H7255</f>
        <v>27485</v>
      </c>
      <c r="I7261" s="47"/>
    </row>
    <row r="7262" spans="3:9" x14ac:dyDescent="0.3">
      <c r="C7262" s="30" t="s">
        <v>35</v>
      </c>
      <c r="D7262" s="31" t="s">
        <v>36</v>
      </c>
      <c r="E7262" s="32"/>
      <c r="F7262" s="33"/>
      <c r="G7262" s="34">
        <f>$M$9</f>
        <v>0.1</v>
      </c>
      <c r="H7262" s="19">
        <f>H7261*G7262</f>
        <v>2748.5</v>
      </c>
      <c r="I7262" s="47"/>
    </row>
    <row r="7263" spans="3:9" x14ac:dyDescent="0.3">
      <c r="C7263" s="30" t="s">
        <v>37</v>
      </c>
      <c r="D7263" s="31" t="s">
        <v>38</v>
      </c>
      <c r="E7263" s="32"/>
      <c r="F7263" s="32"/>
      <c r="G7263" s="33"/>
      <c r="H7263" s="48">
        <f>SUM(H7261:H7262)</f>
        <v>30233.5</v>
      </c>
      <c r="I7263" s="47"/>
    </row>
    <row r="7265" spans="3:11" x14ac:dyDescent="0.3">
      <c r="C7265" s="2" t="s">
        <v>1362</v>
      </c>
      <c r="D7265" s="2" t="s">
        <v>1363</v>
      </c>
    </row>
    <row r="7266" spans="3:11" x14ac:dyDescent="0.3">
      <c r="C7266" s="40" t="s">
        <v>1364</v>
      </c>
      <c r="D7266" s="68" t="s">
        <v>1365</v>
      </c>
      <c r="E7266" s="44"/>
      <c r="F7266" s="44"/>
      <c r="G7266" s="44"/>
      <c r="H7266" s="44"/>
      <c r="I7266" s="10">
        <f>ROUNDDOWN(H7281,0)</f>
        <v>1884036</v>
      </c>
      <c r="J7266" s="15"/>
      <c r="K7266" s="39"/>
    </row>
    <row r="7267" spans="3:11" ht="27.6" x14ac:dyDescent="0.3">
      <c r="C7267" s="11" t="s">
        <v>9</v>
      </c>
      <c r="D7267" s="11" t="s">
        <v>10</v>
      </c>
      <c r="E7267" s="11" t="s">
        <v>11</v>
      </c>
      <c r="F7267" s="11" t="s">
        <v>12</v>
      </c>
      <c r="G7267" s="11" t="s">
        <v>13</v>
      </c>
      <c r="H7267" s="11" t="s">
        <v>14</v>
      </c>
    </row>
    <row r="7268" spans="3:11" x14ac:dyDescent="0.25">
      <c r="C7268" s="12" t="s">
        <v>15</v>
      </c>
      <c r="D7268" s="13" t="s">
        <v>16</v>
      </c>
      <c r="E7268" s="14"/>
      <c r="F7268" s="14"/>
      <c r="G7268" s="14"/>
      <c r="H7268" s="14"/>
    </row>
    <row r="7269" spans="3:11" x14ac:dyDescent="0.3">
      <c r="C7269" s="16">
        <v>1</v>
      </c>
      <c r="D7269" s="13" t="s">
        <v>18</v>
      </c>
      <c r="E7269" s="17" t="s">
        <v>19</v>
      </c>
      <c r="F7269" s="18">
        <v>0.25</v>
      </c>
      <c r="G7269" s="19">
        <f>VLOOKUP(D7269,upahbahan,3,FALSE)</f>
        <v>100000</v>
      </c>
      <c r="H7269" s="19">
        <f t="shared" ref="H7269:H7272" si="753">F7269*G7269</f>
        <v>25000</v>
      </c>
    </row>
    <row r="7270" spans="3:11" x14ac:dyDescent="0.3">
      <c r="C7270" s="16">
        <v>2</v>
      </c>
      <c r="D7270" s="13" t="s">
        <v>21</v>
      </c>
      <c r="E7270" s="17" t="s">
        <v>19</v>
      </c>
      <c r="F7270" s="18">
        <v>0.41799999999999998</v>
      </c>
      <c r="G7270" s="19">
        <f>VLOOKUP(D7270,upahbahan,3,FALSE)</f>
        <v>145000</v>
      </c>
      <c r="H7270" s="19">
        <f t="shared" si="753"/>
        <v>60610</v>
      </c>
    </row>
    <row r="7271" spans="3:11" x14ac:dyDescent="0.3">
      <c r="C7271" s="16">
        <v>3</v>
      </c>
      <c r="D7271" s="13" t="s">
        <v>1224</v>
      </c>
      <c r="E7271" s="17" t="s">
        <v>19</v>
      </c>
      <c r="F7271" s="18">
        <v>4.2000000000000003E-2</v>
      </c>
      <c r="G7271" s="19">
        <f>VLOOKUP(D7271,upahbahan,3,FALSE)</f>
        <v>175000</v>
      </c>
      <c r="H7271" s="19">
        <f t="shared" si="753"/>
        <v>7350.0000000000009</v>
      </c>
    </row>
    <row r="7272" spans="3:11" x14ac:dyDescent="0.3">
      <c r="C7272" s="16">
        <v>4</v>
      </c>
      <c r="D7272" s="13" t="s">
        <v>23</v>
      </c>
      <c r="E7272" s="17" t="s">
        <v>19</v>
      </c>
      <c r="F7272" s="18">
        <v>1.4E-2</v>
      </c>
      <c r="G7272" s="19">
        <f>VLOOKUP(D7272,upahbahan,3,FALSE)</f>
        <v>200000</v>
      </c>
      <c r="H7272" s="19">
        <f t="shared" si="753"/>
        <v>2800</v>
      </c>
    </row>
    <row r="7273" spans="3:11" x14ac:dyDescent="0.3">
      <c r="C7273" s="21" t="s">
        <v>24</v>
      </c>
      <c r="D7273" s="22"/>
      <c r="E7273" s="22"/>
      <c r="F7273" s="54"/>
      <c r="G7273" s="24"/>
      <c r="H7273" s="19">
        <f>SUM(H7269:H7272)</f>
        <v>95760</v>
      </c>
      <c r="I7273" s="25"/>
    </row>
    <row r="7274" spans="3:11" x14ac:dyDescent="0.25">
      <c r="C7274" s="12" t="s">
        <v>25</v>
      </c>
      <c r="D7274" s="13" t="s">
        <v>26</v>
      </c>
      <c r="E7274" s="14"/>
      <c r="F7274" s="55"/>
      <c r="G7274" s="14"/>
      <c r="H7274" s="14"/>
    </row>
    <row r="7275" spans="3:11" x14ac:dyDescent="0.25">
      <c r="C7275" s="12">
        <v>1</v>
      </c>
      <c r="D7275" s="13" t="s">
        <v>1366</v>
      </c>
      <c r="E7275" s="53" t="s">
        <v>617</v>
      </c>
      <c r="F7275" s="115">
        <v>1.05</v>
      </c>
      <c r="G7275" s="19">
        <f>VLOOKUP(D7275,upahbahan,3,FALSE)</f>
        <v>1540000</v>
      </c>
      <c r="H7275" s="19">
        <f t="shared" ref="H7275" si="754">F7275*G7275</f>
        <v>1617000</v>
      </c>
    </row>
    <row r="7276" spans="3:11" x14ac:dyDescent="0.3">
      <c r="C7276" s="21" t="s">
        <v>29</v>
      </c>
      <c r="D7276" s="22"/>
      <c r="E7276" s="22" t="s">
        <v>1340</v>
      </c>
      <c r="F7276" s="22"/>
      <c r="G7276" s="28"/>
      <c r="H7276" s="19">
        <f>SUM(H7274:H7275)</f>
        <v>1617000</v>
      </c>
    </row>
    <row r="7277" spans="3:11" x14ac:dyDescent="0.25">
      <c r="C7277" s="12" t="s">
        <v>30</v>
      </c>
      <c r="D7277" s="13" t="s">
        <v>31</v>
      </c>
      <c r="E7277" s="14"/>
      <c r="F7277" s="14"/>
      <c r="G7277" s="14"/>
      <c r="H7277" s="14"/>
    </row>
    <row r="7278" spans="3:11" x14ac:dyDescent="0.3">
      <c r="C7278" s="21" t="s">
        <v>32</v>
      </c>
      <c r="D7278" s="77"/>
      <c r="E7278" s="77"/>
      <c r="F7278" s="77"/>
      <c r="G7278" s="28"/>
      <c r="H7278" s="29">
        <f>SUM(H7277:H7277)</f>
        <v>0</v>
      </c>
    </row>
    <row r="7279" spans="3:11" x14ac:dyDescent="0.3">
      <c r="C7279" s="30" t="s">
        <v>33</v>
      </c>
      <c r="D7279" s="31" t="s">
        <v>34</v>
      </c>
      <c r="E7279" s="32"/>
      <c r="F7279" s="32"/>
      <c r="G7279" s="33"/>
      <c r="H7279" s="46">
        <f>H7278+H7276+H7273</f>
        <v>1712760</v>
      </c>
      <c r="I7279" s="47"/>
    </row>
    <row r="7280" spans="3:11" x14ac:dyDescent="0.3">
      <c r="C7280" s="30" t="s">
        <v>35</v>
      </c>
      <c r="D7280" s="31" t="s">
        <v>36</v>
      </c>
      <c r="E7280" s="32"/>
      <c r="F7280" s="33"/>
      <c r="G7280" s="34">
        <f>$M$9</f>
        <v>0.1</v>
      </c>
      <c r="H7280" s="19">
        <f>H7279*G7280</f>
        <v>171276</v>
      </c>
      <c r="I7280" s="47"/>
    </row>
    <row r="7281" spans="3:11" x14ac:dyDescent="0.3">
      <c r="C7281" s="30" t="s">
        <v>37</v>
      </c>
      <c r="D7281" s="31" t="s">
        <v>38</v>
      </c>
      <c r="E7281" s="32"/>
      <c r="F7281" s="32"/>
      <c r="G7281" s="33"/>
      <c r="H7281" s="48">
        <f>SUM(H7279:H7280)</f>
        <v>1884036</v>
      </c>
      <c r="I7281" s="47"/>
    </row>
    <row r="7283" spans="3:11" x14ac:dyDescent="0.3">
      <c r="C7283" s="40" t="s">
        <v>1367</v>
      </c>
      <c r="D7283" s="68" t="s">
        <v>1368</v>
      </c>
      <c r="E7283" s="44"/>
      <c r="F7283" s="44"/>
      <c r="G7283" s="44"/>
      <c r="H7283" s="44"/>
      <c r="I7283" s="10">
        <f>ROUNDDOWN(H7298,0)</f>
        <v>180147</v>
      </c>
      <c r="J7283" s="15"/>
      <c r="K7283" s="39"/>
    </row>
    <row r="7284" spans="3:11" ht="27.6" x14ac:dyDescent="0.3">
      <c r="C7284" s="11" t="s">
        <v>9</v>
      </c>
      <c r="D7284" s="11" t="s">
        <v>10</v>
      </c>
      <c r="E7284" s="11" t="s">
        <v>11</v>
      </c>
      <c r="F7284" s="11" t="s">
        <v>12</v>
      </c>
      <c r="G7284" s="11" t="s">
        <v>13</v>
      </c>
      <c r="H7284" s="11" t="s">
        <v>14</v>
      </c>
    </row>
    <row r="7285" spans="3:11" x14ac:dyDescent="0.25">
      <c r="C7285" s="12" t="s">
        <v>15</v>
      </c>
      <c r="D7285" s="13" t="s">
        <v>16</v>
      </c>
      <c r="E7285" s="14"/>
      <c r="F7285" s="14"/>
      <c r="G7285" s="14"/>
      <c r="H7285" s="14"/>
    </row>
    <row r="7286" spans="3:11" x14ac:dyDescent="0.3">
      <c r="C7286" s="16">
        <v>1</v>
      </c>
      <c r="D7286" s="13" t="s">
        <v>18</v>
      </c>
      <c r="E7286" s="17" t="s">
        <v>19</v>
      </c>
      <c r="F7286" s="18">
        <v>0.126</v>
      </c>
      <c r="G7286" s="19">
        <f>VLOOKUP(D7286,upahbahan,3,FALSE)</f>
        <v>100000</v>
      </c>
      <c r="H7286" s="19">
        <f t="shared" ref="H7286:H7289" si="755">F7286*G7286</f>
        <v>12600</v>
      </c>
    </row>
    <row r="7287" spans="3:11" x14ac:dyDescent="0.3">
      <c r="C7287" s="16">
        <v>2</v>
      </c>
      <c r="D7287" s="13" t="s">
        <v>21</v>
      </c>
      <c r="E7287" s="17" t="s">
        <v>19</v>
      </c>
      <c r="F7287" s="18">
        <v>0.21099999999999999</v>
      </c>
      <c r="G7287" s="19">
        <f>VLOOKUP(D7287,upahbahan,3,FALSE)</f>
        <v>145000</v>
      </c>
      <c r="H7287" s="19">
        <f t="shared" si="755"/>
        <v>30595</v>
      </c>
    </row>
    <row r="7288" spans="3:11" x14ac:dyDescent="0.3">
      <c r="C7288" s="16">
        <v>3</v>
      </c>
      <c r="D7288" s="13" t="s">
        <v>1224</v>
      </c>
      <c r="E7288" s="17" t="s">
        <v>19</v>
      </c>
      <c r="F7288" s="18">
        <v>2.1000000000000001E-2</v>
      </c>
      <c r="G7288" s="19">
        <f>VLOOKUP(D7288,upahbahan,3,FALSE)</f>
        <v>175000</v>
      </c>
      <c r="H7288" s="19">
        <f t="shared" si="755"/>
        <v>3675.0000000000005</v>
      </c>
    </row>
    <row r="7289" spans="3:11" x14ac:dyDescent="0.3">
      <c r="C7289" s="16">
        <v>4</v>
      </c>
      <c r="D7289" s="13" t="s">
        <v>23</v>
      </c>
      <c r="E7289" s="17" t="s">
        <v>19</v>
      </c>
      <c r="F7289" s="18">
        <v>7.0000000000000001E-3</v>
      </c>
      <c r="G7289" s="19">
        <f>VLOOKUP(D7289,upahbahan,3,FALSE)</f>
        <v>200000</v>
      </c>
      <c r="H7289" s="19">
        <f t="shared" si="755"/>
        <v>1400</v>
      </c>
    </row>
    <row r="7290" spans="3:11" x14ac:dyDescent="0.3">
      <c r="C7290" s="21" t="s">
        <v>24</v>
      </c>
      <c r="D7290" s="22"/>
      <c r="E7290" s="22"/>
      <c r="F7290" s="54"/>
      <c r="G7290" s="24"/>
      <c r="H7290" s="19">
        <f>SUM(H7286:H7289)</f>
        <v>48270</v>
      </c>
      <c r="I7290" s="25"/>
    </row>
    <row r="7291" spans="3:11" x14ac:dyDescent="0.25">
      <c r="C7291" s="12" t="s">
        <v>25</v>
      </c>
      <c r="D7291" s="13" t="s">
        <v>26</v>
      </c>
      <c r="E7291" s="14"/>
      <c r="F7291" s="55"/>
      <c r="G7291" s="14"/>
      <c r="H7291" s="14"/>
    </row>
    <row r="7292" spans="3:11" x14ac:dyDescent="0.25">
      <c r="C7292" s="12">
        <v>1</v>
      </c>
      <c r="D7292" s="13" t="s">
        <v>1369</v>
      </c>
      <c r="E7292" s="53" t="s">
        <v>617</v>
      </c>
      <c r="F7292" s="115">
        <v>1.05</v>
      </c>
      <c r="G7292" s="19">
        <f>VLOOKUP(D7292,upahbahan,3,FALSE)</f>
        <v>110000</v>
      </c>
      <c r="H7292" s="19">
        <f t="shared" ref="H7292" si="756">F7292*G7292</f>
        <v>115500</v>
      </c>
    </row>
    <row r="7293" spans="3:11" x14ac:dyDescent="0.3">
      <c r="C7293" s="21" t="s">
        <v>29</v>
      </c>
      <c r="D7293" s="22"/>
      <c r="E7293" s="22" t="s">
        <v>1340</v>
      </c>
      <c r="F7293" s="22"/>
      <c r="G7293" s="28"/>
      <c r="H7293" s="19">
        <f>SUM(H7291:H7292)</f>
        <v>115500</v>
      </c>
    </row>
    <row r="7294" spans="3:11" x14ac:dyDescent="0.25">
      <c r="C7294" s="12" t="s">
        <v>30</v>
      </c>
      <c r="D7294" s="13" t="s">
        <v>31</v>
      </c>
      <c r="E7294" s="14"/>
      <c r="F7294" s="14"/>
      <c r="G7294" s="14"/>
      <c r="H7294" s="14"/>
    </row>
    <row r="7295" spans="3:11" x14ac:dyDescent="0.3">
      <c r="C7295" s="21" t="s">
        <v>32</v>
      </c>
      <c r="D7295" s="77"/>
      <c r="E7295" s="77"/>
      <c r="F7295" s="77"/>
      <c r="G7295" s="28"/>
      <c r="H7295" s="29">
        <f>SUM(H7294:H7294)</f>
        <v>0</v>
      </c>
    </row>
    <row r="7296" spans="3:11" x14ac:dyDescent="0.3">
      <c r="C7296" s="30" t="s">
        <v>33</v>
      </c>
      <c r="D7296" s="31" t="s">
        <v>34</v>
      </c>
      <c r="E7296" s="32"/>
      <c r="F7296" s="32"/>
      <c r="G7296" s="33"/>
      <c r="H7296" s="46">
        <f>H7295+H7293+H7290</f>
        <v>163770</v>
      </c>
      <c r="I7296" s="47"/>
    </row>
    <row r="7297" spans="3:11" x14ac:dyDescent="0.3">
      <c r="C7297" s="30" t="s">
        <v>35</v>
      </c>
      <c r="D7297" s="31" t="s">
        <v>36</v>
      </c>
      <c r="E7297" s="32"/>
      <c r="F7297" s="33"/>
      <c r="G7297" s="34">
        <f>$M$9</f>
        <v>0.1</v>
      </c>
      <c r="H7297" s="19">
        <f>H7296*G7297</f>
        <v>16377</v>
      </c>
      <c r="I7297" s="47"/>
    </row>
    <row r="7298" spans="3:11" x14ac:dyDescent="0.3">
      <c r="C7298" s="30" t="s">
        <v>37</v>
      </c>
      <c r="D7298" s="31" t="s">
        <v>38</v>
      </c>
      <c r="E7298" s="32"/>
      <c r="F7298" s="32"/>
      <c r="G7298" s="33"/>
      <c r="H7298" s="48">
        <f>SUM(H7296:H7297)</f>
        <v>180147</v>
      </c>
      <c r="I7298" s="47"/>
    </row>
    <row r="7301" spans="3:11" x14ac:dyDescent="0.3">
      <c r="C7301" s="56" t="s">
        <v>1370</v>
      </c>
      <c r="D7301" s="69" t="s">
        <v>1371</v>
      </c>
      <c r="E7301" s="58"/>
      <c r="F7301" s="58"/>
      <c r="G7301" s="58"/>
      <c r="H7301" s="58"/>
      <c r="I7301" s="10">
        <f>ROUNDDOWN(H7316,0)</f>
        <v>3101054</v>
      </c>
      <c r="J7301" s="15"/>
      <c r="K7301" s="39"/>
    </row>
    <row r="7302" spans="3:11" ht="27.6" x14ac:dyDescent="0.3">
      <c r="C7302" s="11" t="s">
        <v>9</v>
      </c>
      <c r="D7302" s="11" t="s">
        <v>10</v>
      </c>
      <c r="E7302" s="11" t="s">
        <v>11</v>
      </c>
      <c r="F7302" s="11" t="s">
        <v>12</v>
      </c>
      <c r="G7302" s="11" t="s">
        <v>13</v>
      </c>
      <c r="H7302" s="11" t="s">
        <v>14</v>
      </c>
    </row>
    <row r="7303" spans="3:11" x14ac:dyDescent="0.25">
      <c r="C7303" s="12" t="s">
        <v>15</v>
      </c>
      <c r="D7303" s="13" t="s">
        <v>16</v>
      </c>
      <c r="E7303" s="14"/>
      <c r="F7303" s="14"/>
      <c r="G7303" s="14"/>
      <c r="H7303" s="14"/>
    </row>
    <row r="7304" spans="3:11" x14ac:dyDescent="0.3">
      <c r="C7304" s="16">
        <v>1</v>
      </c>
      <c r="D7304" s="13" t="s">
        <v>18</v>
      </c>
      <c r="E7304" s="17" t="s">
        <v>19</v>
      </c>
      <c r="F7304" s="18">
        <v>0.76200000000000001</v>
      </c>
      <c r="G7304" s="19">
        <f>VLOOKUP(D7304,upahbahan,3,FALSE)</f>
        <v>100000</v>
      </c>
      <c r="H7304" s="19">
        <f t="shared" ref="H7304:H7307" si="757">F7304*G7304</f>
        <v>76200</v>
      </c>
    </row>
    <row r="7305" spans="3:11" x14ac:dyDescent="0.3">
      <c r="C7305" s="16">
        <v>2</v>
      </c>
      <c r="D7305" s="13" t="s">
        <v>21</v>
      </c>
      <c r="E7305" s="17" t="s">
        <v>19</v>
      </c>
      <c r="F7305" s="18">
        <v>1.272</v>
      </c>
      <c r="G7305" s="19">
        <f>VLOOKUP(D7305,upahbahan,3,FALSE)</f>
        <v>145000</v>
      </c>
      <c r="H7305" s="19">
        <f t="shared" si="757"/>
        <v>184440</v>
      </c>
    </row>
    <row r="7306" spans="3:11" x14ac:dyDescent="0.3">
      <c r="C7306" s="16">
        <v>3</v>
      </c>
      <c r="D7306" s="13" t="s">
        <v>1224</v>
      </c>
      <c r="E7306" s="17" t="s">
        <v>19</v>
      </c>
      <c r="F7306" s="18">
        <v>0.17199999999999999</v>
      </c>
      <c r="G7306" s="19">
        <f>VLOOKUP(D7306,upahbahan,3,FALSE)</f>
        <v>175000</v>
      </c>
      <c r="H7306" s="19">
        <f t="shared" si="757"/>
        <v>30099.999999999996</v>
      </c>
    </row>
    <row r="7307" spans="3:11" x14ac:dyDescent="0.3">
      <c r="C7307" s="16">
        <v>4</v>
      </c>
      <c r="D7307" s="13" t="s">
        <v>23</v>
      </c>
      <c r="E7307" s="17" t="s">
        <v>19</v>
      </c>
      <c r="F7307" s="18">
        <v>4.2000000000000003E-2</v>
      </c>
      <c r="G7307" s="19">
        <f>VLOOKUP(D7307,upahbahan,3,FALSE)</f>
        <v>200000</v>
      </c>
      <c r="H7307" s="19">
        <f t="shared" si="757"/>
        <v>8400</v>
      </c>
    </row>
    <row r="7308" spans="3:11" x14ac:dyDescent="0.3">
      <c r="C7308" s="21" t="s">
        <v>24</v>
      </c>
      <c r="D7308" s="22"/>
      <c r="E7308" s="22"/>
      <c r="F7308" s="54"/>
      <c r="G7308" s="24"/>
      <c r="H7308" s="19">
        <f>SUM(H7304:H7307)</f>
        <v>299140</v>
      </c>
      <c r="I7308" s="25"/>
    </row>
    <row r="7309" spans="3:11" x14ac:dyDescent="0.25">
      <c r="C7309" s="12" t="s">
        <v>25</v>
      </c>
      <c r="D7309" s="13" t="s">
        <v>26</v>
      </c>
      <c r="E7309" s="14"/>
      <c r="F7309" s="55"/>
      <c r="G7309" s="14"/>
      <c r="H7309" s="14"/>
    </row>
    <row r="7310" spans="3:11" x14ac:dyDescent="0.25">
      <c r="C7310" s="12">
        <v>1</v>
      </c>
      <c r="D7310" s="13" t="s">
        <v>1372</v>
      </c>
      <c r="E7310" s="53" t="s">
        <v>617</v>
      </c>
      <c r="F7310" s="115">
        <v>1.05</v>
      </c>
      <c r="G7310" s="19">
        <v>2400000</v>
      </c>
      <c r="H7310" s="19">
        <f t="shared" ref="H7310" si="758">F7310*G7310</f>
        <v>2520000</v>
      </c>
    </row>
    <row r="7311" spans="3:11" x14ac:dyDescent="0.3">
      <c r="C7311" s="21" t="s">
        <v>29</v>
      </c>
      <c r="D7311" s="22"/>
      <c r="E7311" s="22" t="s">
        <v>1340</v>
      </c>
      <c r="F7311" s="22"/>
      <c r="G7311" s="28"/>
      <c r="H7311" s="19">
        <f>SUM(H7309:H7310)</f>
        <v>2520000</v>
      </c>
    </row>
    <row r="7312" spans="3:11" x14ac:dyDescent="0.25">
      <c r="C7312" s="12" t="s">
        <v>30</v>
      </c>
      <c r="D7312" s="13" t="s">
        <v>31</v>
      </c>
      <c r="E7312" s="14"/>
      <c r="F7312" s="14"/>
      <c r="G7312" s="14"/>
      <c r="H7312" s="14"/>
    </row>
    <row r="7313" spans="3:11" x14ac:dyDescent="0.3">
      <c r="C7313" s="21" t="s">
        <v>32</v>
      </c>
      <c r="D7313" s="77"/>
      <c r="E7313" s="77"/>
      <c r="F7313" s="77"/>
      <c r="G7313" s="28"/>
      <c r="H7313" s="29">
        <f>SUM(H7312:H7312)</f>
        <v>0</v>
      </c>
    </row>
    <row r="7314" spans="3:11" x14ac:dyDescent="0.3">
      <c r="C7314" s="30" t="s">
        <v>33</v>
      </c>
      <c r="D7314" s="31" t="s">
        <v>34</v>
      </c>
      <c r="E7314" s="32"/>
      <c r="F7314" s="32"/>
      <c r="G7314" s="33"/>
      <c r="H7314" s="46">
        <f>H7313+H7311+H7308</f>
        <v>2819140</v>
      </c>
      <c r="I7314" s="47"/>
    </row>
    <row r="7315" spans="3:11" x14ac:dyDescent="0.3">
      <c r="C7315" s="30" t="s">
        <v>35</v>
      </c>
      <c r="D7315" s="31" t="s">
        <v>36</v>
      </c>
      <c r="E7315" s="32"/>
      <c r="F7315" s="33"/>
      <c r="G7315" s="34">
        <f>$M$9</f>
        <v>0.1</v>
      </c>
      <c r="H7315" s="19">
        <f>H7314*G7315</f>
        <v>281914</v>
      </c>
      <c r="I7315" s="47"/>
    </row>
    <row r="7316" spans="3:11" x14ac:dyDescent="0.3">
      <c r="C7316" s="30" t="s">
        <v>37</v>
      </c>
      <c r="D7316" s="31" t="s">
        <v>38</v>
      </c>
      <c r="E7316" s="32"/>
      <c r="F7316" s="32"/>
      <c r="G7316" s="33"/>
      <c r="H7316" s="48">
        <f>SUM(H7314:H7315)</f>
        <v>3101054</v>
      </c>
      <c r="I7316" s="47"/>
    </row>
    <row r="7318" spans="3:11" x14ac:dyDescent="0.3">
      <c r="C7318" s="40" t="s">
        <v>1373</v>
      </c>
      <c r="D7318" s="68" t="s">
        <v>1374</v>
      </c>
      <c r="E7318" s="44"/>
      <c r="F7318" s="44"/>
      <c r="G7318" s="44"/>
      <c r="H7318" s="44"/>
      <c r="I7318" s="10">
        <f>ROUNDDOWN(H7334,0)</f>
        <v>8837554</v>
      </c>
      <c r="J7318" s="15"/>
      <c r="K7318" s="39"/>
    </row>
    <row r="7319" spans="3:11" ht="27.6" x14ac:dyDescent="0.3">
      <c r="C7319" s="11" t="s">
        <v>9</v>
      </c>
      <c r="D7319" s="11" t="s">
        <v>10</v>
      </c>
      <c r="E7319" s="11" t="s">
        <v>11</v>
      </c>
      <c r="F7319" s="11" t="s">
        <v>12</v>
      </c>
      <c r="G7319" s="11" t="s">
        <v>13</v>
      </c>
      <c r="H7319" s="11" t="s">
        <v>14</v>
      </c>
    </row>
    <row r="7320" spans="3:11" x14ac:dyDescent="0.25">
      <c r="C7320" s="12" t="s">
        <v>15</v>
      </c>
      <c r="D7320" s="13" t="s">
        <v>16</v>
      </c>
      <c r="E7320" s="14"/>
      <c r="F7320" s="14"/>
      <c r="G7320" s="14"/>
      <c r="H7320" s="14"/>
    </row>
    <row r="7321" spans="3:11" x14ac:dyDescent="0.3">
      <c r="C7321" s="16">
        <v>1</v>
      </c>
      <c r="D7321" s="13" t="s">
        <v>18</v>
      </c>
      <c r="E7321" s="17" t="s">
        <v>19</v>
      </c>
      <c r="F7321" s="18">
        <v>0.76200000000000001</v>
      </c>
      <c r="G7321" s="19">
        <f>VLOOKUP(D7321,upahbahan,3,FALSE)</f>
        <v>100000</v>
      </c>
      <c r="H7321" s="19">
        <f t="shared" ref="H7321:H7324" si="759">F7321*G7321</f>
        <v>76200</v>
      </c>
    </row>
    <row r="7322" spans="3:11" x14ac:dyDescent="0.3">
      <c r="C7322" s="16">
        <v>2</v>
      </c>
      <c r="D7322" s="13" t="s">
        <v>21</v>
      </c>
      <c r="E7322" s="17" t="s">
        <v>19</v>
      </c>
      <c r="F7322" s="18">
        <v>1.272</v>
      </c>
      <c r="G7322" s="19">
        <f>VLOOKUP(D7322,upahbahan,3,FALSE)</f>
        <v>145000</v>
      </c>
      <c r="H7322" s="19">
        <f t="shared" si="759"/>
        <v>184440</v>
      </c>
    </row>
    <row r="7323" spans="3:11" x14ac:dyDescent="0.3">
      <c r="C7323" s="16">
        <v>3</v>
      </c>
      <c r="D7323" s="13" t="s">
        <v>1224</v>
      </c>
      <c r="E7323" s="17" t="s">
        <v>19</v>
      </c>
      <c r="F7323" s="18">
        <v>0.17199999999999999</v>
      </c>
      <c r="G7323" s="19">
        <f>VLOOKUP(D7323,upahbahan,3,FALSE)</f>
        <v>175000</v>
      </c>
      <c r="H7323" s="19">
        <f t="shared" si="759"/>
        <v>30099.999999999996</v>
      </c>
    </row>
    <row r="7324" spans="3:11" x14ac:dyDescent="0.3">
      <c r="C7324" s="16">
        <v>4</v>
      </c>
      <c r="D7324" s="13" t="s">
        <v>23</v>
      </c>
      <c r="E7324" s="17" t="s">
        <v>19</v>
      </c>
      <c r="F7324" s="18">
        <v>4.2000000000000003E-2</v>
      </c>
      <c r="G7324" s="19">
        <f>VLOOKUP(D7324,upahbahan,3,FALSE)</f>
        <v>200000</v>
      </c>
      <c r="H7324" s="19">
        <f t="shared" si="759"/>
        <v>8400</v>
      </c>
    </row>
    <row r="7325" spans="3:11" x14ac:dyDescent="0.3">
      <c r="C7325" s="21" t="s">
        <v>24</v>
      </c>
      <c r="D7325" s="22"/>
      <c r="E7325" s="22"/>
      <c r="F7325" s="54"/>
      <c r="G7325" s="24"/>
      <c r="H7325" s="19">
        <f>SUM(H7321:H7324)</f>
        <v>299140</v>
      </c>
      <c r="I7325" s="25"/>
    </row>
    <row r="7326" spans="3:11" x14ac:dyDescent="0.25">
      <c r="C7326" s="12" t="s">
        <v>25</v>
      </c>
      <c r="D7326" s="13" t="s">
        <v>26</v>
      </c>
      <c r="E7326" s="14"/>
      <c r="F7326" s="55"/>
      <c r="G7326" s="14"/>
      <c r="H7326" s="14"/>
    </row>
    <row r="7327" spans="3:11" ht="27.6" x14ac:dyDescent="0.25">
      <c r="C7327" s="12">
        <v>1</v>
      </c>
      <c r="D7327" s="13" t="s">
        <v>1375</v>
      </c>
      <c r="E7327" s="53" t="s">
        <v>617</v>
      </c>
      <c r="F7327" s="115">
        <v>1.05</v>
      </c>
      <c r="G7327" s="19">
        <f>VLOOKUP(D7327,upahbahan,3,FALSE)</f>
        <v>5500000</v>
      </c>
      <c r="H7327" s="19">
        <f t="shared" ref="H7327:H7328" si="760">F7327*G7327</f>
        <v>5775000</v>
      </c>
    </row>
    <row r="7328" spans="3:11" x14ac:dyDescent="0.25">
      <c r="C7328" s="12">
        <v>2</v>
      </c>
      <c r="D7328" s="13" t="s">
        <v>1376</v>
      </c>
      <c r="E7328" s="53" t="s">
        <v>617</v>
      </c>
      <c r="F7328" s="115">
        <v>1</v>
      </c>
      <c r="G7328" s="19">
        <f>VLOOKUP(D7328,upahbahan,3,FALSE)</f>
        <v>1960000</v>
      </c>
      <c r="H7328" s="19">
        <f t="shared" si="760"/>
        <v>1960000</v>
      </c>
    </row>
    <row r="7329" spans="3:11" x14ac:dyDescent="0.3">
      <c r="C7329" s="21" t="s">
        <v>29</v>
      </c>
      <c r="D7329" s="22"/>
      <c r="E7329" s="22" t="s">
        <v>1340</v>
      </c>
      <c r="F7329" s="22"/>
      <c r="G7329" s="28"/>
      <c r="H7329" s="19">
        <f>SUM(H7326:H7328)</f>
        <v>7735000</v>
      </c>
    </row>
    <row r="7330" spans="3:11" x14ac:dyDescent="0.25">
      <c r="C7330" s="12" t="s">
        <v>30</v>
      </c>
      <c r="D7330" s="13" t="s">
        <v>31</v>
      </c>
      <c r="E7330" s="14"/>
      <c r="F7330" s="14"/>
      <c r="G7330" s="14"/>
      <c r="H7330" s="14"/>
    </row>
    <row r="7331" spans="3:11" x14ac:dyDescent="0.3">
      <c r="C7331" s="21" t="s">
        <v>32</v>
      </c>
      <c r="D7331" s="77"/>
      <c r="E7331" s="77"/>
      <c r="F7331" s="77"/>
      <c r="G7331" s="28"/>
      <c r="H7331" s="29">
        <f>SUM(H7330:H7330)</f>
        <v>0</v>
      </c>
    </row>
    <row r="7332" spans="3:11" x14ac:dyDescent="0.3">
      <c r="C7332" s="30" t="s">
        <v>33</v>
      </c>
      <c r="D7332" s="31" t="s">
        <v>34</v>
      </c>
      <c r="E7332" s="32"/>
      <c r="F7332" s="32"/>
      <c r="G7332" s="33"/>
      <c r="H7332" s="46">
        <f>H7331+H7329+H7325</f>
        <v>8034140</v>
      </c>
      <c r="I7332" s="47"/>
    </row>
    <row r="7333" spans="3:11" x14ac:dyDescent="0.3">
      <c r="C7333" s="30" t="s">
        <v>35</v>
      </c>
      <c r="D7333" s="31" t="s">
        <v>36</v>
      </c>
      <c r="E7333" s="32"/>
      <c r="F7333" s="33"/>
      <c r="G7333" s="34">
        <f>$M$9</f>
        <v>0.1</v>
      </c>
      <c r="H7333" s="19">
        <f>H7332*G7333</f>
        <v>803414</v>
      </c>
      <c r="I7333" s="47"/>
    </row>
    <row r="7334" spans="3:11" x14ac:dyDescent="0.3">
      <c r="C7334" s="30" t="s">
        <v>37</v>
      </c>
      <c r="D7334" s="31" t="s">
        <v>38</v>
      </c>
      <c r="E7334" s="32"/>
      <c r="F7334" s="32"/>
      <c r="G7334" s="33"/>
      <c r="H7334" s="48">
        <f>SUM(H7332:H7333)</f>
        <v>8837554</v>
      </c>
      <c r="I7334" s="47"/>
    </row>
    <row r="7337" spans="3:11" x14ac:dyDescent="0.3">
      <c r="C7337" s="40" t="s">
        <v>1377</v>
      </c>
      <c r="D7337" s="68" t="s">
        <v>1378</v>
      </c>
      <c r="E7337" s="44"/>
      <c r="F7337" s="44"/>
      <c r="G7337" s="44"/>
      <c r="H7337" s="44"/>
      <c r="I7337" s="10">
        <f>ROUNDDOWN(H7352,0)</f>
        <v>1049642</v>
      </c>
      <c r="J7337" s="15"/>
      <c r="K7337" s="39"/>
    </row>
    <row r="7338" spans="3:11" ht="27.6" x14ac:dyDescent="0.3">
      <c r="C7338" s="11" t="s">
        <v>9</v>
      </c>
      <c r="D7338" s="11" t="s">
        <v>10</v>
      </c>
      <c r="E7338" s="11" t="s">
        <v>11</v>
      </c>
      <c r="F7338" s="11" t="s">
        <v>12</v>
      </c>
      <c r="G7338" s="11" t="s">
        <v>13</v>
      </c>
      <c r="H7338" s="11" t="s">
        <v>14</v>
      </c>
    </row>
    <row r="7339" spans="3:11" x14ac:dyDescent="0.25">
      <c r="C7339" s="12" t="s">
        <v>15</v>
      </c>
      <c r="D7339" s="13" t="s">
        <v>16</v>
      </c>
      <c r="E7339" s="14"/>
      <c r="F7339" s="14"/>
      <c r="G7339" s="14"/>
      <c r="H7339" s="14"/>
    </row>
    <row r="7340" spans="3:11" x14ac:dyDescent="0.3">
      <c r="C7340" s="16">
        <v>1</v>
      </c>
      <c r="D7340" s="13" t="s">
        <v>18</v>
      </c>
      <c r="E7340" s="17" t="s">
        <v>19</v>
      </c>
      <c r="F7340" s="18">
        <v>0.38100000000000001</v>
      </c>
      <c r="G7340" s="19">
        <f>VLOOKUP(D7340,upahbahan,3,FALSE)</f>
        <v>100000</v>
      </c>
      <c r="H7340" s="19">
        <f t="shared" ref="H7340:H7343" si="761">F7340*G7340</f>
        <v>38100</v>
      </c>
    </row>
    <row r="7341" spans="3:11" x14ac:dyDescent="0.3">
      <c r="C7341" s="16">
        <v>2</v>
      </c>
      <c r="D7341" s="13" t="s">
        <v>21</v>
      </c>
      <c r="E7341" s="17" t="s">
        <v>19</v>
      </c>
      <c r="F7341" s="18">
        <v>0.63600000000000001</v>
      </c>
      <c r="G7341" s="19">
        <f>VLOOKUP(D7341,upahbahan,3,FALSE)</f>
        <v>145000</v>
      </c>
      <c r="H7341" s="19">
        <f t="shared" si="761"/>
        <v>92220</v>
      </c>
    </row>
    <row r="7342" spans="3:11" x14ac:dyDescent="0.3">
      <c r="C7342" s="16">
        <v>3</v>
      </c>
      <c r="D7342" s="13" t="s">
        <v>1224</v>
      </c>
      <c r="E7342" s="17" t="s">
        <v>19</v>
      </c>
      <c r="F7342" s="18">
        <v>6.4000000000000001E-2</v>
      </c>
      <c r="G7342" s="19">
        <f>VLOOKUP(D7342,upahbahan,3,FALSE)</f>
        <v>175000</v>
      </c>
      <c r="H7342" s="19">
        <f t="shared" si="761"/>
        <v>11200</v>
      </c>
    </row>
    <row r="7343" spans="3:11" x14ac:dyDescent="0.3">
      <c r="C7343" s="16">
        <v>4</v>
      </c>
      <c r="D7343" s="13" t="s">
        <v>23</v>
      </c>
      <c r="E7343" s="17" t="s">
        <v>19</v>
      </c>
      <c r="F7343" s="18">
        <v>2.1000000000000001E-2</v>
      </c>
      <c r="G7343" s="19">
        <f>VLOOKUP(D7343,upahbahan,3,FALSE)</f>
        <v>200000</v>
      </c>
      <c r="H7343" s="19">
        <f t="shared" si="761"/>
        <v>4200</v>
      </c>
    </row>
    <row r="7344" spans="3:11" x14ac:dyDescent="0.3">
      <c r="C7344" s="21" t="s">
        <v>24</v>
      </c>
      <c r="D7344" s="22"/>
      <c r="E7344" s="22"/>
      <c r="F7344" s="54"/>
      <c r="G7344" s="24"/>
      <c r="H7344" s="19">
        <f>SUM(H7340:H7343)</f>
        <v>145720</v>
      </c>
      <c r="I7344" s="25"/>
    </row>
    <row r="7345" spans="3:11" x14ac:dyDescent="0.25">
      <c r="C7345" s="12" t="s">
        <v>25</v>
      </c>
      <c r="D7345" s="13" t="s">
        <v>26</v>
      </c>
      <c r="E7345" s="14"/>
      <c r="F7345" s="55"/>
      <c r="G7345" s="14"/>
      <c r="H7345" s="14"/>
    </row>
    <row r="7346" spans="3:11" x14ac:dyDescent="0.25">
      <c r="C7346" s="12">
        <v>1</v>
      </c>
      <c r="D7346" s="13" t="s">
        <v>1379</v>
      </c>
      <c r="E7346" s="53" t="s">
        <v>617</v>
      </c>
      <c r="F7346" s="115">
        <v>1.05</v>
      </c>
      <c r="G7346" s="19">
        <f>VLOOKUP(D7346,upahbahan,3,FALSE)</f>
        <v>770000</v>
      </c>
      <c r="H7346" s="19">
        <f t="shared" ref="H7346" si="762">F7346*G7346</f>
        <v>808500</v>
      </c>
    </row>
    <row r="7347" spans="3:11" x14ac:dyDescent="0.3">
      <c r="C7347" s="21" t="s">
        <v>29</v>
      </c>
      <c r="D7347" s="22"/>
      <c r="E7347" s="22" t="s">
        <v>1340</v>
      </c>
      <c r="F7347" s="22"/>
      <c r="G7347" s="28"/>
      <c r="H7347" s="19">
        <f>SUM(H7345:H7346)</f>
        <v>808500</v>
      </c>
    </row>
    <row r="7348" spans="3:11" x14ac:dyDescent="0.25">
      <c r="C7348" s="12" t="s">
        <v>30</v>
      </c>
      <c r="D7348" s="13" t="s">
        <v>31</v>
      </c>
      <c r="E7348" s="14"/>
      <c r="F7348" s="14"/>
      <c r="G7348" s="14"/>
      <c r="H7348" s="14"/>
    </row>
    <row r="7349" spans="3:11" x14ac:dyDescent="0.3">
      <c r="C7349" s="21" t="s">
        <v>32</v>
      </c>
      <c r="D7349" s="77"/>
      <c r="E7349" s="77"/>
      <c r="F7349" s="77"/>
      <c r="G7349" s="28"/>
      <c r="H7349" s="29">
        <f>SUM(H7348:H7348)</f>
        <v>0</v>
      </c>
    </row>
    <row r="7350" spans="3:11" x14ac:dyDescent="0.3">
      <c r="C7350" s="30" t="s">
        <v>33</v>
      </c>
      <c r="D7350" s="31" t="s">
        <v>34</v>
      </c>
      <c r="E7350" s="32"/>
      <c r="F7350" s="32"/>
      <c r="G7350" s="33"/>
      <c r="H7350" s="46">
        <f>H7349+H7347+H7344</f>
        <v>954220</v>
      </c>
      <c r="I7350" s="47"/>
    </row>
    <row r="7351" spans="3:11" x14ac:dyDescent="0.3">
      <c r="C7351" s="30" t="s">
        <v>35</v>
      </c>
      <c r="D7351" s="31" t="s">
        <v>36</v>
      </c>
      <c r="E7351" s="32"/>
      <c r="F7351" s="33"/>
      <c r="G7351" s="34">
        <f>$M$9</f>
        <v>0.1</v>
      </c>
      <c r="H7351" s="19">
        <f>H7350*G7351</f>
        <v>95422</v>
      </c>
      <c r="I7351" s="47"/>
    </row>
    <row r="7352" spans="3:11" x14ac:dyDescent="0.3">
      <c r="C7352" s="30" t="s">
        <v>37</v>
      </c>
      <c r="D7352" s="31" t="s">
        <v>38</v>
      </c>
      <c r="E7352" s="32"/>
      <c r="F7352" s="32"/>
      <c r="G7352" s="33"/>
      <c r="H7352" s="48">
        <f>SUM(H7350:H7351)</f>
        <v>1049642</v>
      </c>
      <c r="I7352" s="47"/>
    </row>
    <row r="7355" spans="3:11" x14ac:dyDescent="0.3">
      <c r="C7355" s="40" t="s">
        <v>1380</v>
      </c>
      <c r="D7355" s="68" t="s">
        <v>1381</v>
      </c>
      <c r="E7355" s="44"/>
      <c r="F7355" s="44"/>
      <c r="G7355" s="44"/>
      <c r="H7355" s="44"/>
      <c r="I7355" s="10">
        <f>ROUNDDOWN(H7371,0)</f>
        <v>2899226</v>
      </c>
      <c r="J7355" s="15"/>
      <c r="K7355" s="39"/>
    </row>
    <row r="7356" spans="3:11" ht="27.6" x14ac:dyDescent="0.3">
      <c r="C7356" s="11" t="s">
        <v>9</v>
      </c>
      <c r="D7356" s="11" t="s">
        <v>10</v>
      </c>
      <c r="E7356" s="11" t="s">
        <v>11</v>
      </c>
      <c r="F7356" s="11" t="s">
        <v>12</v>
      </c>
      <c r="G7356" s="11" t="s">
        <v>13</v>
      </c>
      <c r="H7356" s="11" t="s">
        <v>14</v>
      </c>
    </row>
    <row r="7357" spans="3:11" x14ac:dyDescent="0.25">
      <c r="C7357" s="12" t="s">
        <v>15</v>
      </c>
      <c r="D7357" s="13" t="s">
        <v>16</v>
      </c>
      <c r="E7357" s="14"/>
      <c r="F7357" s="14"/>
      <c r="G7357" s="14"/>
      <c r="H7357" s="14"/>
    </row>
    <row r="7358" spans="3:11" x14ac:dyDescent="0.3">
      <c r="C7358" s="16">
        <v>1</v>
      </c>
      <c r="D7358" s="13" t="s">
        <v>18</v>
      </c>
      <c r="E7358" s="17" t="s">
        <v>19</v>
      </c>
      <c r="F7358" s="18">
        <v>0.25</v>
      </c>
      <c r="G7358" s="19">
        <f>VLOOKUP(D7358,upahbahan,3,FALSE)</f>
        <v>100000</v>
      </c>
      <c r="H7358" s="19">
        <f t="shared" ref="H7358:H7361" si="763">F7358*G7358</f>
        <v>25000</v>
      </c>
    </row>
    <row r="7359" spans="3:11" x14ac:dyDescent="0.3">
      <c r="C7359" s="16">
        <v>2</v>
      </c>
      <c r="D7359" s="13" t="s">
        <v>21</v>
      </c>
      <c r="E7359" s="17" t="s">
        <v>19</v>
      </c>
      <c r="F7359" s="18">
        <v>0.41799999999999998</v>
      </c>
      <c r="G7359" s="19">
        <f>VLOOKUP(D7359,upahbahan,3,FALSE)</f>
        <v>145000</v>
      </c>
      <c r="H7359" s="19">
        <f t="shared" si="763"/>
        <v>60610</v>
      </c>
    </row>
    <row r="7360" spans="3:11" x14ac:dyDescent="0.3">
      <c r="C7360" s="16">
        <v>3</v>
      </c>
      <c r="D7360" s="13" t="s">
        <v>1224</v>
      </c>
      <c r="E7360" s="17" t="s">
        <v>19</v>
      </c>
      <c r="F7360" s="18">
        <v>4.2000000000000003E-2</v>
      </c>
      <c r="G7360" s="19">
        <f>VLOOKUP(D7360,upahbahan,3,FALSE)</f>
        <v>175000</v>
      </c>
      <c r="H7360" s="19">
        <f t="shared" si="763"/>
        <v>7350.0000000000009</v>
      </c>
    </row>
    <row r="7361" spans="3:11" x14ac:dyDescent="0.3">
      <c r="C7361" s="16">
        <v>4</v>
      </c>
      <c r="D7361" s="13" t="s">
        <v>23</v>
      </c>
      <c r="E7361" s="17" t="s">
        <v>19</v>
      </c>
      <c r="F7361" s="18">
        <v>1.4E-2</v>
      </c>
      <c r="G7361" s="19">
        <f>VLOOKUP(D7361,upahbahan,3,FALSE)</f>
        <v>200000</v>
      </c>
      <c r="H7361" s="19">
        <f t="shared" si="763"/>
        <v>2800</v>
      </c>
    </row>
    <row r="7362" spans="3:11" x14ac:dyDescent="0.3">
      <c r="C7362" s="21" t="s">
        <v>24</v>
      </c>
      <c r="D7362" s="22"/>
      <c r="E7362" s="22"/>
      <c r="F7362" s="54"/>
      <c r="G7362" s="24"/>
      <c r="H7362" s="19">
        <f>SUM(H7358:H7361)</f>
        <v>95760</v>
      </c>
      <c r="I7362" s="25"/>
    </row>
    <row r="7363" spans="3:11" x14ac:dyDescent="0.25">
      <c r="C7363" s="12" t="s">
        <v>25</v>
      </c>
      <c r="D7363" s="13" t="s">
        <v>26</v>
      </c>
      <c r="E7363" s="14"/>
      <c r="F7363" s="55"/>
      <c r="G7363" s="14"/>
      <c r="H7363" s="14"/>
    </row>
    <row r="7364" spans="3:11" x14ac:dyDescent="0.25">
      <c r="C7364" s="12">
        <v>1</v>
      </c>
      <c r="D7364" s="13" t="s">
        <v>1382</v>
      </c>
      <c r="E7364" s="53" t="s">
        <v>617</v>
      </c>
      <c r="F7364" s="115">
        <v>1.03</v>
      </c>
      <c r="G7364" s="19">
        <f>VLOOKUP(D7364,upahbahan,3,FALSE)</f>
        <v>2380000</v>
      </c>
      <c r="H7364" s="19">
        <f t="shared" ref="H7364:H7365" si="764">F7364*G7364</f>
        <v>2451400</v>
      </c>
    </row>
    <row r="7365" spans="3:11" x14ac:dyDescent="0.25">
      <c r="C7365" s="12">
        <v>2</v>
      </c>
      <c r="D7365" s="13" t="s">
        <v>1383</v>
      </c>
      <c r="E7365" s="53" t="s">
        <v>617</v>
      </c>
      <c r="F7365" s="115">
        <v>1</v>
      </c>
      <c r="G7365" s="19">
        <f>VLOOKUP(D7365,upahbahan,3,FALSE)</f>
        <v>88500</v>
      </c>
      <c r="H7365" s="19">
        <f t="shared" si="764"/>
        <v>88500</v>
      </c>
    </row>
    <row r="7366" spans="3:11" x14ac:dyDescent="0.3">
      <c r="C7366" s="21" t="s">
        <v>29</v>
      </c>
      <c r="D7366" s="22"/>
      <c r="E7366" s="22" t="s">
        <v>1340</v>
      </c>
      <c r="F7366" s="22"/>
      <c r="G7366" s="28"/>
      <c r="H7366" s="19">
        <f>SUM(H7363:H7365)</f>
        <v>2539900</v>
      </c>
    </row>
    <row r="7367" spans="3:11" x14ac:dyDescent="0.25">
      <c r="C7367" s="12" t="s">
        <v>30</v>
      </c>
      <c r="D7367" s="13" t="s">
        <v>31</v>
      </c>
      <c r="E7367" s="14"/>
      <c r="F7367" s="14"/>
      <c r="G7367" s="14"/>
      <c r="H7367" s="14"/>
    </row>
    <row r="7368" spans="3:11" x14ac:dyDescent="0.3">
      <c r="C7368" s="21" t="s">
        <v>32</v>
      </c>
      <c r="D7368" s="77"/>
      <c r="E7368" s="77"/>
      <c r="F7368" s="77"/>
      <c r="G7368" s="28"/>
      <c r="H7368" s="29">
        <f>SUM(H7367:H7367)</f>
        <v>0</v>
      </c>
    </row>
    <row r="7369" spans="3:11" x14ac:dyDescent="0.3">
      <c r="C7369" s="30" t="s">
        <v>33</v>
      </c>
      <c r="D7369" s="31" t="s">
        <v>34</v>
      </c>
      <c r="E7369" s="32"/>
      <c r="F7369" s="32"/>
      <c r="G7369" s="33"/>
      <c r="H7369" s="46">
        <f>H7368+H7366+H7362</f>
        <v>2635660</v>
      </c>
      <c r="I7369" s="47"/>
    </row>
    <row r="7370" spans="3:11" x14ac:dyDescent="0.3">
      <c r="C7370" s="30" t="s">
        <v>35</v>
      </c>
      <c r="D7370" s="31" t="s">
        <v>36</v>
      </c>
      <c r="E7370" s="32"/>
      <c r="F7370" s="33"/>
      <c r="G7370" s="34">
        <f>$M$9</f>
        <v>0.1</v>
      </c>
      <c r="H7370" s="19">
        <f>H7369*G7370</f>
        <v>263566</v>
      </c>
      <c r="I7370" s="47"/>
    </row>
    <row r="7371" spans="3:11" x14ac:dyDescent="0.3">
      <c r="C7371" s="30" t="s">
        <v>37</v>
      </c>
      <c r="D7371" s="31" t="s">
        <v>38</v>
      </c>
      <c r="E7371" s="32"/>
      <c r="F7371" s="32"/>
      <c r="G7371" s="33"/>
      <c r="H7371" s="48">
        <f>SUM(H7369:H7370)</f>
        <v>2899226</v>
      </c>
      <c r="I7371" s="47"/>
    </row>
    <row r="7374" spans="3:11" x14ac:dyDescent="0.3">
      <c r="C7374" s="40" t="s">
        <v>1384</v>
      </c>
      <c r="D7374" s="68" t="s">
        <v>1385</v>
      </c>
      <c r="E7374" s="44"/>
      <c r="F7374" s="44"/>
      <c r="G7374" s="44"/>
      <c r="H7374" s="44"/>
      <c r="I7374" s="10">
        <f>ROUNDDOWN(H7390,0)</f>
        <v>4341012</v>
      </c>
      <c r="J7374" s="15"/>
      <c r="K7374" s="39"/>
    </row>
    <row r="7375" spans="3:11" ht="27.6" x14ac:dyDescent="0.3">
      <c r="C7375" s="11" t="s">
        <v>9</v>
      </c>
      <c r="D7375" s="11" t="s">
        <v>10</v>
      </c>
      <c r="E7375" s="11" t="s">
        <v>11</v>
      </c>
      <c r="F7375" s="11" t="s">
        <v>12</v>
      </c>
      <c r="G7375" s="11" t="s">
        <v>13</v>
      </c>
      <c r="H7375" s="11" t="s">
        <v>14</v>
      </c>
    </row>
    <row r="7376" spans="3:11" x14ac:dyDescent="0.25">
      <c r="C7376" s="12" t="s">
        <v>15</v>
      </c>
      <c r="D7376" s="13" t="s">
        <v>16</v>
      </c>
      <c r="E7376" s="14"/>
      <c r="F7376" s="14"/>
      <c r="G7376" s="14"/>
      <c r="H7376" s="14"/>
    </row>
    <row r="7377" spans="3:11" x14ac:dyDescent="0.3">
      <c r="C7377" s="16">
        <v>1</v>
      </c>
      <c r="D7377" s="13" t="s">
        <v>18</v>
      </c>
      <c r="E7377" s="17" t="s">
        <v>19</v>
      </c>
      <c r="F7377" s="18">
        <v>0.5</v>
      </c>
      <c r="G7377" s="19">
        <f>VLOOKUP(D7377,upahbahan,3,FALSE)</f>
        <v>100000</v>
      </c>
      <c r="H7377" s="19">
        <f t="shared" ref="H7377:H7380" si="765">F7377*G7377</f>
        <v>50000</v>
      </c>
    </row>
    <row r="7378" spans="3:11" x14ac:dyDescent="0.3">
      <c r="C7378" s="16">
        <v>2</v>
      </c>
      <c r="D7378" s="13" t="s">
        <v>21</v>
      </c>
      <c r="E7378" s="17" t="s">
        <v>19</v>
      </c>
      <c r="F7378" s="18">
        <v>0.83499999999999996</v>
      </c>
      <c r="G7378" s="19">
        <f>VLOOKUP(D7378,upahbahan,3,FALSE)</f>
        <v>145000</v>
      </c>
      <c r="H7378" s="19">
        <f t="shared" si="765"/>
        <v>121075</v>
      </c>
    </row>
    <row r="7379" spans="3:11" x14ac:dyDescent="0.3">
      <c r="C7379" s="16">
        <v>3</v>
      </c>
      <c r="D7379" s="13" t="s">
        <v>1224</v>
      </c>
      <c r="E7379" s="17" t="s">
        <v>19</v>
      </c>
      <c r="F7379" s="18">
        <v>8.4000000000000005E-2</v>
      </c>
      <c r="G7379" s="19">
        <f>VLOOKUP(D7379,upahbahan,3,FALSE)</f>
        <v>175000</v>
      </c>
      <c r="H7379" s="19">
        <f t="shared" si="765"/>
        <v>14700.000000000002</v>
      </c>
    </row>
    <row r="7380" spans="3:11" x14ac:dyDescent="0.3">
      <c r="C7380" s="16">
        <v>4</v>
      </c>
      <c r="D7380" s="13" t="s">
        <v>23</v>
      </c>
      <c r="E7380" s="17" t="s">
        <v>19</v>
      </c>
      <c r="F7380" s="18">
        <v>2.8000000000000001E-2</v>
      </c>
      <c r="G7380" s="19">
        <f>VLOOKUP(D7380,upahbahan,3,FALSE)</f>
        <v>200000</v>
      </c>
      <c r="H7380" s="19">
        <f t="shared" si="765"/>
        <v>5600</v>
      </c>
    </row>
    <row r="7381" spans="3:11" x14ac:dyDescent="0.3">
      <c r="C7381" s="21" t="s">
        <v>24</v>
      </c>
      <c r="D7381" s="22"/>
      <c r="E7381" s="22"/>
      <c r="F7381" s="54"/>
      <c r="G7381" s="24"/>
      <c r="H7381" s="19">
        <f>SUM(H7377:H7380)</f>
        <v>191375</v>
      </c>
      <c r="I7381" s="25"/>
    </row>
    <row r="7382" spans="3:11" x14ac:dyDescent="0.25">
      <c r="C7382" s="12" t="s">
        <v>25</v>
      </c>
      <c r="D7382" s="13" t="s">
        <v>26</v>
      </c>
      <c r="E7382" s="14"/>
      <c r="F7382" s="55"/>
      <c r="G7382" s="14"/>
      <c r="H7382" s="14"/>
    </row>
    <row r="7383" spans="3:11" x14ac:dyDescent="0.25">
      <c r="C7383" s="12">
        <v>1</v>
      </c>
      <c r="D7383" s="13" t="s">
        <v>1386</v>
      </c>
      <c r="E7383" s="53" t="s">
        <v>617</v>
      </c>
      <c r="F7383" s="115">
        <v>1.03</v>
      </c>
      <c r="G7383" s="19">
        <f>VLOOKUP(D7383,upahbahan,3,FALSE)</f>
        <v>3500000</v>
      </c>
      <c r="H7383" s="19">
        <f t="shared" ref="H7383:H7384" si="766">F7383*G7383</f>
        <v>3605000</v>
      </c>
    </row>
    <row r="7384" spans="3:11" x14ac:dyDescent="0.25">
      <c r="C7384" s="12">
        <v>2</v>
      </c>
      <c r="D7384" s="13" t="s">
        <v>1387</v>
      </c>
      <c r="E7384" s="53" t="s">
        <v>617</v>
      </c>
      <c r="F7384" s="115">
        <v>1</v>
      </c>
      <c r="G7384" s="19">
        <f>VLOOKUP(D7384,upahbahan,3,FALSE)</f>
        <v>150000</v>
      </c>
      <c r="H7384" s="19">
        <f t="shared" si="766"/>
        <v>150000</v>
      </c>
    </row>
    <row r="7385" spans="3:11" x14ac:dyDescent="0.3">
      <c r="C7385" s="21" t="s">
        <v>29</v>
      </c>
      <c r="D7385" s="22"/>
      <c r="E7385" s="22" t="s">
        <v>1340</v>
      </c>
      <c r="F7385" s="22"/>
      <c r="G7385" s="28"/>
      <c r="H7385" s="19">
        <f>SUM(H7382:H7384)</f>
        <v>3755000</v>
      </c>
    </row>
    <row r="7386" spans="3:11" x14ac:dyDescent="0.25">
      <c r="C7386" s="12" t="s">
        <v>30</v>
      </c>
      <c r="D7386" s="13" t="s">
        <v>31</v>
      </c>
      <c r="E7386" s="14"/>
      <c r="F7386" s="14"/>
      <c r="G7386" s="14"/>
      <c r="H7386" s="14"/>
    </row>
    <row r="7387" spans="3:11" x14ac:dyDescent="0.3">
      <c r="C7387" s="21" t="s">
        <v>32</v>
      </c>
      <c r="D7387" s="77"/>
      <c r="E7387" s="77"/>
      <c r="F7387" s="77"/>
      <c r="G7387" s="28"/>
      <c r="H7387" s="29">
        <f>SUM(H7386:H7386)</f>
        <v>0</v>
      </c>
    </row>
    <row r="7388" spans="3:11" x14ac:dyDescent="0.3">
      <c r="C7388" s="30" t="s">
        <v>33</v>
      </c>
      <c r="D7388" s="31" t="s">
        <v>34</v>
      </c>
      <c r="E7388" s="32"/>
      <c r="F7388" s="32"/>
      <c r="G7388" s="33"/>
      <c r="H7388" s="46">
        <f>H7387+H7385+H7381</f>
        <v>3946375</v>
      </c>
      <c r="I7388" s="47"/>
    </row>
    <row r="7389" spans="3:11" x14ac:dyDescent="0.3">
      <c r="C7389" s="30" t="s">
        <v>35</v>
      </c>
      <c r="D7389" s="31" t="s">
        <v>36</v>
      </c>
      <c r="E7389" s="32"/>
      <c r="F7389" s="33"/>
      <c r="G7389" s="34">
        <f>$M$9</f>
        <v>0.1</v>
      </c>
      <c r="H7389" s="19">
        <f>H7388*G7389</f>
        <v>394637.5</v>
      </c>
      <c r="I7389" s="47"/>
    </row>
    <row r="7390" spans="3:11" x14ac:dyDescent="0.3">
      <c r="C7390" s="30" t="s">
        <v>37</v>
      </c>
      <c r="D7390" s="31" t="s">
        <v>38</v>
      </c>
      <c r="E7390" s="32"/>
      <c r="F7390" s="32"/>
      <c r="G7390" s="33"/>
      <c r="H7390" s="48">
        <f>SUM(H7388:H7389)</f>
        <v>4341012.5</v>
      </c>
      <c r="I7390" s="47"/>
    </row>
    <row r="7392" spans="3:11" x14ac:dyDescent="0.3">
      <c r="C7392" s="40" t="s">
        <v>1388</v>
      </c>
      <c r="D7392" s="68" t="s">
        <v>1389</v>
      </c>
      <c r="E7392" s="44"/>
      <c r="F7392" s="44"/>
      <c r="G7392" s="44"/>
      <c r="H7392" s="44"/>
      <c r="I7392" s="10">
        <f>ROUNDDOWN(H7407,0)</f>
        <v>416790</v>
      </c>
      <c r="J7392" s="15"/>
      <c r="K7392" s="39"/>
    </row>
    <row r="7393" spans="3:9" ht="27.6" x14ac:dyDescent="0.3">
      <c r="C7393" s="11" t="s">
        <v>9</v>
      </c>
      <c r="D7393" s="11" t="s">
        <v>10</v>
      </c>
      <c r="E7393" s="11" t="s">
        <v>11</v>
      </c>
      <c r="F7393" s="11" t="s">
        <v>12</v>
      </c>
      <c r="G7393" s="11" t="s">
        <v>13</v>
      </c>
      <c r="H7393" s="11" t="s">
        <v>14</v>
      </c>
    </row>
    <row r="7394" spans="3:9" x14ac:dyDescent="0.25">
      <c r="C7394" s="12" t="s">
        <v>15</v>
      </c>
      <c r="D7394" s="13" t="s">
        <v>16</v>
      </c>
      <c r="E7394" s="14"/>
      <c r="F7394" s="14"/>
      <c r="G7394" s="14"/>
      <c r="H7394" s="14"/>
    </row>
    <row r="7395" spans="3:9" x14ac:dyDescent="0.3">
      <c r="C7395" s="16">
        <v>1</v>
      </c>
      <c r="D7395" s="13" t="s">
        <v>18</v>
      </c>
      <c r="E7395" s="17" t="s">
        <v>19</v>
      </c>
      <c r="F7395" s="18">
        <v>4.8000000000000001E-2</v>
      </c>
      <c r="G7395" s="19">
        <f>VLOOKUP(D7395,upahbahan,3,FALSE)</f>
        <v>100000</v>
      </c>
      <c r="H7395" s="19">
        <f t="shared" ref="H7395:H7398" si="767">F7395*G7395</f>
        <v>4800</v>
      </c>
    </row>
    <row r="7396" spans="3:9" x14ac:dyDescent="0.3">
      <c r="C7396" s="16">
        <v>2</v>
      </c>
      <c r="D7396" s="13" t="s">
        <v>21</v>
      </c>
      <c r="E7396" s="17" t="s">
        <v>19</v>
      </c>
      <c r="F7396" s="18">
        <v>0.08</v>
      </c>
      <c r="G7396" s="19">
        <f>VLOOKUP(D7396,upahbahan,3,FALSE)</f>
        <v>145000</v>
      </c>
      <c r="H7396" s="19">
        <f t="shared" si="767"/>
        <v>11600</v>
      </c>
    </row>
    <row r="7397" spans="3:9" x14ac:dyDescent="0.3">
      <c r="C7397" s="16">
        <v>3</v>
      </c>
      <c r="D7397" s="13" t="s">
        <v>1224</v>
      </c>
      <c r="E7397" s="17" t="s">
        <v>19</v>
      </c>
      <c r="F7397" s="18">
        <v>8.0000000000000002E-3</v>
      </c>
      <c r="G7397" s="19">
        <f>VLOOKUP(D7397,upahbahan,3,FALSE)</f>
        <v>175000</v>
      </c>
      <c r="H7397" s="19">
        <f t="shared" si="767"/>
        <v>1400</v>
      </c>
    </row>
    <row r="7398" spans="3:9" x14ac:dyDescent="0.3">
      <c r="C7398" s="16">
        <v>4</v>
      </c>
      <c r="D7398" s="13" t="s">
        <v>23</v>
      </c>
      <c r="E7398" s="17" t="s">
        <v>19</v>
      </c>
      <c r="F7398" s="18">
        <v>3.0000000000000001E-3</v>
      </c>
      <c r="G7398" s="19">
        <f>VLOOKUP(D7398,upahbahan,3,FALSE)</f>
        <v>200000</v>
      </c>
      <c r="H7398" s="19">
        <f t="shared" si="767"/>
        <v>600</v>
      </c>
    </row>
    <row r="7399" spans="3:9" x14ac:dyDescent="0.3">
      <c r="C7399" s="21" t="s">
        <v>24</v>
      </c>
      <c r="D7399" s="22"/>
      <c r="E7399" s="22"/>
      <c r="F7399" s="54"/>
      <c r="G7399" s="24"/>
      <c r="H7399" s="19">
        <f>SUM(H7395:H7398)</f>
        <v>18400</v>
      </c>
      <c r="I7399" s="25"/>
    </row>
    <row r="7400" spans="3:9" x14ac:dyDescent="0.25">
      <c r="C7400" s="12" t="s">
        <v>25</v>
      </c>
      <c r="D7400" s="13" t="s">
        <v>26</v>
      </c>
      <c r="E7400" s="14"/>
      <c r="F7400" s="55"/>
      <c r="G7400" s="14"/>
      <c r="H7400" s="14"/>
    </row>
    <row r="7401" spans="3:9" x14ac:dyDescent="0.25">
      <c r="C7401" s="12">
        <v>1</v>
      </c>
      <c r="D7401" s="13" t="s">
        <v>1390</v>
      </c>
      <c r="E7401" s="53" t="s">
        <v>617</v>
      </c>
      <c r="F7401" s="115">
        <v>1.03</v>
      </c>
      <c r="G7401" s="19">
        <f>VLOOKUP(D7401,upahbahan,3,FALSE)</f>
        <v>350000</v>
      </c>
      <c r="H7401" s="19">
        <f t="shared" ref="H7401" si="768">F7401*G7401</f>
        <v>360500</v>
      </c>
    </row>
    <row r="7402" spans="3:9" x14ac:dyDescent="0.3">
      <c r="C7402" s="21" t="s">
        <v>29</v>
      </c>
      <c r="D7402" s="22"/>
      <c r="E7402" s="22" t="s">
        <v>1340</v>
      </c>
      <c r="F7402" s="22"/>
      <c r="G7402" s="28"/>
      <c r="H7402" s="19">
        <f>SUM(H7400:H7401)</f>
        <v>360500</v>
      </c>
    </row>
    <row r="7403" spans="3:9" x14ac:dyDescent="0.25">
      <c r="C7403" s="12" t="s">
        <v>30</v>
      </c>
      <c r="D7403" s="13" t="s">
        <v>31</v>
      </c>
      <c r="E7403" s="14"/>
      <c r="F7403" s="14"/>
      <c r="G7403" s="14"/>
      <c r="H7403" s="14"/>
    </row>
    <row r="7404" spans="3:9" x14ac:dyDescent="0.3">
      <c r="C7404" s="21" t="s">
        <v>32</v>
      </c>
      <c r="D7404" s="77"/>
      <c r="E7404" s="77"/>
      <c r="F7404" s="77"/>
      <c r="G7404" s="28"/>
      <c r="H7404" s="29">
        <f>SUM(H7403:H7403)</f>
        <v>0</v>
      </c>
    </row>
    <row r="7405" spans="3:9" x14ac:dyDescent="0.3">
      <c r="C7405" s="30" t="s">
        <v>33</v>
      </c>
      <c r="D7405" s="31" t="s">
        <v>34</v>
      </c>
      <c r="E7405" s="32"/>
      <c r="F7405" s="32"/>
      <c r="G7405" s="33"/>
      <c r="H7405" s="46">
        <f>H7404+H7402+H7399</f>
        <v>378900</v>
      </c>
      <c r="I7405" s="47"/>
    </row>
    <row r="7406" spans="3:9" x14ac:dyDescent="0.3">
      <c r="C7406" s="30" t="s">
        <v>35</v>
      </c>
      <c r="D7406" s="31" t="s">
        <v>36</v>
      </c>
      <c r="E7406" s="32"/>
      <c r="F7406" s="33"/>
      <c r="G7406" s="34">
        <f>$M$9</f>
        <v>0.1</v>
      </c>
      <c r="H7406" s="19">
        <f>H7405*G7406</f>
        <v>37890</v>
      </c>
      <c r="I7406" s="47"/>
    </row>
    <row r="7407" spans="3:9" x14ac:dyDescent="0.3">
      <c r="C7407" s="30" t="s">
        <v>37</v>
      </c>
      <c r="D7407" s="31" t="s">
        <v>38</v>
      </c>
      <c r="E7407" s="32"/>
      <c r="F7407" s="32"/>
      <c r="G7407" s="33"/>
      <c r="H7407" s="48">
        <f>SUM(H7405:H7406)</f>
        <v>416790</v>
      </c>
      <c r="I7407" s="47"/>
    </row>
    <row r="7410" spans="3:11" x14ac:dyDescent="0.3">
      <c r="C7410" s="56" t="s">
        <v>1391</v>
      </c>
      <c r="D7410" s="69" t="s">
        <v>1392</v>
      </c>
      <c r="E7410" s="58"/>
      <c r="F7410" s="58"/>
      <c r="G7410" s="58"/>
      <c r="H7410" s="58"/>
      <c r="I7410" s="10">
        <f>ROUNDDOWN(H7425,0)</f>
        <v>617276</v>
      </c>
      <c r="J7410" s="15"/>
      <c r="K7410" s="39"/>
    </row>
    <row r="7411" spans="3:11" ht="27.6" x14ac:dyDescent="0.3">
      <c r="C7411" s="11" t="s">
        <v>9</v>
      </c>
      <c r="D7411" s="11" t="s">
        <v>10</v>
      </c>
      <c r="E7411" s="11" t="s">
        <v>11</v>
      </c>
      <c r="F7411" s="11" t="s">
        <v>12</v>
      </c>
      <c r="G7411" s="11" t="s">
        <v>13</v>
      </c>
      <c r="H7411" s="11" t="s">
        <v>14</v>
      </c>
    </row>
    <row r="7412" spans="3:11" x14ac:dyDescent="0.25">
      <c r="C7412" s="12" t="s">
        <v>15</v>
      </c>
      <c r="D7412" s="13" t="s">
        <v>16</v>
      </c>
      <c r="E7412" s="14"/>
      <c r="F7412" s="14"/>
      <c r="G7412" s="14"/>
      <c r="H7412" s="14"/>
    </row>
    <row r="7413" spans="3:11" x14ac:dyDescent="0.3">
      <c r="C7413" s="16">
        <v>1</v>
      </c>
      <c r="D7413" s="13" t="s">
        <v>18</v>
      </c>
      <c r="E7413" s="17" t="s">
        <v>19</v>
      </c>
      <c r="F7413" s="18">
        <v>0.19</v>
      </c>
      <c r="G7413" s="19">
        <f>VLOOKUP(D7413,upahbahan,3,FALSE)</f>
        <v>100000</v>
      </c>
      <c r="H7413" s="19">
        <f t="shared" ref="H7413:H7416" si="769">F7413*G7413</f>
        <v>19000</v>
      </c>
    </row>
    <row r="7414" spans="3:11" x14ac:dyDescent="0.3">
      <c r="C7414" s="16">
        <v>2</v>
      </c>
      <c r="D7414" s="13" t="s">
        <v>21</v>
      </c>
      <c r="E7414" s="17" t="s">
        <v>19</v>
      </c>
      <c r="F7414" s="18">
        <v>0.318</v>
      </c>
      <c r="G7414" s="19">
        <f>VLOOKUP(D7414,upahbahan,3,FALSE)</f>
        <v>145000</v>
      </c>
      <c r="H7414" s="19">
        <f t="shared" si="769"/>
        <v>46110</v>
      </c>
    </row>
    <row r="7415" spans="3:11" x14ac:dyDescent="0.3">
      <c r="C7415" s="16">
        <v>3</v>
      </c>
      <c r="D7415" s="13" t="s">
        <v>1224</v>
      </c>
      <c r="E7415" s="17" t="s">
        <v>19</v>
      </c>
      <c r="F7415" s="18">
        <v>3.2000000000000001E-2</v>
      </c>
      <c r="G7415" s="19">
        <f>VLOOKUP(D7415,upahbahan,3,FALSE)</f>
        <v>175000</v>
      </c>
      <c r="H7415" s="19">
        <f t="shared" si="769"/>
        <v>5600</v>
      </c>
    </row>
    <row r="7416" spans="3:11" x14ac:dyDescent="0.3">
      <c r="C7416" s="16">
        <v>4</v>
      </c>
      <c r="D7416" s="13" t="s">
        <v>23</v>
      </c>
      <c r="E7416" s="17" t="s">
        <v>19</v>
      </c>
      <c r="F7416" s="18">
        <v>1.0999999999999999E-2</v>
      </c>
      <c r="G7416" s="19">
        <f>VLOOKUP(D7416,upahbahan,3,FALSE)</f>
        <v>200000</v>
      </c>
      <c r="H7416" s="19">
        <f t="shared" si="769"/>
        <v>2200</v>
      </c>
    </row>
    <row r="7417" spans="3:11" x14ac:dyDescent="0.3">
      <c r="C7417" s="21" t="s">
        <v>24</v>
      </c>
      <c r="D7417" s="22"/>
      <c r="E7417" s="22"/>
      <c r="F7417" s="54"/>
      <c r="G7417" s="24"/>
      <c r="H7417" s="19">
        <f>SUM(H7413:H7416)</f>
        <v>72910</v>
      </c>
      <c r="I7417" s="25"/>
    </row>
    <row r="7418" spans="3:11" x14ac:dyDescent="0.25">
      <c r="C7418" s="12" t="s">
        <v>25</v>
      </c>
      <c r="D7418" s="13" t="s">
        <v>26</v>
      </c>
      <c r="E7418" s="14"/>
      <c r="F7418" s="55"/>
      <c r="G7418" s="14"/>
      <c r="H7418" s="14"/>
    </row>
    <row r="7419" spans="3:11" x14ac:dyDescent="0.25">
      <c r="C7419" s="12">
        <v>1</v>
      </c>
      <c r="D7419" s="13" t="s">
        <v>1393</v>
      </c>
      <c r="E7419" s="53" t="s">
        <v>617</v>
      </c>
      <c r="F7419" s="115">
        <v>1.05</v>
      </c>
      <c r="G7419" s="19">
        <f>VLOOKUP(D7419,upahbahan,3,FALSE)</f>
        <v>465000</v>
      </c>
      <c r="H7419" s="19">
        <f t="shared" ref="H7419" si="770">F7419*G7419</f>
        <v>488250</v>
      </c>
    </row>
    <row r="7420" spans="3:11" x14ac:dyDescent="0.3">
      <c r="C7420" s="21" t="s">
        <v>29</v>
      </c>
      <c r="D7420" s="22"/>
      <c r="E7420" s="22" t="s">
        <v>1340</v>
      </c>
      <c r="F7420" s="22"/>
      <c r="G7420" s="28"/>
      <c r="H7420" s="19">
        <f>SUM(H7418:H7419)</f>
        <v>488250</v>
      </c>
    </row>
    <row r="7421" spans="3:11" x14ac:dyDescent="0.25">
      <c r="C7421" s="12" t="s">
        <v>30</v>
      </c>
      <c r="D7421" s="13" t="s">
        <v>31</v>
      </c>
      <c r="E7421" s="14"/>
      <c r="F7421" s="14"/>
      <c r="G7421" s="14"/>
      <c r="H7421" s="14"/>
    </row>
    <row r="7422" spans="3:11" x14ac:dyDescent="0.3">
      <c r="C7422" s="21" t="s">
        <v>32</v>
      </c>
      <c r="D7422" s="77"/>
      <c r="E7422" s="77"/>
      <c r="F7422" s="77"/>
      <c r="G7422" s="28"/>
      <c r="H7422" s="29">
        <f>SUM(H7421:H7421)</f>
        <v>0</v>
      </c>
    </row>
    <row r="7423" spans="3:11" x14ac:dyDescent="0.3">
      <c r="C7423" s="30" t="s">
        <v>33</v>
      </c>
      <c r="D7423" s="31" t="s">
        <v>34</v>
      </c>
      <c r="E7423" s="32"/>
      <c r="F7423" s="32"/>
      <c r="G7423" s="33"/>
      <c r="H7423" s="46">
        <f>H7422+H7420+H7417</f>
        <v>561160</v>
      </c>
      <c r="I7423" s="47"/>
    </row>
    <row r="7424" spans="3:11" x14ac:dyDescent="0.3">
      <c r="C7424" s="30" t="s">
        <v>35</v>
      </c>
      <c r="D7424" s="31" t="s">
        <v>36</v>
      </c>
      <c r="E7424" s="32"/>
      <c r="F7424" s="33"/>
      <c r="G7424" s="34">
        <f>$M$9</f>
        <v>0.1</v>
      </c>
      <c r="H7424" s="19">
        <f>H7423*G7424</f>
        <v>56116</v>
      </c>
      <c r="I7424" s="47"/>
    </row>
    <row r="7425" spans="3:11" x14ac:dyDescent="0.3">
      <c r="C7425" s="30" t="s">
        <v>37</v>
      </c>
      <c r="D7425" s="31" t="s">
        <v>38</v>
      </c>
      <c r="E7425" s="32"/>
      <c r="F7425" s="32"/>
      <c r="G7425" s="33"/>
      <c r="H7425" s="48">
        <f>SUM(H7423:H7424)</f>
        <v>617276</v>
      </c>
      <c r="I7425" s="47"/>
    </row>
    <row r="7427" spans="3:11" x14ac:dyDescent="0.3">
      <c r="C7427" s="40" t="s">
        <v>1394</v>
      </c>
      <c r="D7427" s="68" t="s">
        <v>1395</v>
      </c>
      <c r="E7427" s="44"/>
      <c r="F7427" s="44"/>
      <c r="G7427" s="44"/>
      <c r="H7427" s="44"/>
      <c r="I7427" s="10">
        <f>ROUNDDOWN(H7442,0)</f>
        <v>662321</v>
      </c>
      <c r="J7427" s="15"/>
      <c r="K7427" s="39"/>
    </row>
    <row r="7428" spans="3:11" ht="27.6" x14ac:dyDescent="0.3">
      <c r="C7428" s="11" t="s">
        <v>9</v>
      </c>
      <c r="D7428" s="11" t="s">
        <v>10</v>
      </c>
      <c r="E7428" s="11" t="s">
        <v>11</v>
      </c>
      <c r="F7428" s="11" t="s">
        <v>12</v>
      </c>
      <c r="G7428" s="11" t="s">
        <v>13</v>
      </c>
      <c r="H7428" s="11" t="s">
        <v>14</v>
      </c>
    </row>
    <row r="7429" spans="3:11" x14ac:dyDescent="0.25">
      <c r="C7429" s="12" t="s">
        <v>15</v>
      </c>
      <c r="D7429" s="13" t="s">
        <v>16</v>
      </c>
      <c r="E7429" s="14"/>
      <c r="F7429" s="14"/>
      <c r="G7429" s="14"/>
      <c r="H7429" s="14"/>
    </row>
    <row r="7430" spans="3:11" x14ac:dyDescent="0.3">
      <c r="C7430" s="16">
        <v>1</v>
      </c>
      <c r="D7430" s="13" t="s">
        <v>18</v>
      </c>
      <c r="E7430" s="17" t="s">
        <v>19</v>
      </c>
      <c r="F7430" s="18">
        <v>0.19</v>
      </c>
      <c r="G7430" s="19">
        <f>VLOOKUP(D7430,upahbahan,3,FALSE)</f>
        <v>100000</v>
      </c>
      <c r="H7430" s="19">
        <f t="shared" ref="H7430:H7433" si="771">F7430*G7430</f>
        <v>19000</v>
      </c>
    </row>
    <row r="7431" spans="3:11" x14ac:dyDescent="0.3">
      <c r="C7431" s="16">
        <v>2</v>
      </c>
      <c r="D7431" s="13" t="s">
        <v>21</v>
      </c>
      <c r="E7431" s="17" t="s">
        <v>19</v>
      </c>
      <c r="F7431" s="18">
        <v>0.318</v>
      </c>
      <c r="G7431" s="19">
        <f>VLOOKUP(D7431,upahbahan,3,FALSE)</f>
        <v>145000</v>
      </c>
      <c r="H7431" s="19">
        <f t="shared" si="771"/>
        <v>46110</v>
      </c>
    </row>
    <row r="7432" spans="3:11" x14ac:dyDescent="0.3">
      <c r="C7432" s="16">
        <v>3</v>
      </c>
      <c r="D7432" s="13" t="s">
        <v>1224</v>
      </c>
      <c r="E7432" s="17" t="s">
        <v>19</v>
      </c>
      <c r="F7432" s="18">
        <v>3.2000000000000001E-2</v>
      </c>
      <c r="G7432" s="19">
        <f>VLOOKUP(D7432,upahbahan,3,FALSE)</f>
        <v>175000</v>
      </c>
      <c r="H7432" s="19">
        <f t="shared" si="771"/>
        <v>5600</v>
      </c>
    </row>
    <row r="7433" spans="3:11" x14ac:dyDescent="0.3">
      <c r="C7433" s="16">
        <v>4</v>
      </c>
      <c r="D7433" s="13" t="s">
        <v>23</v>
      </c>
      <c r="E7433" s="17" t="s">
        <v>19</v>
      </c>
      <c r="F7433" s="18">
        <v>1.0999999999999999E-2</v>
      </c>
      <c r="G7433" s="19">
        <f>VLOOKUP(D7433,upahbahan,3,FALSE)</f>
        <v>200000</v>
      </c>
      <c r="H7433" s="19">
        <f t="shared" si="771"/>
        <v>2200</v>
      </c>
    </row>
    <row r="7434" spans="3:11" x14ac:dyDescent="0.3">
      <c r="C7434" s="21" t="s">
        <v>24</v>
      </c>
      <c r="D7434" s="22"/>
      <c r="E7434" s="22"/>
      <c r="F7434" s="54"/>
      <c r="G7434" s="24"/>
      <c r="H7434" s="19">
        <f>SUM(H7430:H7433)</f>
        <v>72910</v>
      </c>
      <c r="I7434" s="25"/>
    </row>
    <row r="7435" spans="3:11" x14ac:dyDescent="0.25">
      <c r="C7435" s="12" t="s">
        <v>25</v>
      </c>
      <c r="D7435" s="13" t="s">
        <v>26</v>
      </c>
      <c r="E7435" s="14"/>
      <c r="F7435" s="55"/>
      <c r="G7435" s="14"/>
      <c r="H7435" s="14"/>
    </row>
    <row r="7436" spans="3:11" x14ac:dyDescent="0.25">
      <c r="C7436" s="12">
        <v>1</v>
      </c>
      <c r="D7436" s="13" t="s">
        <v>1396</v>
      </c>
      <c r="E7436" s="53" t="s">
        <v>617</v>
      </c>
      <c r="F7436" s="115">
        <v>1.05</v>
      </c>
      <c r="G7436" s="19">
        <f>VLOOKUP(D7436,upahbahan,3,FALSE)</f>
        <v>504000</v>
      </c>
      <c r="H7436" s="19">
        <f t="shared" ref="H7436" si="772">F7436*G7436</f>
        <v>529200</v>
      </c>
    </row>
    <row r="7437" spans="3:11" x14ac:dyDescent="0.3">
      <c r="C7437" s="21" t="s">
        <v>29</v>
      </c>
      <c r="D7437" s="22"/>
      <c r="E7437" s="22" t="s">
        <v>1340</v>
      </c>
      <c r="F7437" s="22"/>
      <c r="G7437" s="28"/>
      <c r="H7437" s="19">
        <f>SUM(H7435:H7436)</f>
        <v>529200</v>
      </c>
    </row>
    <row r="7438" spans="3:11" x14ac:dyDescent="0.25">
      <c r="C7438" s="12" t="s">
        <v>30</v>
      </c>
      <c r="D7438" s="13" t="s">
        <v>31</v>
      </c>
      <c r="E7438" s="14"/>
      <c r="F7438" s="14"/>
      <c r="G7438" s="14"/>
      <c r="H7438" s="14"/>
    </row>
    <row r="7439" spans="3:11" x14ac:dyDescent="0.3">
      <c r="C7439" s="21" t="s">
        <v>32</v>
      </c>
      <c r="D7439" s="77"/>
      <c r="E7439" s="77"/>
      <c r="F7439" s="77"/>
      <c r="G7439" s="28"/>
      <c r="H7439" s="29">
        <f>SUM(H7438:H7438)</f>
        <v>0</v>
      </c>
    </row>
    <row r="7440" spans="3:11" x14ac:dyDescent="0.3">
      <c r="C7440" s="30" t="s">
        <v>33</v>
      </c>
      <c r="D7440" s="31" t="s">
        <v>34</v>
      </c>
      <c r="E7440" s="32"/>
      <c r="F7440" s="32"/>
      <c r="G7440" s="33"/>
      <c r="H7440" s="46">
        <f>H7439+H7437+H7434</f>
        <v>602110</v>
      </c>
      <c r="I7440" s="47"/>
    </row>
    <row r="7441" spans="3:11" x14ac:dyDescent="0.3">
      <c r="C7441" s="30" t="s">
        <v>35</v>
      </c>
      <c r="D7441" s="31" t="s">
        <v>36</v>
      </c>
      <c r="E7441" s="32"/>
      <c r="F7441" s="33"/>
      <c r="G7441" s="34">
        <f>$M$9</f>
        <v>0.1</v>
      </c>
      <c r="H7441" s="19">
        <f>H7440*G7441</f>
        <v>60211</v>
      </c>
      <c r="I7441" s="47"/>
    </row>
    <row r="7442" spans="3:11" x14ac:dyDescent="0.3">
      <c r="C7442" s="30" t="s">
        <v>37</v>
      </c>
      <c r="D7442" s="31" t="s">
        <v>38</v>
      </c>
      <c r="E7442" s="32"/>
      <c r="F7442" s="32"/>
      <c r="G7442" s="33"/>
      <c r="H7442" s="48">
        <f>SUM(H7440:H7441)</f>
        <v>662321</v>
      </c>
      <c r="I7442" s="47"/>
    </row>
    <row r="7445" spans="3:11" x14ac:dyDescent="0.3">
      <c r="C7445" s="56" t="s">
        <v>1397</v>
      </c>
      <c r="D7445" s="69" t="s">
        <v>1398</v>
      </c>
      <c r="E7445" s="58"/>
      <c r="F7445" s="58"/>
      <c r="G7445" s="58"/>
      <c r="H7445" s="58"/>
      <c r="I7445" s="10">
        <f>ROUNDDOWN(H7466,0)</f>
        <v>485674</v>
      </c>
      <c r="J7445" s="15"/>
      <c r="K7445" s="39"/>
    </row>
    <row r="7446" spans="3:11" ht="27.6" x14ac:dyDescent="0.3">
      <c r="C7446" s="11" t="s">
        <v>9</v>
      </c>
      <c r="D7446" s="11" t="s">
        <v>10</v>
      </c>
      <c r="E7446" s="11" t="s">
        <v>11</v>
      </c>
      <c r="F7446" s="11" t="s">
        <v>12</v>
      </c>
      <c r="G7446" s="11" t="s">
        <v>13</v>
      </c>
      <c r="H7446" s="11" t="s">
        <v>14</v>
      </c>
    </row>
    <row r="7447" spans="3:11" x14ac:dyDescent="0.25">
      <c r="C7447" s="12" t="s">
        <v>15</v>
      </c>
      <c r="D7447" s="13" t="s">
        <v>16</v>
      </c>
      <c r="E7447" s="14"/>
      <c r="F7447" s="14"/>
      <c r="G7447" s="14"/>
      <c r="H7447" s="14"/>
    </row>
    <row r="7448" spans="3:11" x14ac:dyDescent="0.3">
      <c r="C7448" s="16">
        <v>1</v>
      </c>
      <c r="D7448" s="13" t="s">
        <v>18</v>
      </c>
      <c r="E7448" s="17" t="s">
        <v>19</v>
      </c>
      <c r="F7448" s="18">
        <v>0.25</v>
      </c>
      <c r="G7448" s="19">
        <f>VLOOKUP(D7448,upahbahan,3,FALSE)</f>
        <v>100000</v>
      </c>
      <c r="H7448" s="19">
        <f t="shared" ref="H7448:H7451" si="773">F7448*G7448</f>
        <v>25000</v>
      </c>
    </row>
    <row r="7449" spans="3:11" x14ac:dyDescent="0.3">
      <c r="C7449" s="16">
        <v>2</v>
      </c>
      <c r="D7449" s="13" t="s">
        <v>21</v>
      </c>
      <c r="E7449" s="17" t="s">
        <v>19</v>
      </c>
      <c r="F7449" s="18">
        <v>0.41799999999999998</v>
      </c>
      <c r="G7449" s="19">
        <f>VLOOKUP(D7449,upahbahan,3,FALSE)</f>
        <v>145000</v>
      </c>
      <c r="H7449" s="19">
        <f t="shared" si="773"/>
        <v>60610</v>
      </c>
    </row>
    <row r="7450" spans="3:11" x14ac:dyDescent="0.3">
      <c r="C7450" s="16">
        <v>3</v>
      </c>
      <c r="D7450" s="13" t="s">
        <v>1224</v>
      </c>
      <c r="E7450" s="17" t="s">
        <v>19</v>
      </c>
      <c r="F7450" s="18">
        <v>4.2000000000000003E-2</v>
      </c>
      <c r="G7450" s="19">
        <f>VLOOKUP(D7450,upahbahan,3,FALSE)</f>
        <v>175000</v>
      </c>
      <c r="H7450" s="19">
        <f t="shared" si="773"/>
        <v>7350.0000000000009</v>
      </c>
    </row>
    <row r="7451" spans="3:11" x14ac:dyDescent="0.3">
      <c r="C7451" s="16">
        <v>4</v>
      </c>
      <c r="D7451" s="13" t="s">
        <v>23</v>
      </c>
      <c r="E7451" s="17" t="s">
        <v>19</v>
      </c>
      <c r="F7451" s="18">
        <v>1.4E-2</v>
      </c>
      <c r="G7451" s="19">
        <f>VLOOKUP(D7451,upahbahan,3,FALSE)</f>
        <v>200000</v>
      </c>
      <c r="H7451" s="19">
        <f t="shared" si="773"/>
        <v>2800</v>
      </c>
    </row>
    <row r="7452" spans="3:11" x14ac:dyDescent="0.3">
      <c r="C7452" s="21" t="s">
        <v>24</v>
      </c>
      <c r="D7452" s="22"/>
      <c r="E7452" s="22"/>
      <c r="F7452" s="54"/>
      <c r="G7452" s="24"/>
      <c r="H7452" s="19">
        <f>SUM(H7448:H7451)</f>
        <v>95760</v>
      </c>
      <c r="I7452" s="25"/>
    </row>
    <row r="7453" spans="3:11" x14ac:dyDescent="0.25">
      <c r="C7453" s="12" t="s">
        <v>25</v>
      </c>
      <c r="D7453" s="13" t="s">
        <v>26</v>
      </c>
      <c r="E7453" s="14"/>
      <c r="F7453" s="55"/>
      <c r="G7453" s="14"/>
      <c r="H7453" s="14"/>
    </row>
    <row r="7454" spans="3:11" x14ac:dyDescent="0.25">
      <c r="C7454" s="12">
        <v>1</v>
      </c>
      <c r="D7454" s="13" t="s">
        <v>1399</v>
      </c>
      <c r="E7454" s="53" t="s">
        <v>974</v>
      </c>
      <c r="F7454" s="115">
        <v>49.5</v>
      </c>
      <c r="G7454" s="19">
        <f t="shared" ref="G7454:G7460" si="774">VLOOKUP(D7454,upahbahan,3,FALSE)</f>
        <v>1500</v>
      </c>
      <c r="H7454" s="19">
        <f t="shared" ref="H7454:H7460" si="775">F7454*G7454</f>
        <v>74250</v>
      </c>
    </row>
    <row r="7455" spans="3:11" x14ac:dyDescent="0.25">
      <c r="C7455" s="12">
        <v>2</v>
      </c>
      <c r="D7455" s="13" t="s">
        <v>975</v>
      </c>
      <c r="E7455" s="53" t="s">
        <v>974</v>
      </c>
      <c r="F7455" s="115">
        <v>49.5</v>
      </c>
      <c r="G7455" s="19">
        <f t="shared" si="774"/>
        <v>4000</v>
      </c>
      <c r="H7455" s="19">
        <f t="shared" si="775"/>
        <v>198000</v>
      </c>
    </row>
    <row r="7456" spans="3:11" x14ac:dyDescent="0.25">
      <c r="C7456" s="12">
        <v>3</v>
      </c>
      <c r="D7456" s="13" t="s">
        <v>976</v>
      </c>
      <c r="E7456" s="53" t="s">
        <v>506</v>
      </c>
      <c r="F7456" s="115">
        <v>1</v>
      </c>
      <c r="G7456" s="19">
        <f t="shared" si="774"/>
        <v>4000</v>
      </c>
      <c r="H7456" s="19">
        <f t="shared" si="775"/>
        <v>4000</v>
      </c>
    </row>
    <row r="7457" spans="3:11" x14ac:dyDescent="0.25">
      <c r="C7457" s="12">
        <v>4</v>
      </c>
      <c r="D7457" s="13" t="s">
        <v>977</v>
      </c>
      <c r="E7457" s="53" t="s">
        <v>506</v>
      </c>
      <c r="F7457" s="115">
        <v>25</v>
      </c>
      <c r="G7457" s="19">
        <f t="shared" si="774"/>
        <v>700</v>
      </c>
      <c r="H7457" s="19">
        <f t="shared" si="775"/>
        <v>17500</v>
      </c>
    </row>
    <row r="7458" spans="3:11" x14ac:dyDescent="0.25">
      <c r="C7458" s="12">
        <v>5</v>
      </c>
      <c r="D7458" s="13" t="s">
        <v>1103</v>
      </c>
      <c r="E7458" s="53" t="s">
        <v>506</v>
      </c>
      <c r="F7458" s="115">
        <v>50</v>
      </c>
      <c r="G7458" s="19">
        <f t="shared" si="774"/>
        <v>900</v>
      </c>
      <c r="H7458" s="19">
        <f t="shared" si="775"/>
        <v>45000</v>
      </c>
    </row>
    <row r="7459" spans="3:11" x14ac:dyDescent="0.25">
      <c r="C7459" s="12">
        <v>6</v>
      </c>
      <c r="D7459" s="13" t="s">
        <v>1104</v>
      </c>
      <c r="E7459" s="53" t="s">
        <v>506</v>
      </c>
      <c r="F7459" s="115">
        <v>1</v>
      </c>
      <c r="G7459" s="19">
        <f t="shared" si="774"/>
        <v>5400</v>
      </c>
      <c r="H7459" s="19">
        <f t="shared" si="775"/>
        <v>5400</v>
      </c>
    </row>
    <row r="7460" spans="3:11" x14ac:dyDescent="0.25">
      <c r="C7460" s="12">
        <v>7</v>
      </c>
      <c r="D7460" s="13" t="s">
        <v>979</v>
      </c>
      <c r="E7460" s="53" t="s">
        <v>506</v>
      </c>
      <c r="F7460" s="115">
        <v>75</v>
      </c>
      <c r="G7460" s="19">
        <f t="shared" si="774"/>
        <v>21.5</v>
      </c>
      <c r="H7460" s="19">
        <f t="shared" si="775"/>
        <v>1612.5</v>
      </c>
    </row>
    <row r="7461" spans="3:11" x14ac:dyDescent="0.3">
      <c r="C7461" s="21" t="s">
        <v>29</v>
      </c>
      <c r="D7461" s="22"/>
      <c r="E7461" s="22" t="s">
        <v>1340</v>
      </c>
      <c r="F7461" s="22"/>
      <c r="G7461" s="28"/>
      <c r="H7461" s="19">
        <f>SUM(H7453:H7460)</f>
        <v>345762.5</v>
      </c>
    </row>
    <row r="7462" spans="3:11" x14ac:dyDescent="0.25">
      <c r="C7462" s="12" t="s">
        <v>30</v>
      </c>
      <c r="D7462" s="13" t="s">
        <v>31</v>
      </c>
      <c r="E7462" s="14"/>
      <c r="F7462" s="14"/>
      <c r="G7462" s="14"/>
      <c r="H7462" s="14"/>
    </row>
    <row r="7463" spans="3:11" x14ac:dyDescent="0.3">
      <c r="C7463" s="21" t="s">
        <v>32</v>
      </c>
      <c r="D7463" s="77"/>
      <c r="E7463" s="77"/>
      <c r="F7463" s="77"/>
      <c r="G7463" s="28"/>
      <c r="H7463" s="29">
        <f>SUM(H7462:H7462)</f>
        <v>0</v>
      </c>
    </row>
    <row r="7464" spans="3:11" x14ac:dyDescent="0.3">
      <c r="C7464" s="30" t="s">
        <v>33</v>
      </c>
      <c r="D7464" s="31" t="s">
        <v>34</v>
      </c>
      <c r="E7464" s="32"/>
      <c r="F7464" s="32"/>
      <c r="G7464" s="33"/>
      <c r="H7464" s="46">
        <f>H7463+H7461+H7452</f>
        <v>441522.5</v>
      </c>
      <c r="I7464" s="47"/>
    </row>
    <row r="7465" spans="3:11" x14ac:dyDescent="0.3">
      <c r="C7465" s="30" t="s">
        <v>35</v>
      </c>
      <c r="D7465" s="31" t="s">
        <v>36</v>
      </c>
      <c r="E7465" s="32"/>
      <c r="F7465" s="33"/>
      <c r="G7465" s="34">
        <f>$M$9</f>
        <v>0.1</v>
      </c>
      <c r="H7465" s="19">
        <f>H7464*G7465</f>
        <v>44152.25</v>
      </c>
      <c r="I7465" s="47"/>
    </row>
    <row r="7466" spans="3:11" x14ac:dyDescent="0.3">
      <c r="C7466" s="30" t="s">
        <v>37</v>
      </c>
      <c r="D7466" s="31" t="s">
        <v>38</v>
      </c>
      <c r="E7466" s="32"/>
      <c r="F7466" s="32"/>
      <c r="G7466" s="33"/>
      <c r="H7466" s="48">
        <f>SUM(H7464:H7465)</f>
        <v>485674.75</v>
      </c>
      <c r="I7466" s="47"/>
    </row>
    <row r="7468" spans="3:11" x14ac:dyDescent="0.3">
      <c r="C7468" s="2" t="s">
        <v>1400</v>
      </c>
      <c r="D7468" s="2" t="s">
        <v>1401</v>
      </c>
    </row>
    <row r="7469" spans="3:11" x14ac:dyDescent="0.3">
      <c r="C7469" s="40" t="s">
        <v>1402</v>
      </c>
      <c r="D7469" s="68" t="s">
        <v>1403</v>
      </c>
      <c r="E7469" s="44"/>
      <c r="F7469" s="44"/>
      <c r="G7469" s="44"/>
      <c r="H7469" s="44"/>
      <c r="I7469" s="10">
        <f>ROUNDDOWN(H7484,0)</f>
        <v>1728815</v>
      </c>
      <c r="J7469" s="15"/>
      <c r="K7469" s="39"/>
    </row>
    <row r="7470" spans="3:11" ht="27.6" x14ac:dyDescent="0.3">
      <c r="C7470" s="11" t="s">
        <v>9</v>
      </c>
      <c r="D7470" s="11" t="s">
        <v>10</v>
      </c>
      <c r="E7470" s="11" t="s">
        <v>11</v>
      </c>
      <c r="F7470" s="11" t="s">
        <v>12</v>
      </c>
      <c r="G7470" s="11" t="s">
        <v>13</v>
      </c>
      <c r="H7470" s="11" t="s">
        <v>14</v>
      </c>
    </row>
    <row r="7471" spans="3:11" x14ac:dyDescent="0.25">
      <c r="C7471" s="12" t="s">
        <v>15</v>
      </c>
      <c r="D7471" s="13" t="s">
        <v>16</v>
      </c>
      <c r="E7471" s="14"/>
      <c r="F7471" s="14"/>
      <c r="G7471" s="14"/>
      <c r="H7471" s="14"/>
    </row>
    <row r="7472" spans="3:11" x14ac:dyDescent="0.3">
      <c r="C7472" s="16">
        <v>1</v>
      </c>
      <c r="D7472" s="13" t="s">
        <v>18</v>
      </c>
      <c r="E7472" s="17" t="s">
        <v>19</v>
      </c>
      <c r="F7472" s="18">
        <v>0.129</v>
      </c>
      <c r="G7472" s="19">
        <f>VLOOKUP(D7472,upahbahan,3,FALSE)</f>
        <v>100000</v>
      </c>
      <c r="H7472" s="19">
        <f t="shared" ref="H7472:H7475" si="776">F7472*G7472</f>
        <v>12900</v>
      </c>
    </row>
    <row r="7473" spans="3:11" x14ac:dyDescent="0.3">
      <c r="C7473" s="16">
        <v>2</v>
      </c>
      <c r="D7473" s="13" t="s">
        <v>21</v>
      </c>
      <c r="E7473" s="17" t="s">
        <v>19</v>
      </c>
      <c r="F7473" s="18">
        <v>0.215</v>
      </c>
      <c r="G7473" s="19">
        <f>VLOOKUP(D7473,upahbahan,3,FALSE)</f>
        <v>145000</v>
      </c>
      <c r="H7473" s="19">
        <f t="shared" si="776"/>
        <v>31175</v>
      </c>
    </row>
    <row r="7474" spans="3:11" x14ac:dyDescent="0.3">
      <c r="C7474" s="16">
        <v>3</v>
      </c>
      <c r="D7474" s="13" t="s">
        <v>1224</v>
      </c>
      <c r="E7474" s="17" t="s">
        <v>19</v>
      </c>
      <c r="F7474" s="18">
        <v>2.1000000000000001E-2</v>
      </c>
      <c r="G7474" s="19">
        <f>VLOOKUP(D7474,upahbahan,3,FALSE)</f>
        <v>175000</v>
      </c>
      <c r="H7474" s="19">
        <f t="shared" si="776"/>
        <v>3675.0000000000005</v>
      </c>
    </row>
    <row r="7475" spans="3:11" x14ac:dyDescent="0.3">
      <c r="C7475" s="16">
        <v>4</v>
      </c>
      <c r="D7475" s="13" t="s">
        <v>23</v>
      </c>
      <c r="E7475" s="17" t="s">
        <v>19</v>
      </c>
      <c r="F7475" s="18">
        <v>7.0000000000000001E-3</v>
      </c>
      <c r="G7475" s="19">
        <f>VLOOKUP(D7475,upahbahan,3,FALSE)</f>
        <v>200000</v>
      </c>
      <c r="H7475" s="19">
        <f t="shared" si="776"/>
        <v>1400</v>
      </c>
    </row>
    <row r="7476" spans="3:11" x14ac:dyDescent="0.3">
      <c r="C7476" s="21" t="s">
        <v>24</v>
      </c>
      <c r="D7476" s="22"/>
      <c r="E7476" s="22"/>
      <c r="F7476" s="54"/>
      <c r="G7476" s="24"/>
      <c r="H7476" s="19">
        <f>SUM(H7472:H7475)</f>
        <v>49150</v>
      </c>
      <c r="I7476" s="25"/>
    </row>
    <row r="7477" spans="3:11" x14ac:dyDescent="0.25">
      <c r="C7477" s="12" t="s">
        <v>25</v>
      </c>
      <c r="D7477" s="13" t="s">
        <v>26</v>
      </c>
      <c r="E7477" s="14"/>
      <c r="F7477" s="55"/>
      <c r="G7477" s="14"/>
      <c r="H7477" s="14"/>
    </row>
    <row r="7478" spans="3:11" x14ac:dyDescent="0.25">
      <c r="C7478" s="12">
        <v>1</v>
      </c>
      <c r="D7478" s="13" t="s">
        <v>1404</v>
      </c>
      <c r="E7478" s="53" t="s">
        <v>617</v>
      </c>
      <c r="F7478" s="115">
        <v>1.05</v>
      </c>
      <c r="G7478" s="19">
        <f>VLOOKUP(D7478,upahbahan,3,FALSE)</f>
        <v>1450000</v>
      </c>
      <c r="H7478" s="19">
        <f t="shared" ref="H7478" si="777">F7478*G7478</f>
        <v>1522500</v>
      </c>
    </row>
    <row r="7479" spans="3:11" x14ac:dyDescent="0.3">
      <c r="C7479" s="21" t="s">
        <v>29</v>
      </c>
      <c r="D7479" s="22"/>
      <c r="E7479" s="22" t="s">
        <v>1340</v>
      </c>
      <c r="F7479" s="22"/>
      <c r="G7479" s="28"/>
      <c r="H7479" s="19">
        <f>SUM(H7477:H7478)</f>
        <v>1522500</v>
      </c>
    </row>
    <row r="7480" spans="3:11" x14ac:dyDescent="0.25">
      <c r="C7480" s="12" t="s">
        <v>30</v>
      </c>
      <c r="D7480" s="13" t="s">
        <v>31</v>
      </c>
      <c r="E7480" s="14"/>
      <c r="F7480" s="14"/>
      <c r="G7480" s="14"/>
      <c r="H7480" s="14"/>
    </row>
    <row r="7481" spans="3:11" x14ac:dyDescent="0.3">
      <c r="C7481" s="21" t="s">
        <v>32</v>
      </c>
      <c r="D7481" s="77"/>
      <c r="E7481" s="77"/>
      <c r="F7481" s="77"/>
      <c r="G7481" s="28"/>
      <c r="H7481" s="29">
        <f>SUM(H7480:H7480)</f>
        <v>0</v>
      </c>
    </row>
    <row r="7482" spans="3:11" x14ac:dyDescent="0.3">
      <c r="C7482" s="30" t="s">
        <v>33</v>
      </c>
      <c r="D7482" s="31" t="s">
        <v>34</v>
      </c>
      <c r="E7482" s="32"/>
      <c r="F7482" s="32"/>
      <c r="G7482" s="33"/>
      <c r="H7482" s="46">
        <f>H7481+H7479+H7476</f>
        <v>1571650</v>
      </c>
      <c r="I7482" s="47"/>
    </row>
    <row r="7483" spans="3:11" x14ac:dyDescent="0.3">
      <c r="C7483" s="30" t="s">
        <v>35</v>
      </c>
      <c r="D7483" s="31" t="s">
        <v>36</v>
      </c>
      <c r="E7483" s="32"/>
      <c r="F7483" s="33"/>
      <c r="G7483" s="34">
        <f>$M$9</f>
        <v>0.1</v>
      </c>
      <c r="H7483" s="19">
        <f>H7482*G7483</f>
        <v>157165</v>
      </c>
      <c r="I7483" s="47"/>
    </row>
    <row r="7484" spans="3:11" x14ac:dyDescent="0.3">
      <c r="C7484" s="30" t="s">
        <v>37</v>
      </c>
      <c r="D7484" s="31" t="s">
        <v>38</v>
      </c>
      <c r="E7484" s="32"/>
      <c r="F7484" s="32"/>
      <c r="G7484" s="33"/>
      <c r="H7484" s="48">
        <f>SUM(H7482:H7483)</f>
        <v>1728815</v>
      </c>
      <c r="I7484" s="47"/>
    </row>
    <row r="7486" spans="3:11" x14ac:dyDescent="0.3">
      <c r="C7486" s="40" t="s">
        <v>1405</v>
      </c>
      <c r="D7486" s="68" t="s">
        <v>1406</v>
      </c>
      <c r="E7486" s="44"/>
      <c r="F7486" s="44"/>
      <c r="G7486" s="44"/>
      <c r="H7486" s="44"/>
      <c r="I7486" s="10">
        <f>ROUNDDOWN(H7501,0)</f>
        <v>1142042</v>
      </c>
      <c r="J7486" s="15"/>
      <c r="K7486" s="39"/>
    </row>
    <row r="7487" spans="3:11" ht="27.6" x14ac:dyDescent="0.3">
      <c r="C7487" s="11" t="s">
        <v>9</v>
      </c>
      <c r="D7487" s="11" t="s">
        <v>10</v>
      </c>
      <c r="E7487" s="11" t="s">
        <v>11</v>
      </c>
      <c r="F7487" s="11" t="s">
        <v>12</v>
      </c>
      <c r="G7487" s="11" t="s">
        <v>13</v>
      </c>
      <c r="H7487" s="11" t="s">
        <v>14</v>
      </c>
    </row>
    <row r="7488" spans="3:11" x14ac:dyDescent="0.25">
      <c r="C7488" s="12" t="s">
        <v>15</v>
      </c>
      <c r="D7488" s="13" t="s">
        <v>16</v>
      </c>
      <c r="E7488" s="14"/>
      <c r="F7488" s="14"/>
      <c r="G7488" s="14"/>
      <c r="H7488" s="14"/>
    </row>
    <row r="7489" spans="3:11" x14ac:dyDescent="0.3">
      <c r="C7489" s="16">
        <v>1</v>
      </c>
      <c r="D7489" s="13" t="s">
        <v>18</v>
      </c>
      <c r="E7489" s="17" t="s">
        <v>19</v>
      </c>
      <c r="F7489" s="18">
        <v>0.38100000000000001</v>
      </c>
      <c r="G7489" s="19">
        <f>VLOOKUP(D7489,upahbahan,3,FALSE)</f>
        <v>100000</v>
      </c>
      <c r="H7489" s="19">
        <f t="shared" ref="H7489:H7492" si="778">F7489*G7489</f>
        <v>38100</v>
      </c>
    </row>
    <row r="7490" spans="3:11" x14ac:dyDescent="0.3">
      <c r="C7490" s="16">
        <v>2</v>
      </c>
      <c r="D7490" s="13" t="s">
        <v>21</v>
      </c>
      <c r="E7490" s="17" t="s">
        <v>19</v>
      </c>
      <c r="F7490" s="18">
        <v>0.63600000000000001</v>
      </c>
      <c r="G7490" s="19">
        <f>VLOOKUP(D7490,upahbahan,3,FALSE)</f>
        <v>145000</v>
      </c>
      <c r="H7490" s="19">
        <f t="shared" si="778"/>
        <v>92220</v>
      </c>
    </row>
    <row r="7491" spans="3:11" x14ac:dyDescent="0.3">
      <c r="C7491" s="16">
        <v>3</v>
      </c>
      <c r="D7491" s="13" t="s">
        <v>1224</v>
      </c>
      <c r="E7491" s="17" t="s">
        <v>19</v>
      </c>
      <c r="F7491" s="18">
        <v>6.4000000000000001E-2</v>
      </c>
      <c r="G7491" s="19">
        <f>VLOOKUP(D7491,upahbahan,3,FALSE)</f>
        <v>175000</v>
      </c>
      <c r="H7491" s="19">
        <f t="shared" si="778"/>
        <v>11200</v>
      </c>
    </row>
    <row r="7492" spans="3:11" x14ac:dyDescent="0.3">
      <c r="C7492" s="16">
        <v>4</v>
      </c>
      <c r="D7492" s="13" t="s">
        <v>23</v>
      </c>
      <c r="E7492" s="17" t="s">
        <v>19</v>
      </c>
      <c r="F7492" s="18">
        <v>2.1000000000000001E-2</v>
      </c>
      <c r="G7492" s="19">
        <f>VLOOKUP(D7492,upahbahan,3,FALSE)</f>
        <v>200000</v>
      </c>
      <c r="H7492" s="19">
        <f t="shared" si="778"/>
        <v>4200</v>
      </c>
    </row>
    <row r="7493" spans="3:11" x14ac:dyDescent="0.3">
      <c r="C7493" s="21" t="s">
        <v>24</v>
      </c>
      <c r="D7493" s="22"/>
      <c r="E7493" s="22"/>
      <c r="F7493" s="54"/>
      <c r="G7493" s="24"/>
      <c r="H7493" s="19">
        <f>SUM(H7489:H7492)</f>
        <v>145720</v>
      </c>
      <c r="I7493" s="25"/>
    </row>
    <row r="7494" spans="3:11" x14ac:dyDescent="0.25">
      <c r="C7494" s="12" t="s">
        <v>25</v>
      </c>
      <c r="D7494" s="13" t="s">
        <v>26</v>
      </c>
      <c r="E7494" s="14"/>
      <c r="F7494" s="55"/>
      <c r="G7494" s="14"/>
      <c r="H7494" s="14"/>
    </row>
    <row r="7495" spans="3:11" x14ac:dyDescent="0.25">
      <c r="C7495" s="12">
        <v>1</v>
      </c>
      <c r="D7495" s="13" t="s">
        <v>1407</v>
      </c>
      <c r="E7495" s="53" t="s">
        <v>617</v>
      </c>
      <c r="F7495" s="115">
        <v>1.05</v>
      </c>
      <c r="G7495" s="19">
        <f>VLOOKUP(D7495,upahbahan,3,FALSE)</f>
        <v>850000</v>
      </c>
      <c r="H7495" s="19">
        <f t="shared" ref="H7495" si="779">F7495*G7495</f>
        <v>892500</v>
      </c>
    </row>
    <row r="7496" spans="3:11" x14ac:dyDescent="0.3">
      <c r="C7496" s="21" t="s">
        <v>29</v>
      </c>
      <c r="D7496" s="22"/>
      <c r="E7496" s="22" t="s">
        <v>1340</v>
      </c>
      <c r="F7496" s="22"/>
      <c r="G7496" s="28"/>
      <c r="H7496" s="19">
        <f>SUM(H7494:H7495)</f>
        <v>892500</v>
      </c>
    </row>
    <row r="7497" spans="3:11" x14ac:dyDescent="0.25">
      <c r="C7497" s="12" t="s">
        <v>30</v>
      </c>
      <c r="D7497" s="13" t="s">
        <v>31</v>
      </c>
      <c r="E7497" s="14"/>
      <c r="F7497" s="14"/>
      <c r="G7497" s="14"/>
      <c r="H7497" s="14"/>
    </row>
    <row r="7498" spans="3:11" x14ac:dyDescent="0.3">
      <c r="C7498" s="21" t="s">
        <v>32</v>
      </c>
      <c r="D7498" s="77"/>
      <c r="E7498" s="77"/>
      <c r="F7498" s="77"/>
      <c r="G7498" s="28"/>
      <c r="H7498" s="29">
        <f>SUM(H7497:H7497)</f>
        <v>0</v>
      </c>
    </row>
    <row r="7499" spans="3:11" x14ac:dyDescent="0.3">
      <c r="C7499" s="30" t="s">
        <v>33</v>
      </c>
      <c r="D7499" s="31" t="s">
        <v>34</v>
      </c>
      <c r="E7499" s="32"/>
      <c r="F7499" s="32"/>
      <c r="G7499" s="33"/>
      <c r="H7499" s="46">
        <f>H7498+H7496+H7493</f>
        <v>1038220</v>
      </c>
      <c r="I7499" s="47"/>
    </row>
    <row r="7500" spans="3:11" x14ac:dyDescent="0.3">
      <c r="C7500" s="30" t="s">
        <v>35</v>
      </c>
      <c r="D7500" s="31" t="s">
        <v>36</v>
      </c>
      <c r="E7500" s="32"/>
      <c r="F7500" s="33"/>
      <c r="G7500" s="34">
        <f>$M$9</f>
        <v>0.1</v>
      </c>
      <c r="H7500" s="19">
        <f>H7499*G7500</f>
        <v>103822</v>
      </c>
      <c r="I7500" s="47"/>
    </row>
    <row r="7501" spans="3:11" x14ac:dyDescent="0.3">
      <c r="C7501" s="30" t="s">
        <v>37</v>
      </c>
      <c r="D7501" s="31" t="s">
        <v>38</v>
      </c>
      <c r="E7501" s="32"/>
      <c r="F7501" s="32"/>
      <c r="G7501" s="33"/>
      <c r="H7501" s="48">
        <f>SUM(H7499:H7500)</f>
        <v>1142042</v>
      </c>
      <c r="I7501" s="47"/>
    </row>
    <row r="7503" spans="3:11" x14ac:dyDescent="0.3">
      <c r="C7503" s="40" t="s">
        <v>1408</v>
      </c>
      <c r="D7503" s="68" t="s">
        <v>1409</v>
      </c>
      <c r="E7503" s="44"/>
      <c r="F7503" s="44"/>
      <c r="G7503" s="44"/>
      <c r="H7503" s="44"/>
      <c r="I7503" s="10">
        <f>ROUNDDOWN(H7518,0)</f>
        <v>1812701</v>
      </c>
      <c r="J7503" s="15"/>
      <c r="K7503" s="39"/>
    </row>
    <row r="7504" spans="3:11" ht="27.6" x14ac:dyDescent="0.3">
      <c r="C7504" s="11" t="s">
        <v>9</v>
      </c>
      <c r="D7504" s="11" t="s">
        <v>10</v>
      </c>
      <c r="E7504" s="11" t="s">
        <v>11</v>
      </c>
      <c r="F7504" s="11" t="s">
        <v>12</v>
      </c>
      <c r="G7504" s="11" t="s">
        <v>13</v>
      </c>
      <c r="H7504" s="11" t="s">
        <v>14</v>
      </c>
    </row>
    <row r="7505" spans="3:11" x14ac:dyDescent="0.25">
      <c r="C7505" s="12" t="s">
        <v>15</v>
      </c>
      <c r="D7505" s="13" t="s">
        <v>16</v>
      </c>
      <c r="E7505" s="14"/>
      <c r="F7505" s="14"/>
      <c r="G7505" s="14"/>
      <c r="H7505" s="14"/>
    </row>
    <row r="7506" spans="3:11" x14ac:dyDescent="0.3">
      <c r="C7506" s="16">
        <v>1</v>
      </c>
      <c r="D7506" s="13" t="s">
        <v>18</v>
      </c>
      <c r="E7506" s="17" t="s">
        <v>19</v>
      </c>
      <c r="F7506" s="18">
        <v>0.19</v>
      </c>
      <c r="G7506" s="19">
        <f>VLOOKUP(D7506,upahbahan,3,FALSE)</f>
        <v>100000</v>
      </c>
      <c r="H7506" s="19">
        <f t="shared" ref="H7506:H7509" si="780">F7506*G7506</f>
        <v>19000</v>
      </c>
    </row>
    <row r="7507" spans="3:11" x14ac:dyDescent="0.3">
      <c r="C7507" s="16">
        <v>2</v>
      </c>
      <c r="D7507" s="13" t="s">
        <v>21</v>
      </c>
      <c r="E7507" s="17" t="s">
        <v>19</v>
      </c>
      <c r="F7507" s="18">
        <v>0.318</v>
      </c>
      <c r="G7507" s="19">
        <f>VLOOKUP(D7507,upahbahan,3,FALSE)</f>
        <v>145000</v>
      </c>
      <c r="H7507" s="19">
        <f t="shared" si="780"/>
        <v>46110</v>
      </c>
    </row>
    <row r="7508" spans="3:11" x14ac:dyDescent="0.3">
      <c r="C7508" s="16">
        <v>3</v>
      </c>
      <c r="D7508" s="13" t="s">
        <v>1224</v>
      </c>
      <c r="E7508" s="17" t="s">
        <v>19</v>
      </c>
      <c r="F7508" s="18">
        <v>3.2000000000000001E-2</v>
      </c>
      <c r="G7508" s="19">
        <f>VLOOKUP(D7508,upahbahan,3,FALSE)</f>
        <v>175000</v>
      </c>
      <c r="H7508" s="19">
        <f t="shared" si="780"/>
        <v>5600</v>
      </c>
    </row>
    <row r="7509" spans="3:11" x14ac:dyDescent="0.3">
      <c r="C7509" s="16">
        <v>4</v>
      </c>
      <c r="D7509" s="13" t="s">
        <v>23</v>
      </c>
      <c r="E7509" s="17" t="s">
        <v>19</v>
      </c>
      <c r="F7509" s="18">
        <v>1.0999999999999999E-2</v>
      </c>
      <c r="G7509" s="19">
        <f>VLOOKUP(D7509,upahbahan,3,FALSE)</f>
        <v>200000</v>
      </c>
      <c r="H7509" s="19">
        <f t="shared" si="780"/>
        <v>2200</v>
      </c>
    </row>
    <row r="7510" spans="3:11" x14ac:dyDescent="0.3">
      <c r="C7510" s="21" t="s">
        <v>24</v>
      </c>
      <c r="D7510" s="22"/>
      <c r="E7510" s="22"/>
      <c r="F7510" s="54"/>
      <c r="G7510" s="24"/>
      <c r="H7510" s="19">
        <f>SUM(H7506:H7509)</f>
        <v>72910</v>
      </c>
      <c r="I7510" s="25"/>
    </row>
    <row r="7511" spans="3:11" x14ac:dyDescent="0.25">
      <c r="C7511" s="12" t="s">
        <v>25</v>
      </c>
      <c r="D7511" s="13" t="s">
        <v>26</v>
      </c>
      <c r="E7511" s="14"/>
      <c r="F7511" s="55"/>
      <c r="G7511" s="14"/>
      <c r="H7511" s="14"/>
    </row>
    <row r="7512" spans="3:11" x14ac:dyDescent="0.25">
      <c r="C7512" s="12">
        <v>1</v>
      </c>
      <c r="D7512" s="13" t="s">
        <v>1410</v>
      </c>
      <c r="E7512" s="53" t="s">
        <v>617</v>
      </c>
      <c r="F7512" s="115">
        <v>1.05</v>
      </c>
      <c r="G7512" s="19">
        <f>VLOOKUP(D7512,upahbahan,3,FALSE)</f>
        <v>1500000</v>
      </c>
      <c r="H7512" s="19">
        <f t="shared" ref="H7512" si="781">F7512*G7512</f>
        <v>1575000</v>
      </c>
    </row>
    <row r="7513" spans="3:11" x14ac:dyDescent="0.3">
      <c r="C7513" s="21" t="s">
        <v>29</v>
      </c>
      <c r="D7513" s="22"/>
      <c r="E7513" s="22" t="s">
        <v>1340</v>
      </c>
      <c r="F7513" s="22"/>
      <c r="G7513" s="28"/>
      <c r="H7513" s="19">
        <f>SUM(H7511:H7512)</f>
        <v>1575000</v>
      </c>
    </row>
    <row r="7514" spans="3:11" x14ac:dyDescent="0.25">
      <c r="C7514" s="12" t="s">
        <v>30</v>
      </c>
      <c r="D7514" s="13" t="s">
        <v>31</v>
      </c>
      <c r="E7514" s="14"/>
      <c r="F7514" s="14"/>
      <c r="G7514" s="14"/>
      <c r="H7514" s="14"/>
    </row>
    <row r="7515" spans="3:11" x14ac:dyDescent="0.3">
      <c r="C7515" s="21" t="s">
        <v>32</v>
      </c>
      <c r="D7515" s="77"/>
      <c r="E7515" s="77"/>
      <c r="F7515" s="77"/>
      <c r="G7515" s="28"/>
      <c r="H7515" s="29">
        <f>SUM(H7514:H7514)</f>
        <v>0</v>
      </c>
    </row>
    <row r="7516" spans="3:11" x14ac:dyDescent="0.3">
      <c r="C7516" s="30" t="s">
        <v>33</v>
      </c>
      <c r="D7516" s="31" t="s">
        <v>34</v>
      </c>
      <c r="E7516" s="32"/>
      <c r="F7516" s="32"/>
      <c r="G7516" s="33"/>
      <c r="H7516" s="46">
        <f>H7515+H7513+H7510</f>
        <v>1647910</v>
      </c>
      <c r="I7516" s="47"/>
    </row>
    <row r="7517" spans="3:11" x14ac:dyDescent="0.3">
      <c r="C7517" s="30" t="s">
        <v>35</v>
      </c>
      <c r="D7517" s="31" t="s">
        <v>36</v>
      </c>
      <c r="E7517" s="32"/>
      <c r="F7517" s="33"/>
      <c r="G7517" s="34">
        <f>$M$9</f>
        <v>0.1</v>
      </c>
      <c r="H7517" s="19">
        <f>H7516*G7517</f>
        <v>164791</v>
      </c>
      <c r="I7517" s="47"/>
    </row>
    <row r="7518" spans="3:11" x14ac:dyDescent="0.3">
      <c r="C7518" s="30" t="s">
        <v>37</v>
      </c>
      <c r="D7518" s="31" t="s">
        <v>38</v>
      </c>
      <c r="E7518" s="32"/>
      <c r="F7518" s="32"/>
      <c r="G7518" s="33"/>
      <c r="H7518" s="48">
        <f>SUM(H7516:H7517)</f>
        <v>1812701</v>
      </c>
      <c r="I7518" s="47"/>
    </row>
    <row r="7520" spans="3:11" x14ac:dyDescent="0.3">
      <c r="C7520" s="40" t="s">
        <v>1411</v>
      </c>
      <c r="D7520" s="68" t="s">
        <v>1412</v>
      </c>
      <c r="E7520" s="44"/>
      <c r="F7520" s="44"/>
      <c r="G7520" s="44"/>
      <c r="H7520" s="44"/>
      <c r="I7520" s="10">
        <f>ROUNDDOWN(H7535,0)</f>
        <v>1466201</v>
      </c>
      <c r="J7520" s="15"/>
      <c r="K7520" s="39"/>
    </row>
    <row r="7521" spans="3:9" ht="27.6" x14ac:dyDescent="0.3">
      <c r="C7521" s="11" t="s">
        <v>9</v>
      </c>
      <c r="D7521" s="11" t="s">
        <v>10</v>
      </c>
      <c r="E7521" s="11" t="s">
        <v>11</v>
      </c>
      <c r="F7521" s="11" t="s">
        <v>12</v>
      </c>
      <c r="G7521" s="11" t="s">
        <v>13</v>
      </c>
      <c r="H7521" s="11" t="s">
        <v>14</v>
      </c>
    </row>
    <row r="7522" spans="3:9" x14ac:dyDescent="0.25">
      <c r="C7522" s="12" t="s">
        <v>15</v>
      </c>
      <c r="D7522" s="13" t="s">
        <v>16</v>
      </c>
      <c r="E7522" s="14"/>
      <c r="F7522" s="14"/>
      <c r="G7522" s="14"/>
      <c r="H7522" s="14"/>
    </row>
    <row r="7523" spans="3:9" x14ac:dyDescent="0.3">
      <c r="C7523" s="16">
        <v>1</v>
      </c>
      <c r="D7523" s="13" t="s">
        <v>18</v>
      </c>
      <c r="E7523" s="17" t="s">
        <v>19</v>
      </c>
      <c r="F7523" s="18">
        <v>0.19</v>
      </c>
      <c r="G7523" s="19">
        <f>VLOOKUP(D7523,upahbahan,3,FALSE)</f>
        <v>100000</v>
      </c>
      <c r="H7523" s="19">
        <f t="shared" ref="H7523:H7526" si="782">F7523*G7523</f>
        <v>19000</v>
      </c>
    </row>
    <row r="7524" spans="3:9" x14ac:dyDescent="0.3">
      <c r="C7524" s="16">
        <v>2</v>
      </c>
      <c r="D7524" s="13" t="s">
        <v>21</v>
      </c>
      <c r="E7524" s="17" t="s">
        <v>19</v>
      </c>
      <c r="F7524" s="18">
        <v>0.318</v>
      </c>
      <c r="G7524" s="19">
        <f>VLOOKUP(D7524,upahbahan,3,FALSE)</f>
        <v>145000</v>
      </c>
      <c r="H7524" s="19">
        <f t="shared" si="782"/>
        <v>46110</v>
      </c>
    </row>
    <row r="7525" spans="3:9" x14ac:dyDescent="0.3">
      <c r="C7525" s="16">
        <v>3</v>
      </c>
      <c r="D7525" s="13" t="s">
        <v>1224</v>
      </c>
      <c r="E7525" s="17" t="s">
        <v>19</v>
      </c>
      <c r="F7525" s="18">
        <v>3.2000000000000001E-2</v>
      </c>
      <c r="G7525" s="19">
        <f>VLOOKUP(D7525,upahbahan,3,FALSE)</f>
        <v>175000</v>
      </c>
      <c r="H7525" s="19">
        <f t="shared" si="782"/>
        <v>5600</v>
      </c>
    </row>
    <row r="7526" spans="3:9" x14ac:dyDescent="0.3">
      <c r="C7526" s="16">
        <v>4</v>
      </c>
      <c r="D7526" s="13" t="s">
        <v>23</v>
      </c>
      <c r="E7526" s="17" t="s">
        <v>19</v>
      </c>
      <c r="F7526" s="18">
        <v>1.0999999999999999E-2</v>
      </c>
      <c r="G7526" s="19">
        <f>VLOOKUP(D7526,upahbahan,3,FALSE)</f>
        <v>200000</v>
      </c>
      <c r="H7526" s="19">
        <f t="shared" si="782"/>
        <v>2200</v>
      </c>
    </row>
    <row r="7527" spans="3:9" x14ac:dyDescent="0.3">
      <c r="C7527" s="21" t="s">
        <v>24</v>
      </c>
      <c r="D7527" s="22"/>
      <c r="E7527" s="22"/>
      <c r="F7527" s="54"/>
      <c r="G7527" s="24"/>
      <c r="H7527" s="19">
        <f>SUM(H7523:H7526)</f>
        <v>72910</v>
      </c>
      <c r="I7527" s="25"/>
    </row>
    <row r="7528" spans="3:9" x14ac:dyDescent="0.25">
      <c r="C7528" s="12" t="s">
        <v>25</v>
      </c>
      <c r="D7528" s="13" t="s">
        <v>26</v>
      </c>
      <c r="E7528" s="14"/>
      <c r="F7528" s="55"/>
      <c r="G7528" s="14"/>
      <c r="H7528" s="14"/>
    </row>
    <row r="7529" spans="3:9" x14ac:dyDescent="0.25">
      <c r="C7529" s="12">
        <v>1</v>
      </c>
      <c r="D7529" s="13" t="s">
        <v>1413</v>
      </c>
      <c r="E7529" s="53" t="s">
        <v>617</v>
      </c>
      <c r="F7529" s="115">
        <v>1.05</v>
      </c>
      <c r="G7529" s="19">
        <f>VLOOKUP(D7529,upahbahan,3,FALSE)</f>
        <v>1200000</v>
      </c>
      <c r="H7529" s="19">
        <f t="shared" ref="H7529" si="783">F7529*G7529</f>
        <v>1260000</v>
      </c>
    </row>
    <row r="7530" spans="3:9" x14ac:dyDescent="0.3">
      <c r="C7530" s="21" t="s">
        <v>29</v>
      </c>
      <c r="D7530" s="22"/>
      <c r="E7530" s="22" t="s">
        <v>1340</v>
      </c>
      <c r="F7530" s="22"/>
      <c r="G7530" s="28"/>
      <c r="H7530" s="19">
        <f>SUM(H7528:H7529)</f>
        <v>1260000</v>
      </c>
    </row>
    <row r="7531" spans="3:9" x14ac:dyDescent="0.25">
      <c r="C7531" s="12" t="s">
        <v>30</v>
      </c>
      <c r="D7531" s="13" t="s">
        <v>31</v>
      </c>
      <c r="E7531" s="14"/>
      <c r="F7531" s="14"/>
      <c r="G7531" s="14"/>
      <c r="H7531" s="14"/>
    </row>
    <row r="7532" spans="3:9" x14ac:dyDescent="0.3">
      <c r="C7532" s="21" t="s">
        <v>32</v>
      </c>
      <c r="D7532" s="77"/>
      <c r="E7532" s="77"/>
      <c r="F7532" s="77"/>
      <c r="G7532" s="28"/>
      <c r="H7532" s="29">
        <f>SUM(H7531:H7531)</f>
        <v>0</v>
      </c>
    </row>
    <row r="7533" spans="3:9" x14ac:dyDescent="0.3">
      <c r="C7533" s="30" t="s">
        <v>33</v>
      </c>
      <c r="D7533" s="31" t="s">
        <v>34</v>
      </c>
      <c r="E7533" s="32"/>
      <c r="F7533" s="32"/>
      <c r="G7533" s="33"/>
      <c r="H7533" s="46">
        <f>H7532+H7530+H7527</f>
        <v>1332910</v>
      </c>
      <c r="I7533" s="47"/>
    </row>
    <row r="7534" spans="3:9" x14ac:dyDescent="0.3">
      <c r="C7534" s="30" t="s">
        <v>35</v>
      </c>
      <c r="D7534" s="31" t="s">
        <v>36</v>
      </c>
      <c r="E7534" s="32"/>
      <c r="F7534" s="33"/>
      <c r="G7534" s="34">
        <f>$M$9</f>
        <v>0.1</v>
      </c>
      <c r="H7534" s="19">
        <f>H7533*G7534</f>
        <v>133291</v>
      </c>
      <c r="I7534" s="47"/>
    </row>
    <row r="7535" spans="3:9" x14ac:dyDescent="0.3">
      <c r="C7535" s="30" t="s">
        <v>37</v>
      </c>
      <c r="D7535" s="31" t="s">
        <v>38</v>
      </c>
      <c r="E7535" s="32"/>
      <c r="F7535" s="32"/>
      <c r="G7535" s="33"/>
      <c r="H7535" s="48">
        <f>SUM(H7533:H7534)</f>
        <v>1466201</v>
      </c>
      <c r="I7535" s="47"/>
    </row>
    <row r="7537" spans="3:11" x14ac:dyDescent="0.3">
      <c r="C7537" s="40" t="s">
        <v>1414</v>
      </c>
      <c r="D7537" s="68" t="s">
        <v>1415</v>
      </c>
      <c r="E7537" s="44"/>
      <c r="F7537" s="44"/>
      <c r="G7537" s="44"/>
      <c r="H7537" s="44"/>
      <c r="I7537" s="10">
        <f>ROUNDDOWN(H7552,0)</f>
        <v>1235201</v>
      </c>
      <c r="J7537" s="15"/>
      <c r="K7537" s="39"/>
    </row>
    <row r="7538" spans="3:11" ht="27.6" x14ac:dyDescent="0.3">
      <c r="C7538" s="11" t="s">
        <v>9</v>
      </c>
      <c r="D7538" s="11" t="s">
        <v>10</v>
      </c>
      <c r="E7538" s="11" t="s">
        <v>11</v>
      </c>
      <c r="F7538" s="11" t="s">
        <v>12</v>
      </c>
      <c r="G7538" s="11" t="s">
        <v>13</v>
      </c>
      <c r="H7538" s="11" t="s">
        <v>14</v>
      </c>
    </row>
    <row r="7539" spans="3:11" x14ac:dyDescent="0.25">
      <c r="C7539" s="12" t="s">
        <v>15</v>
      </c>
      <c r="D7539" s="13" t="s">
        <v>16</v>
      </c>
      <c r="E7539" s="14"/>
      <c r="F7539" s="14"/>
      <c r="G7539" s="14"/>
      <c r="H7539" s="14"/>
    </row>
    <row r="7540" spans="3:11" x14ac:dyDescent="0.3">
      <c r="C7540" s="16">
        <v>1</v>
      </c>
      <c r="D7540" s="13" t="s">
        <v>18</v>
      </c>
      <c r="E7540" s="17" t="s">
        <v>19</v>
      </c>
      <c r="F7540" s="18">
        <v>0.19</v>
      </c>
      <c r="G7540" s="19">
        <f>VLOOKUP(D7540,upahbahan,3,FALSE)</f>
        <v>100000</v>
      </c>
      <c r="H7540" s="19">
        <f t="shared" ref="H7540:H7543" si="784">F7540*G7540</f>
        <v>19000</v>
      </c>
    </row>
    <row r="7541" spans="3:11" x14ac:dyDescent="0.3">
      <c r="C7541" s="16">
        <v>2</v>
      </c>
      <c r="D7541" s="13" t="s">
        <v>21</v>
      </c>
      <c r="E7541" s="17" t="s">
        <v>19</v>
      </c>
      <c r="F7541" s="18">
        <v>0.318</v>
      </c>
      <c r="G7541" s="19">
        <f>VLOOKUP(D7541,upahbahan,3,FALSE)</f>
        <v>145000</v>
      </c>
      <c r="H7541" s="19">
        <f t="shared" si="784"/>
        <v>46110</v>
      </c>
    </row>
    <row r="7542" spans="3:11" x14ac:dyDescent="0.3">
      <c r="C7542" s="16">
        <v>3</v>
      </c>
      <c r="D7542" s="13" t="s">
        <v>1224</v>
      </c>
      <c r="E7542" s="17" t="s">
        <v>19</v>
      </c>
      <c r="F7542" s="18">
        <v>3.2000000000000001E-2</v>
      </c>
      <c r="G7542" s="19">
        <f>VLOOKUP(D7542,upahbahan,3,FALSE)</f>
        <v>175000</v>
      </c>
      <c r="H7542" s="19">
        <f t="shared" si="784"/>
        <v>5600</v>
      </c>
    </row>
    <row r="7543" spans="3:11" x14ac:dyDescent="0.3">
      <c r="C7543" s="16">
        <v>4</v>
      </c>
      <c r="D7543" s="13" t="s">
        <v>23</v>
      </c>
      <c r="E7543" s="17" t="s">
        <v>19</v>
      </c>
      <c r="F7543" s="18">
        <v>1.0999999999999999E-2</v>
      </c>
      <c r="G7543" s="19">
        <f>VLOOKUP(D7543,upahbahan,3,FALSE)</f>
        <v>200000</v>
      </c>
      <c r="H7543" s="19">
        <f t="shared" si="784"/>
        <v>2200</v>
      </c>
    </row>
    <row r="7544" spans="3:11" x14ac:dyDescent="0.3">
      <c r="C7544" s="21" t="s">
        <v>24</v>
      </c>
      <c r="D7544" s="22"/>
      <c r="E7544" s="22"/>
      <c r="F7544" s="54"/>
      <c r="G7544" s="24"/>
      <c r="H7544" s="19">
        <f>SUM(H7540:H7543)</f>
        <v>72910</v>
      </c>
      <c r="I7544" s="25"/>
    </row>
    <row r="7545" spans="3:11" x14ac:dyDescent="0.25">
      <c r="C7545" s="12" t="s">
        <v>25</v>
      </c>
      <c r="D7545" s="13" t="s">
        <v>26</v>
      </c>
      <c r="E7545" s="14"/>
      <c r="F7545" s="55"/>
      <c r="G7545" s="14"/>
      <c r="H7545" s="14"/>
    </row>
    <row r="7546" spans="3:11" x14ac:dyDescent="0.25">
      <c r="C7546" s="12">
        <v>1</v>
      </c>
      <c r="D7546" s="13" t="s">
        <v>1416</v>
      </c>
      <c r="E7546" s="53" t="s">
        <v>617</v>
      </c>
      <c r="F7546" s="115">
        <v>1.05</v>
      </c>
      <c r="G7546" s="19">
        <f>VLOOKUP(D7546,upahbahan,3,FALSE)</f>
        <v>1000000</v>
      </c>
      <c r="H7546" s="19">
        <f t="shared" ref="H7546" si="785">F7546*G7546</f>
        <v>1050000</v>
      </c>
    </row>
    <row r="7547" spans="3:11" x14ac:dyDescent="0.3">
      <c r="C7547" s="21" t="s">
        <v>29</v>
      </c>
      <c r="D7547" s="22"/>
      <c r="E7547" s="22" t="s">
        <v>1340</v>
      </c>
      <c r="F7547" s="22"/>
      <c r="G7547" s="28"/>
      <c r="H7547" s="19">
        <f>SUM(H7545:H7546)</f>
        <v>1050000</v>
      </c>
    </row>
    <row r="7548" spans="3:11" x14ac:dyDescent="0.25">
      <c r="C7548" s="12" t="s">
        <v>30</v>
      </c>
      <c r="D7548" s="13" t="s">
        <v>31</v>
      </c>
      <c r="E7548" s="14"/>
      <c r="F7548" s="14"/>
      <c r="G7548" s="14"/>
      <c r="H7548" s="14"/>
    </row>
    <row r="7549" spans="3:11" x14ac:dyDescent="0.3">
      <c r="C7549" s="21" t="s">
        <v>32</v>
      </c>
      <c r="D7549" s="77"/>
      <c r="E7549" s="77"/>
      <c r="F7549" s="77"/>
      <c r="G7549" s="28"/>
      <c r="H7549" s="29">
        <f>SUM(H7548:H7548)</f>
        <v>0</v>
      </c>
    </row>
    <row r="7550" spans="3:11" x14ac:dyDescent="0.3">
      <c r="C7550" s="30" t="s">
        <v>33</v>
      </c>
      <c r="D7550" s="31" t="s">
        <v>34</v>
      </c>
      <c r="E7550" s="32"/>
      <c r="F7550" s="32"/>
      <c r="G7550" s="33"/>
      <c r="H7550" s="46">
        <f>H7549+H7547+H7544</f>
        <v>1122910</v>
      </c>
      <c r="I7550" s="47"/>
    </row>
    <row r="7551" spans="3:11" x14ac:dyDescent="0.3">
      <c r="C7551" s="30" t="s">
        <v>35</v>
      </c>
      <c r="D7551" s="31" t="s">
        <v>36</v>
      </c>
      <c r="E7551" s="32"/>
      <c r="F7551" s="33"/>
      <c r="G7551" s="34">
        <f>$M$9</f>
        <v>0.1</v>
      </c>
      <c r="H7551" s="19">
        <f>H7550*G7551</f>
        <v>112291</v>
      </c>
      <c r="I7551" s="47"/>
    </row>
    <row r="7552" spans="3:11" x14ac:dyDescent="0.3">
      <c r="C7552" s="30" t="s">
        <v>37</v>
      </c>
      <c r="D7552" s="31" t="s">
        <v>38</v>
      </c>
      <c r="E7552" s="32"/>
      <c r="F7552" s="32"/>
      <c r="G7552" s="33"/>
      <c r="H7552" s="48">
        <f>SUM(H7550:H7551)</f>
        <v>1235201</v>
      </c>
      <c r="I7552" s="47"/>
    </row>
    <row r="7554" spans="3:11" x14ac:dyDescent="0.3">
      <c r="C7554" s="56" t="s">
        <v>1417</v>
      </c>
      <c r="D7554" s="69" t="s">
        <v>1418</v>
      </c>
      <c r="E7554" s="58"/>
      <c r="F7554" s="58"/>
      <c r="G7554" s="58"/>
      <c r="H7554" s="58"/>
      <c r="I7554" s="10">
        <f>ROUNDDOWN(H7569,0)</f>
        <v>438042</v>
      </c>
      <c r="J7554" s="15"/>
      <c r="K7554" s="39"/>
    </row>
    <row r="7555" spans="3:11" ht="27.6" x14ac:dyDescent="0.3">
      <c r="C7555" s="11" t="s">
        <v>9</v>
      </c>
      <c r="D7555" s="11" t="s">
        <v>10</v>
      </c>
      <c r="E7555" s="11" t="s">
        <v>11</v>
      </c>
      <c r="F7555" s="11" t="s">
        <v>12</v>
      </c>
      <c r="G7555" s="11" t="s">
        <v>13</v>
      </c>
      <c r="H7555" s="11" t="s">
        <v>14</v>
      </c>
    </row>
    <row r="7556" spans="3:11" x14ac:dyDescent="0.25">
      <c r="C7556" s="12" t="s">
        <v>15</v>
      </c>
      <c r="D7556" s="13" t="s">
        <v>16</v>
      </c>
      <c r="E7556" s="14"/>
      <c r="F7556" s="14"/>
      <c r="G7556" s="14"/>
      <c r="H7556" s="14"/>
    </row>
    <row r="7557" spans="3:11" x14ac:dyDescent="0.3">
      <c r="C7557" s="16">
        <v>1</v>
      </c>
      <c r="D7557" s="13" t="s">
        <v>18</v>
      </c>
      <c r="E7557" s="17" t="s">
        <v>19</v>
      </c>
      <c r="F7557" s="18">
        <v>0.28100000000000003</v>
      </c>
      <c r="G7557" s="19">
        <f>VLOOKUP(D7557,upahbahan,3,FALSE)</f>
        <v>100000</v>
      </c>
      <c r="H7557" s="19">
        <f t="shared" ref="H7557:H7560" si="786">F7557*G7557</f>
        <v>28100.000000000004</v>
      </c>
    </row>
    <row r="7558" spans="3:11" x14ac:dyDescent="0.3">
      <c r="C7558" s="16">
        <v>2</v>
      </c>
      <c r="D7558" s="13" t="s">
        <v>21</v>
      </c>
      <c r="E7558" s="17" t="s">
        <v>19</v>
      </c>
      <c r="F7558" s="18">
        <v>0.63600000000000001</v>
      </c>
      <c r="G7558" s="19">
        <f>VLOOKUP(D7558,upahbahan,3,FALSE)</f>
        <v>145000</v>
      </c>
      <c r="H7558" s="19">
        <f t="shared" si="786"/>
        <v>92220</v>
      </c>
    </row>
    <row r="7559" spans="3:11" x14ac:dyDescent="0.3">
      <c r="C7559" s="16">
        <v>3</v>
      </c>
      <c r="D7559" s="13" t="s">
        <v>1224</v>
      </c>
      <c r="E7559" s="17" t="s">
        <v>19</v>
      </c>
      <c r="F7559" s="18">
        <v>6.4000000000000001E-2</v>
      </c>
      <c r="G7559" s="19">
        <f>VLOOKUP(D7559,upahbahan,3,FALSE)</f>
        <v>175000</v>
      </c>
      <c r="H7559" s="19">
        <f t="shared" si="786"/>
        <v>11200</v>
      </c>
    </row>
    <row r="7560" spans="3:11" x14ac:dyDescent="0.3">
      <c r="C7560" s="16">
        <v>4</v>
      </c>
      <c r="D7560" s="13" t="s">
        <v>23</v>
      </c>
      <c r="E7560" s="17" t="s">
        <v>19</v>
      </c>
      <c r="F7560" s="18">
        <v>2.1000000000000001E-2</v>
      </c>
      <c r="G7560" s="19">
        <f>VLOOKUP(D7560,upahbahan,3,FALSE)</f>
        <v>200000</v>
      </c>
      <c r="H7560" s="19">
        <f t="shared" si="786"/>
        <v>4200</v>
      </c>
    </row>
    <row r="7561" spans="3:11" x14ac:dyDescent="0.3">
      <c r="C7561" s="21" t="s">
        <v>24</v>
      </c>
      <c r="D7561" s="22"/>
      <c r="E7561" s="22"/>
      <c r="F7561" s="54"/>
      <c r="G7561" s="24"/>
      <c r="H7561" s="19">
        <f>SUM(H7557:H7560)</f>
        <v>135720</v>
      </c>
      <c r="I7561" s="25"/>
    </row>
    <row r="7562" spans="3:11" x14ac:dyDescent="0.25">
      <c r="C7562" s="12" t="s">
        <v>25</v>
      </c>
      <c r="D7562" s="13" t="s">
        <v>26</v>
      </c>
      <c r="E7562" s="14"/>
      <c r="F7562" s="55"/>
      <c r="G7562" s="14"/>
      <c r="H7562" s="14"/>
    </row>
    <row r="7563" spans="3:11" x14ac:dyDescent="0.25">
      <c r="C7563" s="12">
        <v>1</v>
      </c>
      <c r="D7563" s="13" t="s">
        <v>1419</v>
      </c>
      <c r="E7563" s="53" t="s">
        <v>617</v>
      </c>
      <c r="F7563" s="115">
        <v>1.05</v>
      </c>
      <c r="G7563" s="19">
        <f>VLOOKUP(D7563,upahbahan,3,FALSE)</f>
        <v>250000</v>
      </c>
      <c r="H7563" s="19">
        <f t="shared" ref="H7563" si="787">F7563*G7563</f>
        <v>262500</v>
      </c>
    </row>
    <row r="7564" spans="3:11" x14ac:dyDescent="0.3">
      <c r="C7564" s="21" t="s">
        <v>29</v>
      </c>
      <c r="D7564" s="22"/>
      <c r="E7564" s="22" t="s">
        <v>1340</v>
      </c>
      <c r="F7564" s="22"/>
      <c r="G7564" s="28"/>
      <c r="H7564" s="19">
        <f>SUM(H7562:H7563)</f>
        <v>262500</v>
      </c>
    </row>
    <row r="7565" spans="3:11" x14ac:dyDescent="0.25">
      <c r="C7565" s="12" t="s">
        <v>30</v>
      </c>
      <c r="D7565" s="13" t="s">
        <v>31</v>
      </c>
      <c r="E7565" s="14"/>
      <c r="F7565" s="14"/>
      <c r="G7565" s="14"/>
      <c r="H7565" s="14"/>
    </row>
    <row r="7566" spans="3:11" x14ac:dyDescent="0.3">
      <c r="C7566" s="21" t="s">
        <v>32</v>
      </c>
      <c r="D7566" s="77"/>
      <c r="E7566" s="77"/>
      <c r="F7566" s="77"/>
      <c r="G7566" s="28"/>
      <c r="H7566" s="29">
        <f>SUM(H7565:H7565)</f>
        <v>0</v>
      </c>
    </row>
    <row r="7567" spans="3:11" x14ac:dyDescent="0.3">
      <c r="C7567" s="30" t="s">
        <v>33</v>
      </c>
      <c r="D7567" s="31" t="s">
        <v>34</v>
      </c>
      <c r="E7567" s="32"/>
      <c r="F7567" s="32"/>
      <c r="G7567" s="33"/>
      <c r="H7567" s="46">
        <f>H7566+H7564+H7561</f>
        <v>398220</v>
      </c>
      <c r="I7567" s="47"/>
    </row>
    <row r="7568" spans="3:11" x14ac:dyDescent="0.3">
      <c r="C7568" s="30" t="s">
        <v>35</v>
      </c>
      <c r="D7568" s="31" t="s">
        <v>36</v>
      </c>
      <c r="E7568" s="32"/>
      <c r="F7568" s="33"/>
      <c r="G7568" s="34">
        <f>$M$9</f>
        <v>0.1</v>
      </c>
      <c r="H7568" s="19">
        <f>H7567*G7568</f>
        <v>39822</v>
      </c>
      <c r="I7568" s="47"/>
    </row>
    <row r="7569" spans="3:11" x14ac:dyDescent="0.3">
      <c r="C7569" s="30" t="s">
        <v>37</v>
      </c>
      <c r="D7569" s="31" t="s">
        <v>38</v>
      </c>
      <c r="E7569" s="32"/>
      <c r="F7569" s="32"/>
      <c r="G7569" s="33"/>
      <c r="H7569" s="48">
        <f>SUM(H7567:H7568)</f>
        <v>438042</v>
      </c>
      <c r="I7569" s="47"/>
    </row>
    <row r="7571" spans="3:11" x14ac:dyDescent="0.3">
      <c r="C7571" s="40" t="s">
        <v>1420</v>
      </c>
      <c r="D7571" s="68" t="s">
        <v>1421</v>
      </c>
      <c r="E7571" s="44"/>
      <c r="F7571" s="44"/>
      <c r="G7571" s="44"/>
      <c r="H7571" s="44"/>
      <c r="I7571" s="10">
        <f>ROUNDDOWN(H7586,0)</f>
        <v>310354</v>
      </c>
      <c r="J7571" s="15"/>
      <c r="K7571" s="39"/>
    </row>
    <row r="7572" spans="3:11" ht="27.6" x14ac:dyDescent="0.3">
      <c r="C7572" s="11" t="s">
        <v>9</v>
      </c>
      <c r="D7572" s="11" t="s">
        <v>10</v>
      </c>
      <c r="E7572" s="11" t="s">
        <v>11</v>
      </c>
      <c r="F7572" s="11" t="s">
        <v>12</v>
      </c>
      <c r="G7572" s="11" t="s">
        <v>13</v>
      </c>
      <c r="H7572" s="11" t="s">
        <v>14</v>
      </c>
    </row>
    <row r="7573" spans="3:11" x14ac:dyDescent="0.25">
      <c r="C7573" s="12" t="s">
        <v>15</v>
      </c>
      <c r="D7573" s="13" t="s">
        <v>16</v>
      </c>
      <c r="E7573" s="14"/>
      <c r="F7573" s="14"/>
      <c r="G7573" s="14"/>
      <c r="H7573" s="14"/>
    </row>
    <row r="7574" spans="3:11" x14ac:dyDescent="0.3">
      <c r="C7574" s="16">
        <v>1</v>
      </c>
      <c r="D7574" s="13" t="s">
        <v>18</v>
      </c>
      <c r="E7574" s="17" t="s">
        <v>19</v>
      </c>
      <c r="F7574" s="18">
        <v>6.4000000000000001E-2</v>
      </c>
      <c r="G7574" s="19">
        <f>VLOOKUP(D7574,upahbahan,3,FALSE)</f>
        <v>100000</v>
      </c>
      <c r="H7574" s="19">
        <f t="shared" ref="H7574:H7577" si="788">F7574*G7574</f>
        <v>6400</v>
      </c>
    </row>
    <row r="7575" spans="3:11" x14ac:dyDescent="0.3">
      <c r="C7575" s="16">
        <v>2</v>
      </c>
      <c r="D7575" s="13" t="s">
        <v>21</v>
      </c>
      <c r="E7575" s="17" t="s">
        <v>19</v>
      </c>
      <c r="F7575" s="18">
        <v>0.107</v>
      </c>
      <c r="G7575" s="19">
        <f>VLOOKUP(D7575,upahbahan,3,FALSE)</f>
        <v>145000</v>
      </c>
      <c r="H7575" s="19">
        <f t="shared" si="788"/>
        <v>15515</v>
      </c>
    </row>
    <row r="7576" spans="3:11" x14ac:dyDescent="0.3">
      <c r="C7576" s="16">
        <v>3</v>
      </c>
      <c r="D7576" s="13" t="s">
        <v>1224</v>
      </c>
      <c r="E7576" s="17" t="s">
        <v>19</v>
      </c>
      <c r="F7576" s="18">
        <v>1.0999999999999999E-2</v>
      </c>
      <c r="G7576" s="19">
        <f>VLOOKUP(D7576,upahbahan,3,FALSE)</f>
        <v>175000</v>
      </c>
      <c r="H7576" s="19">
        <f t="shared" si="788"/>
        <v>1925</v>
      </c>
    </row>
    <row r="7577" spans="3:11" x14ac:dyDescent="0.3">
      <c r="C7577" s="16">
        <v>4</v>
      </c>
      <c r="D7577" s="13" t="s">
        <v>23</v>
      </c>
      <c r="E7577" s="17" t="s">
        <v>19</v>
      </c>
      <c r="F7577" s="18">
        <v>4.0000000000000001E-3</v>
      </c>
      <c r="G7577" s="19">
        <f>VLOOKUP(D7577,upahbahan,3,FALSE)</f>
        <v>200000</v>
      </c>
      <c r="H7577" s="19">
        <f t="shared" si="788"/>
        <v>800</v>
      </c>
    </row>
    <row r="7578" spans="3:11" x14ac:dyDescent="0.3">
      <c r="C7578" s="21" t="s">
        <v>24</v>
      </c>
      <c r="D7578" s="22"/>
      <c r="E7578" s="22"/>
      <c r="F7578" s="54"/>
      <c r="G7578" s="24"/>
      <c r="H7578" s="19">
        <f>SUM(H7574:H7577)</f>
        <v>24640</v>
      </c>
      <c r="I7578" s="25"/>
    </row>
    <row r="7579" spans="3:11" x14ac:dyDescent="0.25">
      <c r="C7579" s="12" t="s">
        <v>25</v>
      </c>
      <c r="D7579" s="13" t="s">
        <v>26</v>
      </c>
      <c r="E7579" s="14"/>
      <c r="F7579" s="55"/>
      <c r="G7579" s="14"/>
      <c r="H7579" s="14"/>
    </row>
    <row r="7580" spans="3:11" x14ac:dyDescent="0.25">
      <c r="C7580" s="12">
        <v>1</v>
      </c>
      <c r="D7580" s="13" t="s">
        <v>1422</v>
      </c>
      <c r="E7580" s="53" t="s">
        <v>617</v>
      </c>
      <c r="F7580" s="115">
        <v>1.03</v>
      </c>
      <c r="G7580" s="19">
        <f>VLOOKUP(D7580,upahbahan,3,FALSE)</f>
        <v>250000</v>
      </c>
      <c r="H7580" s="19">
        <f t="shared" ref="H7580" si="789">F7580*G7580</f>
        <v>257500</v>
      </c>
    </row>
    <row r="7581" spans="3:11" x14ac:dyDescent="0.3">
      <c r="C7581" s="21" t="s">
        <v>29</v>
      </c>
      <c r="D7581" s="22"/>
      <c r="E7581" s="22" t="s">
        <v>1340</v>
      </c>
      <c r="F7581" s="22"/>
      <c r="G7581" s="28"/>
      <c r="H7581" s="19">
        <f>SUM(H7579:H7580)</f>
        <v>257500</v>
      </c>
    </row>
    <row r="7582" spans="3:11" x14ac:dyDescent="0.25">
      <c r="C7582" s="12" t="s">
        <v>30</v>
      </c>
      <c r="D7582" s="13" t="s">
        <v>31</v>
      </c>
      <c r="E7582" s="14"/>
      <c r="F7582" s="14"/>
      <c r="G7582" s="14"/>
      <c r="H7582" s="14"/>
    </row>
    <row r="7583" spans="3:11" x14ac:dyDescent="0.3">
      <c r="C7583" s="21" t="s">
        <v>32</v>
      </c>
      <c r="D7583" s="77"/>
      <c r="E7583" s="77"/>
      <c r="F7583" s="77"/>
      <c r="G7583" s="28"/>
      <c r="H7583" s="29">
        <f>SUM(H7582:H7582)</f>
        <v>0</v>
      </c>
    </row>
    <row r="7584" spans="3:11" x14ac:dyDescent="0.3">
      <c r="C7584" s="30" t="s">
        <v>33</v>
      </c>
      <c r="D7584" s="31" t="s">
        <v>34</v>
      </c>
      <c r="E7584" s="32"/>
      <c r="F7584" s="32"/>
      <c r="G7584" s="33"/>
      <c r="H7584" s="46">
        <f>H7583+H7581+H7578</f>
        <v>282140</v>
      </c>
      <c r="I7584" s="47"/>
    </row>
    <row r="7585" spans="3:11" x14ac:dyDescent="0.3">
      <c r="C7585" s="30" t="s">
        <v>35</v>
      </c>
      <c r="D7585" s="31" t="s">
        <v>36</v>
      </c>
      <c r="E7585" s="32"/>
      <c r="F7585" s="33"/>
      <c r="G7585" s="34">
        <f>$M$9</f>
        <v>0.1</v>
      </c>
      <c r="H7585" s="19">
        <f>H7584*G7585</f>
        <v>28214</v>
      </c>
      <c r="I7585" s="47"/>
    </row>
    <row r="7586" spans="3:11" x14ac:dyDescent="0.3">
      <c r="C7586" s="30" t="s">
        <v>37</v>
      </c>
      <c r="D7586" s="31" t="s">
        <v>38</v>
      </c>
      <c r="E7586" s="32"/>
      <c r="F7586" s="32"/>
      <c r="G7586" s="33"/>
      <c r="H7586" s="48">
        <f>SUM(H7584:H7585)</f>
        <v>310354</v>
      </c>
      <c r="I7586" s="47"/>
    </row>
    <row r="7588" spans="3:11" x14ac:dyDescent="0.3">
      <c r="C7588" s="40" t="s">
        <v>1423</v>
      </c>
      <c r="D7588" s="68" t="s">
        <v>1424</v>
      </c>
      <c r="E7588" s="44"/>
      <c r="F7588" s="44"/>
      <c r="G7588" s="44"/>
      <c r="H7588" s="44"/>
      <c r="I7588" s="10">
        <f>ROUNDDOWN(H7603,0)</f>
        <v>310354</v>
      </c>
      <c r="J7588" s="15"/>
      <c r="K7588" s="39"/>
    </row>
    <row r="7589" spans="3:11" ht="27.6" x14ac:dyDescent="0.3">
      <c r="C7589" s="11" t="s">
        <v>9</v>
      </c>
      <c r="D7589" s="11" t="s">
        <v>10</v>
      </c>
      <c r="E7589" s="11" t="s">
        <v>11</v>
      </c>
      <c r="F7589" s="11" t="s">
        <v>12</v>
      </c>
      <c r="G7589" s="11" t="s">
        <v>13</v>
      </c>
      <c r="H7589" s="11" t="s">
        <v>14</v>
      </c>
    </row>
    <row r="7590" spans="3:11" x14ac:dyDescent="0.25">
      <c r="C7590" s="12" t="s">
        <v>15</v>
      </c>
      <c r="D7590" s="13" t="s">
        <v>16</v>
      </c>
      <c r="E7590" s="14"/>
      <c r="F7590" s="14"/>
      <c r="G7590" s="14"/>
      <c r="H7590" s="14"/>
    </row>
    <row r="7591" spans="3:11" x14ac:dyDescent="0.3">
      <c r="C7591" s="16">
        <v>1</v>
      </c>
      <c r="D7591" s="13" t="s">
        <v>18</v>
      </c>
      <c r="E7591" s="17" t="s">
        <v>19</v>
      </c>
      <c r="F7591" s="18">
        <v>6.4000000000000001E-2</v>
      </c>
      <c r="G7591" s="19">
        <f>VLOOKUP(D7591,upahbahan,3,FALSE)</f>
        <v>100000</v>
      </c>
      <c r="H7591" s="19">
        <f t="shared" ref="H7591:H7594" si="790">F7591*G7591</f>
        <v>6400</v>
      </c>
    </row>
    <row r="7592" spans="3:11" x14ac:dyDescent="0.3">
      <c r="C7592" s="16">
        <v>2</v>
      </c>
      <c r="D7592" s="13" t="s">
        <v>21</v>
      </c>
      <c r="E7592" s="17" t="s">
        <v>19</v>
      </c>
      <c r="F7592" s="18">
        <v>0.107</v>
      </c>
      <c r="G7592" s="19">
        <f>VLOOKUP(D7592,upahbahan,3,FALSE)</f>
        <v>145000</v>
      </c>
      <c r="H7592" s="19">
        <f t="shared" si="790"/>
        <v>15515</v>
      </c>
    </row>
    <row r="7593" spans="3:11" x14ac:dyDescent="0.3">
      <c r="C7593" s="16">
        <v>3</v>
      </c>
      <c r="D7593" s="13" t="s">
        <v>1224</v>
      </c>
      <c r="E7593" s="17" t="s">
        <v>19</v>
      </c>
      <c r="F7593" s="18">
        <v>1.0999999999999999E-2</v>
      </c>
      <c r="G7593" s="19">
        <f>VLOOKUP(D7593,upahbahan,3,FALSE)</f>
        <v>175000</v>
      </c>
      <c r="H7593" s="19">
        <f t="shared" si="790"/>
        <v>1925</v>
      </c>
    </row>
    <row r="7594" spans="3:11" x14ac:dyDescent="0.3">
      <c r="C7594" s="16">
        <v>4</v>
      </c>
      <c r="D7594" s="13" t="s">
        <v>23</v>
      </c>
      <c r="E7594" s="17" t="s">
        <v>19</v>
      </c>
      <c r="F7594" s="18">
        <v>4.0000000000000001E-3</v>
      </c>
      <c r="G7594" s="19">
        <f>VLOOKUP(D7594,upahbahan,3,FALSE)</f>
        <v>200000</v>
      </c>
      <c r="H7594" s="19">
        <f t="shared" si="790"/>
        <v>800</v>
      </c>
    </row>
    <row r="7595" spans="3:11" x14ac:dyDescent="0.3">
      <c r="C7595" s="21" t="s">
        <v>24</v>
      </c>
      <c r="D7595" s="22"/>
      <c r="E7595" s="22"/>
      <c r="F7595" s="54"/>
      <c r="G7595" s="24"/>
      <c r="H7595" s="19">
        <f>SUM(H7591:H7594)</f>
        <v>24640</v>
      </c>
      <c r="I7595" s="25"/>
    </row>
    <row r="7596" spans="3:11" x14ac:dyDescent="0.25">
      <c r="C7596" s="12" t="s">
        <v>25</v>
      </c>
      <c r="D7596" s="13" t="s">
        <v>26</v>
      </c>
      <c r="E7596" s="14"/>
      <c r="F7596" s="55"/>
      <c r="G7596" s="14"/>
      <c r="H7596" s="14"/>
    </row>
    <row r="7597" spans="3:11" x14ac:dyDescent="0.25">
      <c r="C7597" s="12">
        <v>1</v>
      </c>
      <c r="D7597" s="13" t="s">
        <v>1422</v>
      </c>
      <c r="E7597" s="53" t="s">
        <v>617</v>
      </c>
      <c r="F7597" s="115">
        <v>1.03</v>
      </c>
      <c r="G7597" s="19">
        <f>VLOOKUP(D7597,upahbahan,3,FALSE)</f>
        <v>250000</v>
      </c>
      <c r="H7597" s="19">
        <f t="shared" ref="H7597" si="791">F7597*G7597</f>
        <v>257500</v>
      </c>
    </row>
    <row r="7598" spans="3:11" x14ac:dyDescent="0.3">
      <c r="C7598" s="21" t="s">
        <v>29</v>
      </c>
      <c r="D7598" s="22"/>
      <c r="E7598" s="22" t="s">
        <v>1340</v>
      </c>
      <c r="F7598" s="22"/>
      <c r="G7598" s="28"/>
      <c r="H7598" s="19">
        <f>SUM(H7596:H7597)</f>
        <v>257500</v>
      </c>
    </row>
    <row r="7599" spans="3:11" x14ac:dyDescent="0.25">
      <c r="C7599" s="12" t="s">
        <v>30</v>
      </c>
      <c r="D7599" s="13" t="s">
        <v>31</v>
      </c>
      <c r="E7599" s="14"/>
      <c r="F7599" s="14"/>
      <c r="G7599" s="14"/>
      <c r="H7599" s="14"/>
    </row>
    <row r="7600" spans="3:11" x14ac:dyDescent="0.3">
      <c r="C7600" s="21" t="s">
        <v>32</v>
      </c>
      <c r="D7600" s="77"/>
      <c r="E7600" s="77"/>
      <c r="F7600" s="77"/>
      <c r="G7600" s="28"/>
      <c r="H7600" s="29">
        <f>SUM(H7599:H7599)</f>
        <v>0</v>
      </c>
    </row>
    <row r="7601" spans="3:11" x14ac:dyDescent="0.3">
      <c r="C7601" s="30" t="s">
        <v>33</v>
      </c>
      <c r="D7601" s="31" t="s">
        <v>34</v>
      </c>
      <c r="E7601" s="32"/>
      <c r="F7601" s="32"/>
      <c r="G7601" s="33"/>
      <c r="H7601" s="46">
        <f>H7600+H7598+H7595</f>
        <v>282140</v>
      </c>
      <c r="I7601" s="47"/>
    </row>
    <row r="7602" spans="3:11" x14ac:dyDescent="0.3">
      <c r="C7602" s="30" t="s">
        <v>35</v>
      </c>
      <c r="D7602" s="31" t="s">
        <v>36</v>
      </c>
      <c r="E7602" s="32"/>
      <c r="F7602" s="33"/>
      <c r="G7602" s="34">
        <f>$M$9</f>
        <v>0.1</v>
      </c>
      <c r="H7602" s="19">
        <f>H7601*G7602</f>
        <v>28214</v>
      </c>
      <c r="I7602" s="47"/>
    </row>
    <row r="7603" spans="3:11" x14ac:dyDescent="0.3">
      <c r="C7603" s="30" t="s">
        <v>37</v>
      </c>
      <c r="D7603" s="31" t="s">
        <v>38</v>
      </c>
      <c r="E7603" s="32"/>
      <c r="F7603" s="32"/>
      <c r="G7603" s="33"/>
      <c r="H7603" s="48">
        <f>SUM(H7601:H7602)</f>
        <v>310354</v>
      </c>
      <c r="I7603" s="47"/>
    </row>
    <row r="7605" spans="3:11" x14ac:dyDescent="0.3">
      <c r="C7605" s="40" t="s">
        <v>1425</v>
      </c>
      <c r="D7605" s="68" t="s">
        <v>1426</v>
      </c>
      <c r="E7605" s="44"/>
      <c r="F7605" s="44"/>
      <c r="G7605" s="44"/>
      <c r="H7605" s="44"/>
      <c r="I7605" s="10">
        <f>ROUNDDOWN(H7620,0)</f>
        <v>1202982</v>
      </c>
      <c r="J7605" s="15"/>
      <c r="K7605" s="39"/>
    </row>
    <row r="7606" spans="3:11" ht="27.6" x14ac:dyDescent="0.3">
      <c r="C7606" s="11" t="s">
        <v>9</v>
      </c>
      <c r="D7606" s="11" t="s">
        <v>10</v>
      </c>
      <c r="E7606" s="11" t="s">
        <v>11</v>
      </c>
      <c r="F7606" s="11" t="s">
        <v>12</v>
      </c>
      <c r="G7606" s="11" t="s">
        <v>13</v>
      </c>
      <c r="H7606" s="11" t="s">
        <v>14</v>
      </c>
    </row>
    <row r="7607" spans="3:11" x14ac:dyDescent="0.25">
      <c r="C7607" s="12" t="s">
        <v>15</v>
      </c>
      <c r="D7607" s="13" t="s">
        <v>16</v>
      </c>
      <c r="E7607" s="14"/>
      <c r="F7607" s="14"/>
      <c r="G7607" s="14"/>
      <c r="H7607" s="14"/>
    </row>
    <row r="7608" spans="3:11" x14ac:dyDescent="0.3">
      <c r="C7608" s="16">
        <v>1</v>
      </c>
      <c r="D7608" s="13" t="s">
        <v>18</v>
      </c>
      <c r="E7608" s="17" t="s">
        <v>19</v>
      </c>
      <c r="F7608" s="18">
        <v>0.114</v>
      </c>
      <c r="G7608" s="19">
        <f>VLOOKUP(D7608,upahbahan,3,FALSE)</f>
        <v>100000</v>
      </c>
      <c r="H7608" s="19">
        <f t="shared" ref="H7608:H7611" si="792">F7608*G7608</f>
        <v>11400</v>
      </c>
    </row>
    <row r="7609" spans="3:11" x14ac:dyDescent="0.3">
      <c r="C7609" s="16">
        <v>2</v>
      </c>
      <c r="D7609" s="13" t="s">
        <v>21</v>
      </c>
      <c r="E7609" s="17" t="s">
        <v>19</v>
      </c>
      <c r="F7609" s="18">
        <v>0.191</v>
      </c>
      <c r="G7609" s="19">
        <f>VLOOKUP(D7609,upahbahan,3,FALSE)</f>
        <v>145000</v>
      </c>
      <c r="H7609" s="19">
        <f t="shared" si="792"/>
        <v>27695</v>
      </c>
    </row>
    <row r="7610" spans="3:11" x14ac:dyDescent="0.3">
      <c r="C7610" s="16">
        <v>3</v>
      </c>
      <c r="D7610" s="13" t="s">
        <v>1224</v>
      </c>
      <c r="E7610" s="17" t="s">
        <v>19</v>
      </c>
      <c r="F7610" s="18">
        <v>1.9E-2</v>
      </c>
      <c r="G7610" s="19">
        <f>VLOOKUP(D7610,upahbahan,3,FALSE)</f>
        <v>175000</v>
      </c>
      <c r="H7610" s="19">
        <f t="shared" si="792"/>
        <v>3325</v>
      </c>
    </row>
    <row r="7611" spans="3:11" x14ac:dyDescent="0.3">
      <c r="C7611" s="16">
        <v>4</v>
      </c>
      <c r="D7611" s="13" t="s">
        <v>23</v>
      </c>
      <c r="E7611" s="17" t="s">
        <v>19</v>
      </c>
      <c r="F7611" s="18">
        <v>6.0000000000000001E-3</v>
      </c>
      <c r="G7611" s="19">
        <f>VLOOKUP(D7611,upahbahan,3,FALSE)</f>
        <v>200000</v>
      </c>
      <c r="H7611" s="19">
        <f t="shared" si="792"/>
        <v>1200</v>
      </c>
    </row>
    <row r="7612" spans="3:11" x14ac:dyDescent="0.3">
      <c r="C7612" s="21" t="s">
        <v>24</v>
      </c>
      <c r="D7612" s="22"/>
      <c r="E7612" s="22"/>
      <c r="F7612" s="54"/>
      <c r="G7612" s="24"/>
      <c r="H7612" s="19">
        <f>SUM(H7608:H7611)</f>
        <v>43620</v>
      </c>
      <c r="I7612" s="25"/>
    </row>
    <row r="7613" spans="3:11" x14ac:dyDescent="0.25">
      <c r="C7613" s="12" t="s">
        <v>25</v>
      </c>
      <c r="D7613" s="13" t="s">
        <v>26</v>
      </c>
      <c r="E7613" s="14"/>
      <c r="F7613" s="55"/>
      <c r="G7613" s="14"/>
      <c r="H7613" s="14"/>
    </row>
    <row r="7614" spans="3:11" x14ac:dyDescent="0.25">
      <c r="C7614" s="12">
        <v>1</v>
      </c>
      <c r="D7614" s="13" t="s">
        <v>1427</v>
      </c>
      <c r="E7614" s="53" t="s">
        <v>617</v>
      </c>
      <c r="F7614" s="115">
        <v>1.05</v>
      </c>
      <c r="G7614" s="19">
        <f>VLOOKUP(D7614,upahbahan,3,FALSE)</f>
        <v>1000000</v>
      </c>
      <c r="H7614" s="19">
        <f t="shared" ref="H7614" si="793">F7614*G7614</f>
        <v>1050000</v>
      </c>
    </row>
    <row r="7615" spans="3:11" x14ac:dyDescent="0.3">
      <c r="C7615" s="21" t="s">
        <v>29</v>
      </c>
      <c r="D7615" s="22"/>
      <c r="E7615" s="22" t="s">
        <v>1340</v>
      </c>
      <c r="F7615" s="22"/>
      <c r="G7615" s="28"/>
      <c r="H7615" s="19">
        <f>SUM(H7613:H7614)</f>
        <v>1050000</v>
      </c>
    </row>
    <row r="7616" spans="3:11" x14ac:dyDescent="0.25">
      <c r="C7616" s="12" t="s">
        <v>30</v>
      </c>
      <c r="D7616" s="13" t="s">
        <v>31</v>
      </c>
      <c r="E7616" s="14"/>
      <c r="F7616" s="14"/>
      <c r="G7616" s="14"/>
      <c r="H7616" s="14"/>
    </row>
    <row r="7617" spans="3:11" x14ac:dyDescent="0.3">
      <c r="C7617" s="21" t="s">
        <v>32</v>
      </c>
      <c r="D7617" s="77"/>
      <c r="E7617" s="77"/>
      <c r="F7617" s="77"/>
      <c r="G7617" s="28"/>
      <c r="H7617" s="29">
        <f>SUM(H7616:H7616)</f>
        <v>0</v>
      </c>
    </row>
    <row r="7618" spans="3:11" x14ac:dyDescent="0.3">
      <c r="C7618" s="30" t="s">
        <v>33</v>
      </c>
      <c r="D7618" s="31" t="s">
        <v>34</v>
      </c>
      <c r="E7618" s="32"/>
      <c r="F7618" s="32"/>
      <c r="G7618" s="33"/>
      <c r="H7618" s="46">
        <f>H7617+H7615+H7612</f>
        <v>1093620</v>
      </c>
      <c r="I7618" s="47"/>
    </row>
    <row r="7619" spans="3:11" x14ac:dyDescent="0.3">
      <c r="C7619" s="30" t="s">
        <v>35</v>
      </c>
      <c r="D7619" s="31" t="s">
        <v>36</v>
      </c>
      <c r="E7619" s="32"/>
      <c r="F7619" s="33"/>
      <c r="G7619" s="34">
        <f>$M$9</f>
        <v>0.1</v>
      </c>
      <c r="H7619" s="19">
        <f>H7618*G7619</f>
        <v>109362</v>
      </c>
      <c r="I7619" s="47"/>
    </row>
    <row r="7620" spans="3:11" x14ac:dyDescent="0.3">
      <c r="C7620" s="30" t="s">
        <v>37</v>
      </c>
      <c r="D7620" s="31" t="s">
        <v>38</v>
      </c>
      <c r="E7620" s="32"/>
      <c r="F7620" s="32"/>
      <c r="G7620" s="33"/>
      <c r="H7620" s="48">
        <f>SUM(H7618:H7619)</f>
        <v>1202982</v>
      </c>
      <c r="I7620" s="47"/>
    </row>
    <row r="7623" spans="3:11" x14ac:dyDescent="0.3">
      <c r="C7623" s="40" t="s">
        <v>1428</v>
      </c>
      <c r="D7623" s="68" t="s">
        <v>1429</v>
      </c>
      <c r="E7623" s="44"/>
      <c r="F7623" s="44"/>
      <c r="G7623" s="44"/>
      <c r="H7623" s="44"/>
      <c r="I7623" s="10">
        <f>ROUNDDOWN(H7638,0)</f>
        <v>771199</v>
      </c>
      <c r="J7623" s="15"/>
      <c r="K7623" s="39"/>
    </row>
    <row r="7624" spans="3:11" ht="27.6" x14ac:dyDescent="0.3">
      <c r="C7624" s="11" t="s">
        <v>9</v>
      </c>
      <c r="D7624" s="11" t="s">
        <v>10</v>
      </c>
      <c r="E7624" s="11" t="s">
        <v>11</v>
      </c>
      <c r="F7624" s="11" t="s">
        <v>12</v>
      </c>
      <c r="G7624" s="11" t="s">
        <v>13</v>
      </c>
      <c r="H7624" s="11" t="s">
        <v>14</v>
      </c>
    </row>
    <row r="7625" spans="3:11" x14ac:dyDescent="0.25">
      <c r="C7625" s="12" t="s">
        <v>15</v>
      </c>
      <c r="D7625" s="13" t="s">
        <v>16</v>
      </c>
      <c r="E7625" s="14"/>
      <c r="F7625" s="14"/>
      <c r="G7625" s="14"/>
      <c r="H7625" s="14"/>
    </row>
    <row r="7626" spans="3:11" x14ac:dyDescent="0.3">
      <c r="C7626" s="16">
        <v>1</v>
      </c>
      <c r="D7626" s="13" t="s">
        <v>18</v>
      </c>
      <c r="E7626" s="17" t="s">
        <v>19</v>
      </c>
      <c r="F7626" s="18">
        <v>7.5999999999999998E-2</v>
      </c>
      <c r="G7626" s="19">
        <f>VLOOKUP(D7626,upahbahan,3,FALSE)</f>
        <v>100000</v>
      </c>
      <c r="H7626" s="19">
        <f t="shared" ref="H7626:H7629" si="794">F7626*G7626</f>
        <v>7600</v>
      </c>
    </row>
    <row r="7627" spans="3:11" x14ac:dyDescent="0.3">
      <c r="C7627" s="16">
        <v>2</v>
      </c>
      <c r="D7627" s="13" t="s">
        <v>21</v>
      </c>
      <c r="E7627" s="17" t="s">
        <v>19</v>
      </c>
      <c r="F7627" s="18">
        <v>0.127</v>
      </c>
      <c r="G7627" s="19">
        <f>VLOOKUP(D7627,upahbahan,3,FALSE)</f>
        <v>145000</v>
      </c>
      <c r="H7627" s="19">
        <f t="shared" si="794"/>
        <v>18415</v>
      </c>
    </row>
    <row r="7628" spans="3:11" x14ac:dyDescent="0.3">
      <c r="C7628" s="16">
        <v>3</v>
      </c>
      <c r="D7628" s="13" t="s">
        <v>1224</v>
      </c>
      <c r="E7628" s="17" t="s">
        <v>19</v>
      </c>
      <c r="F7628" s="18">
        <v>1.2999999999999999E-2</v>
      </c>
      <c r="G7628" s="19">
        <f>VLOOKUP(D7628,upahbahan,3,FALSE)</f>
        <v>175000</v>
      </c>
      <c r="H7628" s="19">
        <f t="shared" si="794"/>
        <v>2275</v>
      </c>
    </row>
    <row r="7629" spans="3:11" x14ac:dyDescent="0.3">
      <c r="C7629" s="16">
        <v>4</v>
      </c>
      <c r="D7629" s="13" t="s">
        <v>23</v>
      </c>
      <c r="E7629" s="17" t="s">
        <v>19</v>
      </c>
      <c r="F7629" s="18">
        <v>4.0000000000000001E-3</v>
      </c>
      <c r="G7629" s="19">
        <f>VLOOKUP(D7629,upahbahan,3,FALSE)</f>
        <v>200000</v>
      </c>
      <c r="H7629" s="19">
        <f t="shared" si="794"/>
        <v>800</v>
      </c>
    </row>
    <row r="7630" spans="3:11" x14ac:dyDescent="0.3">
      <c r="C7630" s="21" t="s">
        <v>24</v>
      </c>
      <c r="D7630" s="22"/>
      <c r="E7630" s="22"/>
      <c r="F7630" s="54"/>
      <c r="G7630" s="24"/>
      <c r="H7630" s="19">
        <f>SUM(H7626:H7629)</f>
        <v>29090</v>
      </c>
      <c r="I7630" s="25"/>
    </row>
    <row r="7631" spans="3:11" x14ac:dyDescent="0.25">
      <c r="C7631" s="12" t="s">
        <v>25</v>
      </c>
      <c r="D7631" s="13" t="s">
        <v>26</v>
      </c>
      <c r="E7631" s="14"/>
      <c r="F7631" s="55"/>
      <c r="G7631" s="14"/>
      <c r="H7631" s="14"/>
    </row>
    <row r="7632" spans="3:11" x14ac:dyDescent="0.25">
      <c r="C7632" s="12">
        <v>1</v>
      </c>
      <c r="D7632" s="13" t="s">
        <v>1430</v>
      </c>
      <c r="E7632" s="53" t="s">
        <v>617</v>
      </c>
      <c r="F7632" s="115">
        <v>1.05</v>
      </c>
      <c r="G7632" s="19">
        <f>VLOOKUP(D7632,upahbahan,3,FALSE)</f>
        <v>640000</v>
      </c>
      <c r="H7632" s="19">
        <f t="shared" ref="H7632" si="795">F7632*G7632</f>
        <v>672000</v>
      </c>
    </row>
    <row r="7633" spans="3:11" x14ac:dyDescent="0.3">
      <c r="C7633" s="21" t="s">
        <v>29</v>
      </c>
      <c r="D7633" s="22"/>
      <c r="E7633" s="22" t="s">
        <v>1340</v>
      </c>
      <c r="F7633" s="22"/>
      <c r="G7633" s="28"/>
      <c r="H7633" s="19">
        <f>SUM(H7631:H7632)</f>
        <v>672000</v>
      </c>
    </row>
    <row r="7634" spans="3:11" x14ac:dyDescent="0.25">
      <c r="C7634" s="12" t="s">
        <v>30</v>
      </c>
      <c r="D7634" s="13" t="s">
        <v>31</v>
      </c>
      <c r="E7634" s="14"/>
      <c r="F7634" s="14"/>
      <c r="G7634" s="14"/>
      <c r="H7634" s="14"/>
    </row>
    <row r="7635" spans="3:11" x14ac:dyDescent="0.3">
      <c r="C7635" s="21" t="s">
        <v>32</v>
      </c>
      <c r="D7635" s="77"/>
      <c r="E7635" s="77"/>
      <c r="F7635" s="77"/>
      <c r="G7635" s="28"/>
      <c r="H7635" s="29">
        <f>SUM(H7634:H7634)</f>
        <v>0</v>
      </c>
    </row>
    <row r="7636" spans="3:11" x14ac:dyDescent="0.3">
      <c r="C7636" s="30" t="s">
        <v>33</v>
      </c>
      <c r="D7636" s="31" t="s">
        <v>34</v>
      </c>
      <c r="E7636" s="32"/>
      <c r="F7636" s="32"/>
      <c r="G7636" s="33"/>
      <c r="H7636" s="46">
        <f>H7635+H7633+H7630</f>
        <v>701090</v>
      </c>
      <c r="I7636" s="47"/>
    </row>
    <row r="7637" spans="3:11" x14ac:dyDescent="0.3">
      <c r="C7637" s="30" t="s">
        <v>35</v>
      </c>
      <c r="D7637" s="31" t="s">
        <v>36</v>
      </c>
      <c r="E7637" s="32"/>
      <c r="F7637" s="33"/>
      <c r="G7637" s="34">
        <f>$M$9</f>
        <v>0.1</v>
      </c>
      <c r="H7637" s="19">
        <f>H7636*G7637</f>
        <v>70109</v>
      </c>
      <c r="I7637" s="47"/>
    </row>
    <row r="7638" spans="3:11" x14ac:dyDescent="0.3">
      <c r="C7638" s="30" t="s">
        <v>37</v>
      </c>
      <c r="D7638" s="31" t="s">
        <v>38</v>
      </c>
      <c r="E7638" s="32"/>
      <c r="F7638" s="32"/>
      <c r="G7638" s="33"/>
      <c r="H7638" s="48">
        <f>SUM(H7636:H7637)</f>
        <v>771199</v>
      </c>
      <c r="I7638" s="47"/>
    </row>
    <row r="7641" spans="3:11" x14ac:dyDescent="0.3">
      <c r="C7641" s="56" t="s">
        <v>1431</v>
      </c>
      <c r="D7641" s="69" t="s">
        <v>1432</v>
      </c>
      <c r="E7641" s="58"/>
      <c r="F7641" s="58"/>
      <c r="G7641" s="58"/>
      <c r="H7641" s="58"/>
      <c r="I7641" s="10">
        <f>ROUNDDOWN(H7656,0)</f>
        <v>2963961</v>
      </c>
      <c r="J7641" s="15"/>
      <c r="K7641" s="39"/>
    </row>
    <row r="7642" spans="3:11" ht="27.6" x14ac:dyDescent="0.3">
      <c r="C7642" s="11" t="s">
        <v>9</v>
      </c>
      <c r="D7642" s="11" t="s">
        <v>10</v>
      </c>
      <c r="E7642" s="11" t="s">
        <v>11</v>
      </c>
      <c r="F7642" s="11" t="s">
        <v>12</v>
      </c>
      <c r="G7642" s="11" t="s">
        <v>13</v>
      </c>
      <c r="H7642" s="11" t="s">
        <v>14</v>
      </c>
    </row>
    <row r="7643" spans="3:11" x14ac:dyDescent="0.25">
      <c r="C7643" s="12" t="s">
        <v>15</v>
      </c>
      <c r="D7643" s="13" t="s">
        <v>16</v>
      </c>
      <c r="E7643" s="14"/>
      <c r="F7643" s="14"/>
      <c r="G7643" s="14"/>
      <c r="H7643" s="14"/>
    </row>
    <row r="7644" spans="3:11" x14ac:dyDescent="0.3">
      <c r="C7644" s="16">
        <v>1</v>
      </c>
      <c r="D7644" s="13" t="s">
        <v>18</v>
      </c>
      <c r="E7644" s="17" t="s">
        <v>19</v>
      </c>
      <c r="F7644" s="18">
        <v>0.25</v>
      </c>
      <c r="G7644" s="19">
        <f>VLOOKUP(D7644,upahbahan,3,FALSE)</f>
        <v>100000</v>
      </c>
      <c r="H7644" s="19">
        <f t="shared" ref="H7644:H7647" si="796">F7644*G7644</f>
        <v>25000</v>
      </c>
    </row>
    <row r="7645" spans="3:11" x14ac:dyDescent="0.3">
      <c r="C7645" s="16">
        <v>2</v>
      </c>
      <c r="D7645" s="13" t="s">
        <v>21</v>
      </c>
      <c r="E7645" s="17" t="s">
        <v>19</v>
      </c>
      <c r="F7645" s="18">
        <v>0.41799999999999998</v>
      </c>
      <c r="G7645" s="19">
        <f>VLOOKUP(D7645,upahbahan,3,FALSE)</f>
        <v>145000</v>
      </c>
      <c r="H7645" s="19">
        <f t="shared" si="796"/>
        <v>60610</v>
      </c>
    </row>
    <row r="7646" spans="3:11" x14ac:dyDescent="0.3">
      <c r="C7646" s="16">
        <v>3</v>
      </c>
      <c r="D7646" s="13" t="s">
        <v>1224</v>
      </c>
      <c r="E7646" s="17" t="s">
        <v>19</v>
      </c>
      <c r="F7646" s="18">
        <v>4.2000000000000003E-2</v>
      </c>
      <c r="G7646" s="19">
        <f>VLOOKUP(D7646,upahbahan,3,FALSE)</f>
        <v>175000</v>
      </c>
      <c r="H7646" s="19">
        <f t="shared" si="796"/>
        <v>7350.0000000000009</v>
      </c>
    </row>
    <row r="7647" spans="3:11" x14ac:dyDescent="0.3">
      <c r="C7647" s="16">
        <v>4</v>
      </c>
      <c r="D7647" s="13" t="s">
        <v>23</v>
      </c>
      <c r="E7647" s="17" t="s">
        <v>19</v>
      </c>
      <c r="F7647" s="18">
        <v>1.4E-2</v>
      </c>
      <c r="G7647" s="19">
        <f>VLOOKUP(D7647,upahbahan,3,FALSE)</f>
        <v>200000</v>
      </c>
      <c r="H7647" s="19">
        <f t="shared" si="796"/>
        <v>2800</v>
      </c>
    </row>
    <row r="7648" spans="3:11" x14ac:dyDescent="0.3">
      <c r="C7648" s="21" t="s">
        <v>24</v>
      </c>
      <c r="D7648" s="22"/>
      <c r="E7648" s="22"/>
      <c r="F7648" s="54"/>
      <c r="G7648" s="24"/>
      <c r="H7648" s="19">
        <f>SUM(H7644:H7647)</f>
        <v>95760</v>
      </c>
      <c r="I7648" s="25"/>
    </row>
    <row r="7649" spans="3:11" x14ac:dyDescent="0.25">
      <c r="C7649" s="12" t="s">
        <v>25</v>
      </c>
      <c r="D7649" s="13" t="s">
        <v>26</v>
      </c>
      <c r="E7649" s="14"/>
      <c r="F7649" s="55"/>
      <c r="G7649" s="14"/>
      <c r="H7649" s="14"/>
    </row>
    <row r="7650" spans="3:11" x14ac:dyDescent="0.25">
      <c r="C7650" s="12">
        <v>1</v>
      </c>
      <c r="D7650" s="13" t="s">
        <v>1433</v>
      </c>
      <c r="E7650" s="53" t="s">
        <v>617</v>
      </c>
      <c r="F7650" s="115">
        <v>1.05</v>
      </c>
      <c r="G7650" s="19">
        <f>VLOOKUP(D7650,upahbahan,3,FALSE)</f>
        <v>2475000</v>
      </c>
      <c r="H7650" s="19">
        <f t="shared" ref="H7650" si="797">F7650*G7650</f>
        <v>2598750</v>
      </c>
    </row>
    <row r="7651" spans="3:11" x14ac:dyDescent="0.3">
      <c r="C7651" s="21" t="s">
        <v>29</v>
      </c>
      <c r="D7651" s="22"/>
      <c r="E7651" s="22" t="s">
        <v>1340</v>
      </c>
      <c r="F7651" s="22"/>
      <c r="G7651" s="28"/>
      <c r="H7651" s="19">
        <f>SUM(H7649:H7650)</f>
        <v>2598750</v>
      </c>
    </row>
    <row r="7652" spans="3:11" x14ac:dyDescent="0.25">
      <c r="C7652" s="12" t="s">
        <v>30</v>
      </c>
      <c r="D7652" s="13" t="s">
        <v>31</v>
      </c>
      <c r="E7652" s="14"/>
      <c r="F7652" s="14"/>
      <c r="G7652" s="14"/>
      <c r="H7652" s="14"/>
    </row>
    <row r="7653" spans="3:11" x14ac:dyDescent="0.3">
      <c r="C7653" s="21" t="s">
        <v>32</v>
      </c>
      <c r="D7653" s="77"/>
      <c r="E7653" s="77"/>
      <c r="F7653" s="77"/>
      <c r="G7653" s="28"/>
      <c r="H7653" s="29">
        <f>SUM(H7652:H7652)</f>
        <v>0</v>
      </c>
    </row>
    <row r="7654" spans="3:11" x14ac:dyDescent="0.3">
      <c r="C7654" s="30" t="s">
        <v>33</v>
      </c>
      <c r="D7654" s="31" t="s">
        <v>34</v>
      </c>
      <c r="E7654" s="32"/>
      <c r="F7654" s="32"/>
      <c r="G7654" s="33"/>
      <c r="H7654" s="46">
        <f>H7653+H7651+H7648</f>
        <v>2694510</v>
      </c>
      <c r="I7654" s="47"/>
    </row>
    <row r="7655" spans="3:11" x14ac:dyDescent="0.3">
      <c r="C7655" s="30" t="s">
        <v>35</v>
      </c>
      <c r="D7655" s="31" t="s">
        <v>36</v>
      </c>
      <c r="E7655" s="32"/>
      <c r="F7655" s="33"/>
      <c r="G7655" s="34">
        <f>$M$9</f>
        <v>0.1</v>
      </c>
      <c r="H7655" s="19">
        <f>H7654*G7655</f>
        <v>269451</v>
      </c>
      <c r="I7655" s="47"/>
    </row>
    <row r="7656" spans="3:11" x14ac:dyDescent="0.3">
      <c r="C7656" s="30" t="s">
        <v>37</v>
      </c>
      <c r="D7656" s="31" t="s">
        <v>38</v>
      </c>
      <c r="E7656" s="32"/>
      <c r="F7656" s="32"/>
      <c r="G7656" s="33"/>
      <c r="H7656" s="48">
        <f>SUM(H7654:H7655)</f>
        <v>2963961</v>
      </c>
      <c r="I7656" s="47"/>
    </row>
    <row r="7658" spans="3:11" x14ac:dyDescent="0.3">
      <c r="C7658" s="40" t="s">
        <v>1434</v>
      </c>
      <c r="D7658" s="68" t="s">
        <v>1435</v>
      </c>
      <c r="E7658" s="44"/>
      <c r="F7658" s="44"/>
      <c r="G7658" s="44"/>
      <c r="H7658" s="44"/>
      <c r="I7658" s="10">
        <f>ROUNDDOWN(H7673,0)</f>
        <v>987239</v>
      </c>
      <c r="J7658" s="15"/>
      <c r="K7658" s="39"/>
    </row>
    <row r="7659" spans="3:11" ht="27.6" x14ac:dyDescent="0.3">
      <c r="C7659" s="11" t="s">
        <v>9</v>
      </c>
      <c r="D7659" s="11" t="s">
        <v>10</v>
      </c>
      <c r="E7659" s="11" t="s">
        <v>11</v>
      </c>
      <c r="F7659" s="11" t="s">
        <v>12</v>
      </c>
      <c r="G7659" s="11" t="s">
        <v>13</v>
      </c>
      <c r="H7659" s="11" t="s">
        <v>14</v>
      </c>
    </row>
    <row r="7660" spans="3:11" x14ac:dyDescent="0.25">
      <c r="C7660" s="12" t="s">
        <v>15</v>
      </c>
      <c r="D7660" s="13" t="s">
        <v>16</v>
      </c>
      <c r="E7660" s="14"/>
      <c r="F7660" s="14"/>
      <c r="G7660" s="14"/>
      <c r="H7660" s="14"/>
    </row>
    <row r="7661" spans="3:11" x14ac:dyDescent="0.3">
      <c r="C7661" s="16">
        <v>1</v>
      </c>
      <c r="D7661" s="13" t="s">
        <v>18</v>
      </c>
      <c r="E7661" s="17" t="s">
        <v>19</v>
      </c>
      <c r="F7661" s="18">
        <v>0.50700000000000001</v>
      </c>
      <c r="G7661" s="19">
        <f>VLOOKUP(D7661,upahbahan,3,FALSE)</f>
        <v>100000</v>
      </c>
      <c r="H7661" s="19">
        <f t="shared" ref="H7661:H7664" si="798">F7661*G7661</f>
        <v>50700</v>
      </c>
    </row>
    <row r="7662" spans="3:11" x14ac:dyDescent="0.3">
      <c r="C7662" s="16">
        <v>2</v>
      </c>
      <c r="D7662" s="13" t="s">
        <v>21</v>
      </c>
      <c r="E7662" s="17" t="s">
        <v>19</v>
      </c>
      <c r="F7662" s="18">
        <v>0.84699999999999998</v>
      </c>
      <c r="G7662" s="19">
        <f>VLOOKUP(D7662,upahbahan,3,FALSE)</f>
        <v>145000</v>
      </c>
      <c r="H7662" s="19">
        <f t="shared" si="798"/>
        <v>122815</v>
      </c>
    </row>
    <row r="7663" spans="3:11" x14ac:dyDescent="0.3">
      <c r="C7663" s="16">
        <v>3</v>
      </c>
      <c r="D7663" s="13" t="s">
        <v>1224</v>
      </c>
      <c r="E7663" s="17" t="s">
        <v>19</v>
      </c>
      <c r="F7663" s="18">
        <v>8.5000000000000006E-2</v>
      </c>
      <c r="G7663" s="19">
        <f>VLOOKUP(D7663,upahbahan,3,FALSE)</f>
        <v>175000</v>
      </c>
      <c r="H7663" s="19">
        <f t="shared" si="798"/>
        <v>14875.000000000002</v>
      </c>
    </row>
    <row r="7664" spans="3:11" x14ac:dyDescent="0.3">
      <c r="C7664" s="16">
        <v>4</v>
      </c>
      <c r="D7664" s="13" t="s">
        <v>23</v>
      </c>
      <c r="E7664" s="17" t="s">
        <v>19</v>
      </c>
      <c r="F7664" s="18">
        <v>2.8000000000000001E-2</v>
      </c>
      <c r="G7664" s="19">
        <f>VLOOKUP(D7664,upahbahan,3,FALSE)</f>
        <v>200000</v>
      </c>
      <c r="H7664" s="19">
        <f t="shared" si="798"/>
        <v>5600</v>
      </c>
    </row>
    <row r="7665" spans="3:11" x14ac:dyDescent="0.3">
      <c r="C7665" s="21" t="s">
        <v>24</v>
      </c>
      <c r="D7665" s="22"/>
      <c r="E7665" s="22"/>
      <c r="F7665" s="54"/>
      <c r="G7665" s="24"/>
      <c r="H7665" s="19">
        <f>SUM(H7661:H7664)</f>
        <v>193990</v>
      </c>
      <c r="I7665" s="25"/>
    </row>
    <row r="7666" spans="3:11" x14ac:dyDescent="0.25">
      <c r="C7666" s="12" t="s">
        <v>25</v>
      </c>
      <c r="D7666" s="13" t="s">
        <v>26</v>
      </c>
      <c r="E7666" s="14"/>
      <c r="F7666" s="55"/>
      <c r="G7666" s="14"/>
      <c r="H7666" s="14"/>
    </row>
    <row r="7667" spans="3:11" x14ac:dyDescent="0.25">
      <c r="C7667" s="12">
        <v>1</v>
      </c>
      <c r="D7667" s="13" t="s">
        <v>1436</v>
      </c>
      <c r="E7667" s="53" t="s">
        <v>617</v>
      </c>
      <c r="F7667" s="115">
        <v>1.05</v>
      </c>
      <c r="G7667" s="19">
        <f>VLOOKUP(D7667,upahbahan,3,FALSE)</f>
        <v>670000</v>
      </c>
      <c r="H7667" s="19">
        <f t="shared" ref="H7667" si="799">F7667*G7667</f>
        <v>703500</v>
      </c>
    </row>
    <row r="7668" spans="3:11" x14ac:dyDescent="0.3">
      <c r="C7668" s="21" t="s">
        <v>29</v>
      </c>
      <c r="D7668" s="22"/>
      <c r="E7668" s="22" t="s">
        <v>1340</v>
      </c>
      <c r="F7668" s="22"/>
      <c r="G7668" s="28"/>
      <c r="H7668" s="19">
        <f>SUM(H7666:H7667)</f>
        <v>703500</v>
      </c>
    </row>
    <row r="7669" spans="3:11" x14ac:dyDescent="0.25">
      <c r="C7669" s="12" t="s">
        <v>30</v>
      </c>
      <c r="D7669" s="13" t="s">
        <v>31</v>
      </c>
      <c r="E7669" s="14"/>
      <c r="F7669" s="14"/>
      <c r="G7669" s="14"/>
      <c r="H7669" s="14"/>
    </row>
    <row r="7670" spans="3:11" x14ac:dyDescent="0.3">
      <c r="C7670" s="21" t="s">
        <v>32</v>
      </c>
      <c r="D7670" s="77"/>
      <c r="E7670" s="77"/>
      <c r="F7670" s="77"/>
      <c r="G7670" s="28"/>
      <c r="H7670" s="29">
        <f>SUM(H7669:H7669)</f>
        <v>0</v>
      </c>
    </row>
    <row r="7671" spans="3:11" x14ac:dyDescent="0.3">
      <c r="C7671" s="30" t="s">
        <v>33</v>
      </c>
      <c r="D7671" s="31" t="s">
        <v>34</v>
      </c>
      <c r="E7671" s="32"/>
      <c r="F7671" s="32"/>
      <c r="G7671" s="33"/>
      <c r="H7671" s="46">
        <f>H7670+H7668+H7665</f>
        <v>897490</v>
      </c>
      <c r="I7671" s="47"/>
    </row>
    <row r="7672" spans="3:11" x14ac:dyDescent="0.3">
      <c r="C7672" s="30" t="s">
        <v>35</v>
      </c>
      <c r="D7672" s="31" t="s">
        <v>36</v>
      </c>
      <c r="E7672" s="32"/>
      <c r="F7672" s="33"/>
      <c r="G7672" s="34">
        <f>$M$9</f>
        <v>0.1</v>
      </c>
      <c r="H7672" s="19">
        <f>H7671*G7672</f>
        <v>89749</v>
      </c>
      <c r="I7672" s="47"/>
    </row>
    <row r="7673" spans="3:11" x14ac:dyDescent="0.3">
      <c r="C7673" s="30" t="s">
        <v>37</v>
      </c>
      <c r="D7673" s="31" t="s">
        <v>38</v>
      </c>
      <c r="E7673" s="32"/>
      <c r="F7673" s="32"/>
      <c r="G7673" s="33"/>
      <c r="H7673" s="48">
        <f>SUM(H7671:H7672)</f>
        <v>987239</v>
      </c>
      <c r="I7673" s="47"/>
    </row>
    <row r="7676" spans="3:11" x14ac:dyDescent="0.3">
      <c r="C7676" s="56" t="s">
        <v>1437</v>
      </c>
      <c r="D7676" s="69" t="s">
        <v>1438</v>
      </c>
      <c r="E7676" s="58"/>
      <c r="F7676" s="58"/>
      <c r="G7676" s="58"/>
      <c r="H7676" s="58"/>
      <c r="I7676" s="10">
        <f>ROUNDDOWN(H7691,0)</f>
        <v>154550</v>
      </c>
      <c r="J7676" s="15"/>
      <c r="K7676" s="39"/>
    </row>
    <row r="7677" spans="3:11" ht="27.6" x14ac:dyDescent="0.3">
      <c r="C7677" s="11" t="s">
        <v>9</v>
      </c>
      <c r="D7677" s="11" t="s">
        <v>10</v>
      </c>
      <c r="E7677" s="11" t="s">
        <v>11</v>
      </c>
      <c r="F7677" s="11" t="s">
        <v>12</v>
      </c>
      <c r="G7677" s="11" t="s">
        <v>13</v>
      </c>
      <c r="H7677" s="11" t="s">
        <v>14</v>
      </c>
    </row>
    <row r="7678" spans="3:11" x14ac:dyDescent="0.25">
      <c r="C7678" s="12" t="s">
        <v>15</v>
      </c>
      <c r="D7678" s="13" t="s">
        <v>16</v>
      </c>
      <c r="E7678" s="14"/>
      <c r="F7678" s="14"/>
      <c r="G7678" s="14"/>
      <c r="H7678" s="14"/>
    </row>
    <row r="7679" spans="3:11" x14ac:dyDescent="0.3">
      <c r="C7679" s="16">
        <v>1</v>
      </c>
      <c r="D7679" s="13" t="s">
        <v>18</v>
      </c>
      <c r="E7679" s="17" t="s">
        <v>19</v>
      </c>
      <c r="F7679" s="18">
        <v>0.129</v>
      </c>
      <c r="G7679" s="19">
        <f>VLOOKUP(D7679,upahbahan,3,FALSE)</f>
        <v>100000</v>
      </c>
      <c r="H7679" s="19">
        <f t="shared" ref="H7679:H7682" si="800">F7679*G7679</f>
        <v>12900</v>
      </c>
    </row>
    <row r="7680" spans="3:11" x14ac:dyDescent="0.3">
      <c r="C7680" s="16">
        <v>2</v>
      </c>
      <c r="D7680" s="13" t="s">
        <v>21</v>
      </c>
      <c r="E7680" s="17" t="s">
        <v>19</v>
      </c>
      <c r="F7680" s="18">
        <v>0.215</v>
      </c>
      <c r="G7680" s="19">
        <f>VLOOKUP(D7680,upahbahan,3,FALSE)</f>
        <v>145000</v>
      </c>
      <c r="H7680" s="19">
        <f t="shared" si="800"/>
        <v>31175</v>
      </c>
    </row>
    <row r="7681" spans="3:11" x14ac:dyDescent="0.3">
      <c r="C7681" s="16">
        <v>3</v>
      </c>
      <c r="D7681" s="13" t="s">
        <v>1224</v>
      </c>
      <c r="E7681" s="17" t="s">
        <v>19</v>
      </c>
      <c r="F7681" s="18">
        <v>2.1000000000000001E-2</v>
      </c>
      <c r="G7681" s="19">
        <f>VLOOKUP(D7681,upahbahan,3,FALSE)</f>
        <v>175000</v>
      </c>
      <c r="H7681" s="19">
        <f t="shared" si="800"/>
        <v>3675.0000000000005</v>
      </c>
    </row>
    <row r="7682" spans="3:11" x14ac:dyDescent="0.3">
      <c r="C7682" s="16">
        <v>4</v>
      </c>
      <c r="D7682" s="13" t="s">
        <v>23</v>
      </c>
      <c r="E7682" s="17" t="s">
        <v>19</v>
      </c>
      <c r="F7682" s="18">
        <v>7.0000000000000007E-2</v>
      </c>
      <c r="G7682" s="19">
        <f>VLOOKUP(D7682,upahbahan,3,FALSE)</f>
        <v>200000</v>
      </c>
      <c r="H7682" s="19">
        <f t="shared" si="800"/>
        <v>14000.000000000002</v>
      </c>
    </row>
    <row r="7683" spans="3:11" x14ac:dyDescent="0.3">
      <c r="C7683" s="21" t="s">
        <v>24</v>
      </c>
      <c r="D7683" s="22"/>
      <c r="E7683" s="22"/>
      <c r="F7683" s="54"/>
      <c r="G7683" s="24"/>
      <c r="H7683" s="19">
        <f>SUM(H7679:H7682)</f>
        <v>61750</v>
      </c>
      <c r="I7683" s="25"/>
    </row>
    <row r="7684" spans="3:11" x14ac:dyDescent="0.25">
      <c r="C7684" s="12" t="s">
        <v>25</v>
      </c>
      <c r="D7684" s="13" t="s">
        <v>26</v>
      </c>
      <c r="E7684" s="14"/>
      <c r="F7684" s="55"/>
      <c r="G7684" s="14"/>
      <c r="H7684" s="14"/>
    </row>
    <row r="7685" spans="3:11" x14ac:dyDescent="0.25">
      <c r="C7685" s="12">
        <v>1</v>
      </c>
      <c r="D7685" s="13" t="s">
        <v>1439</v>
      </c>
      <c r="E7685" s="53" t="s">
        <v>617</v>
      </c>
      <c r="F7685" s="115">
        <v>1.05</v>
      </c>
      <c r="G7685" s="19">
        <f>VLOOKUP(D7685,upahbahan,3,FALSE)</f>
        <v>75000</v>
      </c>
      <c r="H7685" s="19">
        <f t="shared" ref="H7685" si="801">F7685*G7685</f>
        <v>78750</v>
      </c>
    </row>
    <row r="7686" spans="3:11" x14ac:dyDescent="0.3">
      <c r="C7686" s="21" t="s">
        <v>29</v>
      </c>
      <c r="D7686" s="22"/>
      <c r="E7686" s="22" t="s">
        <v>1340</v>
      </c>
      <c r="F7686" s="22"/>
      <c r="G7686" s="28"/>
      <c r="H7686" s="19">
        <f>SUM(H7684:H7685)</f>
        <v>78750</v>
      </c>
    </row>
    <row r="7687" spans="3:11" x14ac:dyDescent="0.25">
      <c r="C7687" s="12" t="s">
        <v>30</v>
      </c>
      <c r="D7687" s="13" t="s">
        <v>31</v>
      </c>
      <c r="E7687" s="14"/>
      <c r="F7687" s="14"/>
      <c r="G7687" s="14"/>
      <c r="H7687" s="14"/>
    </row>
    <row r="7688" spans="3:11" x14ac:dyDescent="0.3">
      <c r="C7688" s="21" t="s">
        <v>32</v>
      </c>
      <c r="D7688" s="77"/>
      <c r="E7688" s="77"/>
      <c r="F7688" s="77"/>
      <c r="G7688" s="28"/>
      <c r="H7688" s="29">
        <f>SUM(H7687:H7687)</f>
        <v>0</v>
      </c>
    </row>
    <row r="7689" spans="3:11" x14ac:dyDescent="0.3">
      <c r="C7689" s="30" t="s">
        <v>33</v>
      </c>
      <c r="D7689" s="31" t="s">
        <v>34</v>
      </c>
      <c r="E7689" s="32"/>
      <c r="F7689" s="32"/>
      <c r="G7689" s="33"/>
      <c r="H7689" s="46">
        <f>H7688+H7686+H7683</f>
        <v>140500</v>
      </c>
      <c r="I7689" s="47"/>
    </row>
    <row r="7690" spans="3:11" x14ac:dyDescent="0.3">
      <c r="C7690" s="30" t="s">
        <v>35</v>
      </c>
      <c r="D7690" s="31" t="s">
        <v>36</v>
      </c>
      <c r="E7690" s="32"/>
      <c r="F7690" s="33"/>
      <c r="G7690" s="34">
        <f>$M$9</f>
        <v>0.1</v>
      </c>
      <c r="H7690" s="19">
        <f>H7689*G7690</f>
        <v>14050</v>
      </c>
      <c r="I7690" s="47"/>
    </row>
    <row r="7691" spans="3:11" x14ac:dyDescent="0.3">
      <c r="C7691" s="30" t="s">
        <v>37</v>
      </c>
      <c r="D7691" s="31" t="s">
        <v>38</v>
      </c>
      <c r="E7691" s="32"/>
      <c r="F7691" s="32"/>
      <c r="G7691" s="33"/>
      <c r="H7691" s="48">
        <f>SUM(H7689:H7690)</f>
        <v>154550</v>
      </c>
      <c r="I7691" s="47"/>
    </row>
    <row r="7693" spans="3:11" x14ac:dyDescent="0.3">
      <c r="C7693" s="56" t="s">
        <v>1440</v>
      </c>
      <c r="D7693" s="69" t="s">
        <v>1441</v>
      </c>
      <c r="E7693" s="58"/>
      <c r="F7693" s="58"/>
      <c r="G7693" s="58"/>
      <c r="H7693" s="58"/>
      <c r="I7693" s="10">
        <f>ROUNDDOWN(H7708,0)</f>
        <v>825390</v>
      </c>
      <c r="J7693" s="15"/>
      <c r="K7693" s="39"/>
    </row>
    <row r="7694" spans="3:11" ht="27.6" x14ac:dyDescent="0.3">
      <c r="C7694" s="11" t="s">
        <v>9</v>
      </c>
      <c r="D7694" s="11" t="s">
        <v>10</v>
      </c>
      <c r="E7694" s="11" t="s">
        <v>11</v>
      </c>
      <c r="F7694" s="11" t="s">
        <v>12</v>
      </c>
      <c r="G7694" s="11" t="s">
        <v>13</v>
      </c>
      <c r="H7694" s="11" t="s">
        <v>14</v>
      </c>
    </row>
    <row r="7695" spans="3:11" x14ac:dyDescent="0.25">
      <c r="C7695" s="12" t="s">
        <v>15</v>
      </c>
      <c r="D7695" s="13" t="s">
        <v>16</v>
      </c>
      <c r="E7695" s="14"/>
      <c r="F7695" s="14"/>
      <c r="G7695" s="14"/>
      <c r="H7695" s="14"/>
    </row>
    <row r="7696" spans="3:11" x14ac:dyDescent="0.3">
      <c r="C7696" s="16">
        <v>1</v>
      </c>
      <c r="D7696" s="13" t="s">
        <v>18</v>
      </c>
      <c r="E7696" s="17" t="s">
        <v>19</v>
      </c>
      <c r="F7696" s="18">
        <v>9.5000000000000001E-2</v>
      </c>
      <c r="G7696" s="19">
        <f>VLOOKUP(D7696,upahbahan,3,FALSE)</f>
        <v>100000</v>
      </c>
      <c r="H7696" s="19">
        <f t="shared" ref="H7696:H7699" si="802">F7696*G7696</f>
        <v>9500</v>
      </c>
    </row>
    <row r="7697" spans="3:11" x14ac:dyDescent="0.3">
      <c r="C7697" s="16">
        <v>2</v>
      </c>
      <c r="D7697" s="13" t="s">
        <v>21</v>
      </c>
      <c r="E7697" s="17" t="s">
        <v>19</v>
      </c>
      <c r="F7697" s="18">
        <v>0.159</v>
      </c>
      <c r="G7697" s="19">
        <f>VLOOKUP(D7697,upahbahan,3,FALSE)</f>
        <v>145000</v>
      </c>
      <c r="H7697" s="19">
        <f t="shared" si="802"/>
        <v>23055</v>
      </c>
    </row>
    <row r="7698" spans="3:11" x14ac:dyDescent="0.3">
      <c r="C7698" s="16">
        <v>3</v>
      </c>
      <c r="D7698" s="13" t="s">
        <v>1224</v>
      </c>
      <c r="E7698" s="17" t="s">
        <v>19</v>
      </c>
      <c r="F7698" s="18">
        <v>1.6E-2</v>
      </c>
      <c r="G7698" s="19">
        <f>VLOOKUP(D7698,upahbahan,3,FALSE)</f>
        <v>175000</v>
      </c>
      <c r="H7698" s="19">
        <f t="shared" si="802"/>
        <v>2800</v>
      </c>
    </row>
    <row r="7699" spans="3:11" x14ac:dyDescent="0.3">
      <c r="C7699" s="16">
        <v>4</v>
      </c>
      <c r="D7699" s="13" t="s">
        <v>23</v>
      </c>
      <c r="E7699" s="17" t="s">
        <v>19</v>
      </c>
      <c r="F7699" s="18">
        <v>5.0000000000000001E-3</v>
      </c>
      <c r="G7699" s="19">
        <f>VLOOKUP(D7699,upahbahan,3,FALSE)</f>
        <v>200000</v>
      </c>
      <c r="H7699" s="19">
        <f t="shared" si="802"/>
        <v>1000</v>
      </c>
    </row>
    <row r="7700" spans="3:11" x14ac:dyDescent="0.3">
      <c r="C7700" s="21" t="s">
        <v>24</v>
      </c>
      <c r="D7700" s="22"/>
      <c r="E7700" s="22"/>
      <c r="F7700" s="54"/>
      <c r="G7700" s="24"/>
      <c r="H7700" s="19">
        <f>SUM(H7696:H7699)</f>
        <v>36355</v>
      </c>
      <c r="I7700" s="25"/>
    </row>
    <row r="7701" spans="3:11" x14ac:dyDescent="0.25">
      <c r="C7701" s="12" t="s">
        <v>25</v>
      </c>
      <c r="D7701" s="13" t="s">
        <v>26</v>
      </c>
      <c r="E7701" s="14"/>
      <c r="F7701" s="55"/>
      <c r="G7701" s="14"/>
      <c r="H7701" s="14"/>
    </row>
    <row r="7702" spans="3:11" x14ac:dyDescent="0.25">
      <c r="C7702" s="12">
        <v>1</v>
      </c>
      <c r="D7702" s="13" t="s">
        <v>1442</v>
      </c>
      <c r="E7702" s="53" t="s">
        <v>617</v>
      </c>
      <c r="F7702" s="115">
        <v>1.05</v>
      </c>
      <c r="G7702" s="19">
        <f>VLOOKUP(D7702,upahbahan,3,FALSE)</f>
        <v>680000</v>
      </c>
      <c r="H7702" s="19">
        <f t="shared" ref="H7702" si="803">F7702*G7702</f>
        <v>714000</v>
      </c>
    </row>
    <row r="7703" spans="3:11" x14ac:dyDescent="0.3">
      <c r="C7703" s="21" t="s">
        <v>29</v>
      </c>
      <c r="D7703" s="22"/>
      <c r="E7703" s="22" t="s">
        <v>1340</v>
      </c>
      <c r="F7703" s="22"/>
      <c r="G7703" s="28"/>
      <c r="H7703" s="19">
        <f>SUM(H7701:H7702)</f>
        <v>714000</v>
      </c>
    </row>
    <row r="7704" spans="3:11" x14ac:dyDescent="0.25">
      <c r="C7704" s="12" t="s">
        <v>30</v>
      </c>
      <c r="D7704" s="13" t="s">
        <v>31</v>
      </c>
      <c r="E7704" s="14"/>
      <c r="F7704" s="14"/>
      <c r="G7704" s="14"/>
      <c r="H7704" s="14"/>
    </row>
    <row r="7705" spans="3:11" x14ac:dyDescent="0.3">
      <c r="C7705" s="21" t="s">
        <v>32</v>
      </c>
      <c r="D7705" s="77"/>
      <c r="E7705" s="77"/>
      <c r="F7705" s="77"/>
      <c r="G7705" s="28"/>
      <c r="H7705" s="29">
        <f>SUM(H7704:H7704)</f>
        <v>0</v>
      </c>
    </row>
    <row r="7706" spans="3:11" x14ac:dyDescent="0.3">
      <c r="C7706" s="30" t="s">
        <v>33</v>
      </c>
      <c r="D7706" s="31" t="s">
        <v>34</v>
      </c>
      <c r="E7706" s="32"/>
      <c r="F7706" s="32"/>
      <c r="G7706" s="33"/>
      <c r="H7706" s="46">
        <f>H7705+H7703+H7700</f>
        <v>750355</v>
      </c>
      <c r="I7706" s="47"/>
    </row>
    <row r="7707" spans="3:11" x14ac:dyDescent="0.3">
      <c r="C7707" s="30" t="s">
        <v>35</v>
      </c>
      <c r="D7707" s="31" t="s">
        <v>36</v>
      </c>
      <c r="E7707" s="32"/>
      <c r="F7707" s="33"/>
      <c r="G7707" s="34">
        <f>$M$9</f>
        <v>0.1</v>
      </c>
      <c r="H7707" s="19">
        <f>H7706*G7707</f>
        <v>75035.5</v>
      </c>
      <c r="I7707" s="47"/>
    </row>
    <row r="7708" spans="3:11" x14ac:dyDescent="0.3">
      <c r="C7708" s="30" t="s">
        <v>37</v>
      </c>
      <c r="D7708" s="31" t="s">
        <v>38</v>
      </c>
      <c r="E7708" s="32"/>
      <c r="F7708" s="32"/>
      <c r="G7708" s="33"/>
      <c r="H7708" s="48">
        <f>SUM(H7706:H7707)</f>
        <v>825390.5</v>
      </c>
      <c r="I7708" s="47"/>
    </row>
    <row r="7711" spans="3:11" x14ac:dyDescent="0.3">
      <c r="C7711" s="40" t="s">
        <v>1443</v>
      </c>
      <c r="D7711" s="68" t="s">
        <v>1444</v>
      </c>
      <c r="E7711" s="44"/>
      <c r="F7711" s="44"/>
      <c r="G7711" s="44"/>
      <c r="H7711" s="44"/>
      <c r="I7711" s="10">
        <f>ROUNDDOWN(H7726,0)</f>
        <v>876947</v>
      </c>
      <c r="J7711" s="15"/>
      <c r="K7711" s="39"/>
    </row>
    <row r="7712" spans="3:11" ht="27.6" x14ac:dyDescent="0.3">
      <c r="C7712" s="11" t="s">
        <v>9</v>
      </c>
      <c r="D7712" s="11" t="s">
        <v>10</v>
      </c>
      <c r="E7712" s="11" t="s">
        <v>11</v>
      </c>
      <c r="F7712" s="11" t="s">
        <v>12</v>
      </c>
      <c r="G7712" s="11" t="s">
        <v>13</v>
      </c>
      <c r="H7712" s="11" t="s">
        <v>14</v>
      </c>
    </row>
    <row r="7713" spans="3:11" x14ac:dyDescent="0.25">
      <c r="C7713" s="12" t="s">
        <v>15</v>
      </c>
      <c r="D7713" s="13" t="s">
        <v>16</v>
      </c>
      <c r="E7713" s="14"/>
      <c r="F7713" s="14"/>
      <c r="G7713" s="14"/>
      <c r="H7713" s="14"/>
    </row>
    <row r="7714" spans="3:11" x14ac:dyDescent="0.3">
      <c r="C7714" s="16">
        <v>1</v>
      </c>
      <c r="D7714" s="13" t="s">
        <v>18</v>
      </c>
      <c r="E7714" s="17" t="s">
        <v>19</v>
      </c>
      <c r="F7714" s="18">
        <v>0.129</v>
      </c>
      <c r="G7714" s="19">
        <f>VLOOKUP(D7714,upahbahan,3,FALSE)</f>
        <v>100000</v>
      </c>
      <c r="H7714" s="19">
        <f t="shared" ref="H7714:H7717" si="804">F7714*G7714</f>
        <v>12900</v>
      </c>
    </row>
    <row r="7715" spans="3:11" x14ac:dyDescent="0.3">
      <c r="C7715" s="16">
        <v>2</v>
      </c>
      <c r="D7715" s="13" t="s">
        <v>21</v>
      </c>
      <c r="E7715" s="17" t="s">
        <v>19</v>
      </c>
      <c r="F7715" s="18">
        <v>0.215</v>
      </c>
      <c r="G7715" s="19">
        <f>VLOOKUP(D7715,upahbahan,3,FALSE)</f>
        <v>145000</v>
      </c>
      <c r="H7715" s="19">
        <f t="shared" si="804"/>
        <v>31175</v>
      </c>
    </row>
    <row r="7716" spans="3:11" x14ac:dyDescent="0.3">
      <c r="C7716" s="16">
        <v>3</v>
      </c>
      <c r="D7716" s="13" t="s">
        <v>1224</v>
      </c>
      <c r="E7716" s="17" t="s">
        <v>19</v>
      </c>
      <c r="F7716" s="18">
        <v>0.21</v>
      </c>
      <c r="G7716" s="19">
        <f>VLOOKUP(D7716,upahbahan,3,FALSE)</f>
        <v>175000</v>
      </c>
      <c r="H7716" s="19">
        <f t="shared" si="804"/>
        <v>36750</v>
      </c>
    </row>
    <row r="7717" spans="3:11" x14ac:dyDescent="0.3">
      <c r="C7717" s="16">
        <v>4</v>
      </c>
      <c r="D7717" s="13" t="s">
        <v>23</v>
      </c>
      <c r="E7717" s="17" t="s">
        <v>19</v>
      </c>
      <c r="F7717" s="18">
        <v>7.0000000000000001E-3</v>
      </c>
      <c r="G7717" s="19">
        <f>VLOOKUP(D7717,upahbahan,3,FALSE)</f>
        <v>200000</v>
      </c>
      <c r="H7717" s="19">
        <f t="shared" si="804"/>
        <v>1400</v>
      </c>
    </row>
    <row r="7718" spans="3:11" x14ac:dyDescent="0.3">
      <c r="C7718" s="21" t="s">
        <v>24</v>
      </c>
      <c r="D7718" s="22"/>
      <c r="E7718" s="22"/>
      <c r="F7718" s="54"/>
      <c r="G7718" s="24"/>
      <c r="H7718" s="19">
        <f>SUM(H7714:H7717)</f>
        <v>82225</v>
      </c>
      <c r="I7718" s="25"/>
    </row>
    <row r="7719" spans="3:11" x14ac:dyDescent="0.25">
      <c r="C7719" s="12" t="s">
        <v>25</v>
      </c>
      <c r="D7719" s="13" t="s">
        <v>26</v>
      </c>
      <c r="E7719" s="14"/>
      <c r="F7719" s="55"/>
      <c r="G7719" s="14"/>
      <c r="H7719" s="14"/>
    </row>
    <row r="7720" spans="3:11" x14ac:dyDescent="0.25">
      <c r="C7720" s="12">
        <v>1</v>
      </c>
      <c r="D7720" s="13" t="s">
        <v>1445</v>
      </c>
      <c r="E7720" s="53" t="s">
        <v>617</v>
      </c>
      <c r="F7720" s="115">
        <v>1.1000000000000001</v>
      </c>
      <c r="G7720" s="19">
        <f>VLOOKUP(D7720,upahbahan,3,FALSE)</f>
        <v>650000</v>
      </c>
      <c r="H7720" s="19">
        <f t="shared" ref="H7720" si="805">F7720*G7720</f>
        <v>715000</v>
      </c>
    </row>
    <row r="7721" spans="3:11" x14ac:dyDescent="0.3">
      <c r="C7721" s="21" t="s">
        <v>29</v>
      </c>
      <c r="D7721" s="22"/>
      <c r="E7721" s="22" t="s">
        <v>1340</v>
      </c>
      <c r="F7721" s="22"/>
      <c r="G7721" s="28"/>
      <c r="H7721" s="19">
        <f>SUM(H7719:H7720)</f>
        <v>715000</v>
      </c>
    </row>
    <row r="7722" spans="3:11" x14ac:dyDescent="0.25">
      <c r="C7722" s="12" t="s">
        <v>30</v>
      </c>
      <c r="D7722" s="13" t="s">
        <v>31</v>
      </c>
      <c r="E7722" s="14"/>
      <c r="F7722" s="14"/>
      <c r="G7722" s="14"/>
      <c r="H7722" s="14"/>
    </row>
    <row r="7723" spans="3:11" x14ac:dyDescent="0.3">
      <c r="C7723" s="21" t="s">
        <v>32</v>
      </c>
      <c r="D7723" s="77"/>
      <c r="E7723" s="77"/>
      <c r="F7723" s="77"/>
      <c r="G7723" s="28"/>
      <c r="H7723" s="29">
        <f>SUM(H7722:H7722)</f>
        <v>0</v>
      </c>
    </row>
    <row r="7724" spans="3:11" x14ac:dyDescent="0.3">
      <c r="C7724" s="30" t="s">
        <v>33</v>
      </c>
      <c r="D7724" s="31" t="s">
        <v>34</v>
      </c>
      <c r="E7724" s="32"/>
      <c r="F7724" s="32"/>
      <c r="G7724" s="33"/>
      <c r="H7724" s="46">
        <f>H7723+H7721+H7718</f>
        <v>797225</v>
      </c>
      <c r="I7724" s="47"/>
    </row>
    <row r="7725" spans="3:11" x14ac:dyDescent="0.3">
      <c r="C7725" s="30" t="s">
        <v>35</v>
      </c>
      <c r="D7725" s="31" t="s">
        <v>36</v>
      </c>
      <c r="E7725" s="32"/>
      <c r="F7725" s="33"/>
      <c r="G7725" s="34">
        <f>$M$9</f>
        <v>0.1</v>
      </c>
      <c r="H7725" s="19">
        <f>H7724*G7725</f>
        <v>79722.5</v>
      </c>
      <c r="I7725" s="47"/>
    </row>
    <row r="7726" spans="3:11" x14ac:dyDescent="0.3">
      <c r="C7726" s="30" t="s">
        <v>37</v>
      </c>
      <c r="D7726" s="31" t="s">
        <v>38</v>
      </c>
      <c r="E7726" s="32"/>
      <c r="F7726" s="32"/>
      <c r="G7726" s="33"/>
      <c r="H7726" s="48">
        <f>SUM(H7724:H7725)</f>
        <v>876947.5</v>
      </c>
      <c r="I7726" s="47"/>
    </row>
    <row r="7728" spans="3:11" x14ac:dyDescent="0.3">
      <c r="C7728" s="40" t="s">
        <v>1446</v>
      </c>
      <c r="D7728" s="68" t="s">
        <v>1447</v>
      </c>
      <c r="E7728" s="44"/>
      <c r="F7728" s="44"/>
      <c r="G7728" s="44"/>
      <c r="H7728" s="44"/>
      <c r="I7728" s="10">
        <f>ROUNDDOWN(H7743,0)</f>
        <v>328740</v>
      </c>
      <c r="J7728" s="15"/>
      <c r="K7728" s="39"/>
    </row>
    <row r="7729" spans="3:9" ht="27.6" x14ac:dyDescent="0.3">
      <c r="C7729" s="11" t="s">
        <v>9</v>
      </c>
      <c r="D7729" s="11" t="s">
        <v>10</v>
      </c>
      <c r="E7729" s="11" t="s">
        <v>11</v>
      </c>
      <c r="F7729" s="11" t="s">
        <v>12</v>
      </c>
      <c r="G7729" s="11" t="s">
        <v>13</v>
      </c>
      <c r="H7729" s="11" t="s">
        <v>14</v>
      </c>
    </row>
    <row r="7730" spans="3:9" x14ac:dyDescent="0.25">
      <c r="C7730" s="12" t="s">
        <v>15</v>
      </c>
      <c r="D7730" s="13" t="s">
        <v>16</v>
      </c>
      <c r="E7730" s="14"/>
      <c r="F7730" s="14"/>
      <c r="G7730" s="14"/>
      <c r="H7730" s="14"/>
    </row>
    <row r="7731" spans="3:9" x14ac:dyDescent="0.3">
      <c r="C7731" s="16">
        <v>1</v>
      </c>
      <c r="D7731" s="13" t="s">
        <v>18</v>
      </c>
      <c r="E7731" s="17" t="s">
        <v>19</v>
      </c>
      <c r="F7731" s="18">
        <v>9.5000000000000001E-2</v>
      </c>
      <c r="G7731" s="19">
        <f>VLOOKUP(D7731,upahbahan,3,FALSE)</f>
        <v>100000</v>
      </c>
      <c r="H7731" s="19">
        <f t="shared" ref="H7731:H7734" si="806">F7731*G7731</f>
        <v>9500</v>
      </c>
    </row>
    <row r="7732" spans="3:9" x14ac:dyDescent="0.3">
      <c r="C7732" s="16">
        <v>2</v>
      </c>
      <c r="D7732" s="13" t="s">
        <v>21</v>
      </c>
      <c r="E7732" s="17" t="s">
        <v>19</v>
      </c>
      <c r="F7732" s="18">
        <v>0.159</v>
      </c>
      <c r="G7732" s="19">
        <f>VLOOKUP(D7732,upahbahan,3,FALSE)</f>
        <v>145000</v>
      </c>
      <c r="H7732" s="19">
        <f t="shared" si="806"/>
        <v>23055</v>
      </c>
    </row>
    <row r="7733" spans="3:9" x14ac:dyDescent="0.3">
      <c r="C7733" s="16">
        <v>3</v>
      </c>
      <c r="D7733" s="13" t="s">
        <v>1224</v>
      </c>
      <c r="E7733" s="17" t="s">
        <v>19</v>
      </c>
      <c r="F7733" s="18">
        <v>1.6E-2</v>
      </c>
      <c r="G7733" s="19">
        <f>VLOOKUP(D7733,upahbahan,3,FALSE)</f>
        <v>175000</v>
      </c>
      <c r="H7733" s="19">
        <f t="shared" si="806"/>
        <v>2800</v>
      </c>
    </row>
    <row r="7734" spans="3:9" x14ac:dyDescent="0.3">
      <c r="C7734" s="16">
        <v>4</v>
      </c>
      <c r="D7734" s="13" t="s">
        <v>23</v>
      </c>
      <c r="E7734" s="17" t="s">
        <v>19</v>
      </c>
      <c r="F7734" s="18">
        <v>5.0000000000000001E-3</v>
      </c>
      <c r="G7734" s="19">
        <f>VLOOKUP(D7734,upahbahan,3,FALSE)</f>
        <v>200000</v>
      </c>
      <c r="H7734" s="19">
        <f t="shared" si="806"/>
        <v>1000</v>
      </c>
    </row>
    <row r="7735" spans="3:9" x14ac:dyDescent="0.3">
      <c r="C7735" s="21" t="s">
        <v>24</v>
      </c>
      <c r="D7735" s="22"/>
      <c r="E7735" s="22"/>
      <c r="F7735" s="54"/>
      <c r="G7735" s="24"/>
      <c r="H7735" s="19">
        <f>SUM(H7731:H7734)</f>
        <v>36355</v>
      </c>
      <c r="I7735" s="25"/>
    </row>
    <row r="7736" spans="3:9" x14ac:dyDescent="0.25">
      <c r="C7736" s="12" t="s">
        <v>25</v>
      </c>
      <c r="D7736" s="13" t="s">
        <v>26</v>
      </c>
      <c r="E7736" s="14"/>
      <c r="F7736" s="55"/>
      <c r="G7736" s="14"/>
      <c r="H7736" s="14"/>
    </row>
    <row r="7737" spans="3:9" x14ac:dyDescent="0.25">
      <c r="C7737" s="12">
        <v>1</v>
      </c>
      <c r="D7737" s="13" t="s">
        <v>1448</v>
      </c>
      <c r="E7737" s="53" t="s">
        <v>617</v>
      </c>
      <c r="F7737" s="115">
        <v>1.05</v>
      </c>
      <c r="G7737" s="19">
        <f>VLOOKUP(D7737,upahbahan,3,FALSE)</f>
        <v>250000</v>
      </c>
      <c r="H7737" s="19">
        <f t="shared" ref="H7737" si="807">F7737*G7737</f>
        <v>262500</v>
      </c>
    </row>
    <row r="7738" spans="3:9" x14ac:dyDescent="0.3">
      <c r="C7738" s="21" t="s">
        <v>29</v>
      </c>
      <c r="D7738" s="22"/>
      <c r="E7738" s="22" t="s">
        <v>1340</v>
      </c>
      <c r="F7738" s="22"/>
      <c r="G7738" s="28"/>
      <c r="H7738" s="19">
        <f>SUM(H7736:H7737)</f>
        <v>262500</v>
      </c>
    </row>
    <row r="7739" spans="3:9" x14ac:dyDescent="0.25">
      <c r="C7739" s="12" t="s">
        <v>30</v>
      </c>
      <c r="D7739" s="13" t="s">
        <v>31</v>
      </c>
      <c r="E7739" s="14"/>
      <c r="F7739" s="14"/>
      <c r="G7739" s="14"/>
      <c r="H7739" s="14"/>
    </row>
    <row r="7740" spans="3:9" x14ac:dyDescent="0.3">
      <c r="C7740" s="21" t="s">
        <v>32</v>
      </c>
      <c r="D7740" s="77"/>
      <c r="E7740" s="77"/>
      <c r="F7740" s="77"/>
      <c r="G7740" s="28"/>
      <c r="H7740" s="29">
        <f>SUM(H7739:H7739)</f>
        <v>0</v>
      </c>
    </row>
    <row r="7741" spans="3:9" x14ac:dyDescent="0.3">
      <c r="C7741" s="30" t="s">
        <v>33</v>
      </c>
      <c r="D7741" s="31" t="s">
        <v>34</v>
      </c>
      <c r="E7741" s="32"/>
      <c r="F7741" s="32"/>
      <c r="G7741" s="33"/>
      <c r="H7741" s="46">
        <f>H7740+H7738+H7735</f>
        <v>298855</v>
      </c>
      <c r="I7741" s="47"/>
    </row>
    <row r="7742" spans="3:9" x14ac:dyDescent="0.3">
      <c r="C7742" s="30" t="s">
        <v>35</v>
      </c>
      <c r="D7742" s="31" t="s">
        <v>36</v>
      </c>
      <c r="E7742" s="32"/>
      <c r="F7742" s="33"/>
      <c r="G7742" s="34">
        <f>$M$9</f>
        <v>0.1</v>
      </c>
      <c r="H7742" s="19">
        <f>H7741*G7742</f>
        <v>29885.5</v>
      </c>
      <c r="I7742" s="47"/>
    </row>
    <row r="7743" spans="3:9" x14ac:dyDescent="0.3">
      <c r="C7743" s="30" t="s">
        <v>37</v>
      </c>
      <c r="D7743" s="31" t="s">
        <v>38</v>
      </c>
      <c r="E7743" s="32"/>
      <c r="F7743" s="32"/>
      <c r="G7743" s="33"/>
      <c r="H7743" s="48">
        <f>SUM(H7741:H7742)</f>
        <v>328740.5</v>
      </c>
      <c r="I7743" s="47"/>
    </row>
    <row r="7745" spans="3:11" x14ac:dyDescent="0.3">
      <c r="C7745" s="40" t="s">
        <v>1449</v>
      </c>
      <c r="D7745" s="68" t="s">
        <v>1450</v>
      </c>
      <c r="E7745" s="44"/>
      <c r="F7745" s="44"/>
      <c r="G7745" s="44"/>
      <c r="H7745" s="44"/>
      <c r="I7745" s="10">
        <f>ROUNDDOWN(H7761,0)</f>
        <v>601667</v>
      </c>
      <c r="J7745" s="15"/>
      <c r="K7745" s="39"/>
    </row>
    <row r="7746" spans="3:11" ht="27.6" x14ac:dyDescent="0.3">
      <c r="C7746" s="11" t="s">
        <v>9</v>
      </c>
      <c r="D7746" s="11" t="s">
        <v>10</v>
      </c>
      <c r="E7746" s="11" t="s">
        <v>11</v>
      </c>
      <c r="F7746" s="11" t="s">
        <v>12</v>
      </c>
      <c r="G7746" s="11" t="s">
        <v>13</v>
      </c>
      <c r="H7746" s="11" t="s">
        <v>14</v>
      </c>
    </row>
    <row r="7747" spans="3:11" x14ac:dyDescent="0.25">
      <c r="C7747" s="12" t="s">
        <v>15</v>
      </c>
      <c r="D7747" s="13" t="s">
        <v>16</v>
      </c>
      <c r="E7747" s="14"/>
      <c r="F7747" s="14"/>
      <c r="G7747" s="14"/>
      <c r="H7747" s="14"/>
    </row>
    <row r="7748" spans="3:11" x14ac:dyDescent="0.3">
      <c r="C7748" s="16">
        <v>1</v>
      </c>
      <c r="D7748" s="13" t="s">
        <v>18</v>
      </c>
      <c r="E7748" s="17" t="s">
        <v>19</v>
      </c>
      <c r="F7748" s="18">
        <v>0.38100000000000001</v>
      </c>
      <c r="G7748" s="19">
        <f>VLOOKUP(D7748,upahbahan,3,FALSE)</f>
        <v>100000</v>
      </c>
      <c r="H7748" s="19">
        <f t="shared" ref="H7748:H7751" si="808">F7748*G7748</f>
        <v>38100</v>
      </c>
    </row>
    <row r="7749" spans="3:11" x14ac:dyDescent="0.3">
      <c r="C7749" s="16">
        <v>2</v>
      </c>
      <c r="D7749" s="13" t="s">
        <v>21</v>
      </c>
      <c r="E7749" s="17" t="s">
        <v>19</v>
      </c>
      <c r="F7749" s="18">
        <v>0.63600000000000001</v>
      </c>
      <c r="G7749" s="19">
        <f>VLOOKUP(D7749,upahbahan,3,FALSE)</f>
        <v>145000</v>
      </c>
      <c r="H7749" s="19">
        <f t="shared" si="808"/>
        <v>92220</v>
      </c>
    </row>
    <row r="7750" spans="3:11" x14ac:dyDescent="0.3">
      <c r="C7750" s="16">
        <v>3</v>
      </c>
      <c r="D7750" s="13" t="s">
        <v>1224</v>
      </c>
      <c r="E7750" s="17" t="s">
        <v>19</v>
      </c>
      <c r="F7750" s="18">
        <v>6.4000000000000001E-2</v>
      </c>
      <c r="G7750" s="19">
        <f>VLOOKUP(D7750,upahbahan,3,FALSE)</f>
        <v>175000</v>
      </c>
      <c r="H7750" s="19">
        <f t="shared" si="808"/>
        <v>11200</v>
      </c>
    </row>
    <row r="7751" spans="3:11" x14ac:dyDescent="0.3">
      <c r="C7751" s="16">
        <v>4</v>
      </c>
      <c r="D7751" s="13" t="s">
        <v>23</v>
      </c>
      <c r="E7751" s="17" t="s">
        <v>19</v>
      </c>
      <c r="F7751" s="18">
        <v>2.1000000000000001E-2</v>
      </c>
      <c r="G7751" s="19">
        <f>VLOOKUP(D7751,upahbahan,3,FALSE)</f>
        <v>200000</v>
      </c>
      <c r="H7751" s="19">
        <f t="shared" si="808"/>
        <v>4200</v>
      </c>
    </row>
    <row r="7752" spans="3:11" x14ac:dyDescent="0.3">
      <c r="C7752" s="21" t="s">
        <v>24</v>
      </c>
      <c r="D7752" s="22"/>
      <c r="E7752" s="22"/>
      <c r="F7752" s="54"/>
      <c r="G7752" s="24"/>
      <c r="H7752" s="19">
        <f>SUM(H7748:H7751)</f>
        <v>145720</v>
      </c>
      <c r="I7752" s="25"/>
    </row>
    <row r="7753" spans="3:11" x14ac:dyDescent="0.25">
      <c r="C7753" s="12" t="s">
        <v>25</v>
      </c>
      <c r="D7753" s="13" t="s">
        <v>26</v>
      </c>
      <c r="E7753" s="14"/>
      <c r="F7753" s="55"/>
      <c r="G7753" s="14"/>
      <c r="H7753" s="14"/>
    </row>
    <row r="7754" spans="3:11" x14ac:dyDescent="0.25">
      <c r="C7754" s="12">
        <v>1</v>
      </c>
      <c r="D7754" s="13" t="s">
        <v>1448</v>
      </c>
      <c r="E7754" s="53" t="s">
        <v>617</v>
      </c>
      <c r="F7754" s="115">
        <v>1.05</v>
      </c>
      <c r="G7754" s="19">
        <f>VLOOKUP(D7754,upahbahan,3,FALSE)</f>
        <v>250000</v>
      </c>
      <c r="H7754" s="19">
        <f t="shared" ref="H7754:H7755" si="809">F7754*G7754</f>
        <v>262500</v>
      </c>
    </row>
    <row r="7755" spans="3:11" x14ac:dyDescent="0.25">
      <c r="C7755" s="12">
        <v>2</v>
      </c>
      <c r="D7755" s="13" t="s">
        <v>1451</v>
      </c>
      <c r="E7755" s="53" t="s">
        <v>974</v>
      </c>
      <c r="F7755" s="115">
        <v>2.5</v>
      </c>
      <c r="G7755" s="19">
        <f>VLOOKUP(D7755,upahbahan,3,FALSE)</f>
        <v>55500</v>
      </c>
      <c r="H7755" s="19">
        <f t="shared" si="809"/>
        <v>138750</v>
      </c>
    </row>
    <row r="7756" spans="3:11" x14ac:dyDescent="0.3">
      <c r="C7756" s="21" t="s">
        <v>29</v>
      </c>
      <c r="D7756" s="22"/>
      <c r="E7756" s="22" t="s">
        <v>1340</v>
      </c>
      <c r="F7756" s="22"/>
      <c r="G7756" s="28"/>
      <c r="H7756" s="19">
        <f>SUM(H7753:H7755)</f>
        <v>401250</v>
      </c>
    </row>
    <row r="7757" spans="3:11" x14ac:dyDescent="0.25">
      <c r="C7757" s="12" t="s">
        <v>30</v>
      </c>
      <c r="D7757" s="13" t="s">
        <v>31</v>
      </c>
      <c r="E7757" s="14"/>
      <c r="F7757" s="14"/>
      <c r="G7757" s="14"/>
      <c r="H7757" s="14"/>
    </row>
    <row r="7758" spans="3:11" x14ac:dyDescent="0.3">
      <c r="C7758" s="21" t="s">
        <v>32</v>
      </c>
      <c r="D7758" s="77"/>
      <c r="E7758" s="77"/>
      <c r="F7758" s="77"/>
      <c r="G7758" s="28"/>
      <c r="H7758" s="29">
        <f>SUM(H7757:H7757)</f>
        <v>0</v>
      </c>
    </row>
    <row r="7759" spans="3:11" x14ac:dyDescent="0.3">
      <c r="C7759" s="30" t="s">
        <v>33</v>
      </c>
      <c r="D7759" s="31" t="s">
        <v>34</v>
      </c>
      <c r="E7759" s="32"/>
      <c r="F7759" s="32"/>
      <c r="G7759" s="33"/>
      <c r="H7759" s="46">
        <f>H7758+H7756+H7752</f>
        <v>546970</v>
      </c>
      <c r="I7759" s="47"/>
    </row>
    <row r="7760" spans="3:11" x14ac:dyDescent="0.3">
      <c r="C7760" s="30" t="s">
        <v>35</v>
      </c>
      <c r="D7760" s="31" t="s">
        <v>36</v>
      </c>
      <c r="E7760" s="32"/>
      <c r="F7760" s="33"/>
      <c r="G7760" s="34">
        <f>$M$9</f>
        <v>0.1</v>
      </c>
      <c r="H7760" s="19">
        <f>H7759*G7760</f>
        <v>54697</v>
      </c>
      <c r="I7760" s="47"/>
    </row>
    <row r="7761" spans="3:11" x14ac:dyDescent="0.3">
      <c r="C7761" s="30" t="s">
        <v>37</v>
      </c>
      <c r="D7761" s="31" t="s">
        <v>38</v>
      </c>
      <c r="E7761" s="32"/>
      <c r="F7761" s="32"/>
      <c r="G7761" s="33"/>
      <c r="H7761" s="48">
        <f>SUM(H7759:H7760)</f>
        <v>601667</v>
      </c>
      <c r="I7761" s="47"/>
    </row>
    <row r="7764" spans="3:11" x14ac:dyDescent="0.3">
      <c r="C7764" s="40" t="s">
        <v>1452</v>
      </c>
      <c r="D7764" s="68" t="s">
        <v>1453</v>
      </c>
      <c r="E7764" s="44"/>
      <c r="F7764" s="44"/>
      <c r="G7764" s="44"/>
      <c r="H7764" s="44"/>
      <c r="I7764" s="10">
        <f>ROUNDDOWN(H7785,0)</f>
        <v>589201</v>
      </c>
      <c r="J7764" s="15"/>
      <c r="K7764" s="39"/>
    </row>
    <row r="7765" spans="3:11" ht="27.6" x14ac:dyDescent="0.3">
      <c r="C7765" s="11" t="s">
        <v>9</v>
      </c>
      <c r="D7765" s="11" t="s">
        <v>10</v>
      </c>
      <c r="E7765" s="11" t="s">
        <v>11</v>
      </c>
      <c r="F7765" s="11" t="s">
        <v>12</v>
      </c>
      <c r="G7765" s="11" t="s">
        <v>13</v>
      </c>
      <c r="H7765" s="11" t="s">
        <v>14</v>
      </c>
    </row>
    <row r="7766" spans="3:11" x14ac:dyDescent="0.25">
      <c r="C7766" s="12" t="s">
        <v>15</v>
      </c>
      <c r="D7766" s="13" t="s">
        <v>16</v>
      </c>
      <c r="E7766" s="14"/>
      <c r="F7766" s="14"/>
      <c r="G7766" s="14"/>
      <c r="H7766" s="14"/>
    </row>
    <row r="7767" spans="3:11" x14ac:dyDescent="0.3">
      <c r="C7767" s="16">
        <v>1</v>
      </c>
      <c r="D7767" s="13" t="s">
        <v>18</v>
      </c>
      <c r="E7767" s="17" t="s">
        <v>19</v>
      </c>
      <c r="F7767" s="18">
        <v>0.19</v>
      </c>
      <c r="G7767" s="19">
        <f>VLOOKUP(D7767,upahbahan,3,FALSE)</f>
        <v>100000</v>
      </c>
      <c r="H7767" s="19">
        <f t="shared" ref="H7767:H7770" si="810">F7767*G7767</f>
        <v>19000</v>
      </c>
    </row>
    <row r="7768" spans="3:11" x14ac:dyDescent="0.3">
      <c r="C7768" s="16">
        <v>2</v>
      </c>
      <c r="D7768" s="13" t="s">
        <v>21</v>
      </c>
      <c r="E7768" s="17" t="s">
        <v>19</v>
      </c>
      <c r="F7768" s="18">
        <v>0.318</v>
      </c>
      <c r="G7768" s="19">
        <f>VLOOKUP(D7768,upahbahan,3,FALSE)</f>
        <v>145000</v>
      </c>
      <c r="H7768" s="19">
        <f t="shared" si="810"/>
        <v>46110</v>
      </c>
    </row>
    <row r="7769" spans="3:11" x14ac:dyDescent="0.3">
      <c r="C7769" s="16">
        <v>3</v>
      </c>
      <c r="D7769" s="13" t="s">
        <v>1224</v>
      </c>
      <c r="E7769" s="17" t="s">
        <v>19</v>
      </c>
      <c r="F7769" s="18">
        <v>3.2000000000000001E-2</v>
      </c>
      <c r="G7769" s="19">
        <f>VLOOKUP(D7769,upahbahan,3,FALSE)</f>
        <v>175000</v>
      </c>
      <c r="H7769" s="19">
        <f t="shared" si="810"/>
        <v>5600</v>
      </c>
    </row>
    <row r="7770" spans="3:11" x14ac:dyDescent="0.3">
      <c r="C7770" s="16">
        <v>4</v>
      </c>
      <c r="D7770" s="13" t="s">
        <v>23</v>
      </c>
      <c r="E7770" s="17" t="s">
        <v>19</v>
      </c>
      <c r="F7770" s="18">
        <v>1.0999999999999999E-2</v>
      </c>
      <c r="G7770" s="19">
        <f>VLOOKUP(D7770,upahbahan,3,FALSE)</f>
        <v>200000</v>
      </c>
      <c r="H7770" s="19">
        <f t="shared" si="810"/>
        <v>2200</v>
      </c>
    </row>
    <row r="7771" spans="3:11" x14ac:dyDescent="0.3">
      <c r="C7771" s="21" t="s">
        <v>24</v>
      </c>
      <c r="D7771" s="22"/>
      <c r="E7771" s="22"/>
      <c r="F7771" s="54"/>
      <c r="G7771" s="24"/>
      <c r="H7771" s="19">
        <f>SUM(H7767:H7770)</f>
        <v>72910</v>
      </c>
      <c r="I7771" s="25"/>
    </row>
    <row r="7772" spans="3:11" x14ac:dyDescent="0.25">
      <c r="C7772" s="12" t="s">
        <v>25</v>
      </c>
      <c r="D7772" s="13" t="s">
        <v>26</v>
      </c>
      <c r="E7772" s="14"/>
      <c r="F7772" s="55"/>
      <c r="G7772" s="14"/>
      <c r="H7772" s="14"/>
    </row>
    <row r="7773" spans="3:11" x14ac:dyDescent="0.25">
      <c r="C7773" s="12">
        <v>1</v>
      </c>
      <c r="D7773" s="13" t="s">
        <v>281</v>
      </c>
      <c r="E7773" s="53" t="s">
        <v>974</v>
      </c>
      <c r="F7773" s="115">
        <v>33</v>
      </c>
      <c r="G7773" s="19">
        <f t="shared" ref="G7773:G7779" si="811">VLOOKUP(D7773,upahbahan,3,FALSE)</f>
        <v>9300</v>
      </c>
      <c r="H7773" s="19">
        <f t="shared" ref="H7773:H7779" si="812">F7773*G7773</f>
        <v>306900</v>
      </c>
    </row>
    <row r="7774" spans="3:11" x14ac:dyDescent="0.25">
      <c r="C7774" s="12">
        <v>2</v>
      </c>
      <c r="D7774" s="13" t="s">
        <v>975</v>
      </c>
      <c r="E7774" s="53" t="s">
        <v>974</v>
      </c>
      <c r="F7774" s="115">
        <v>33</v>
      </c>
      <c r="G7774" s="19">
        <f t="shared" si="811"/>
        <v>4000</v>
      </c>
      <c r="H7774" s="19">
        <f t="shared" si="812"/>
        <v>132000</v>
      </c>
    </row>
    <row r="7775" spans="3:11" x14ac:dyDescent="0.25">
      <c r="C7775" s="12">
        <v>3</v>
      </c>
      <c r="D7775" s="13" t="s">
        <v>976</v>
      </c>
      <c r="E7775" s="53" t="s">
        <v>949</v>
      </c>
      <c r="F7775" s="115">
        <v>1</v>
      </c>
      <c r="G7775" s="19">
        <f t="shared" si="811"/>
        <v>4000</v>
      </c>
      <c r="H7775" s="19">
        <f t="shared" si="812"/>
        <v>4000</v>
      </c>
    </row>
    <row r="7776" spans="3:11" x14ac:dyDescent="0.25">
      <c r="C7776" s="12">
        <v>4</v>
      </c>
      <c r="D7776" s="13" t="s">
        <v>977</v>
      </c>
      <c r="E7776" s="53" t="s">
        <v>949</v>
      </c>
      <c r="F7776" s="115">
        <v>17</v>
      </c>
      <c r="G7776" s="19">
        <f t="shared" si="811"/>
        <v>700</v>
      </c>
      <c r="H7776" s="19">
        <f t="shared" si="812"/>
        <v>11900</v>
      </c>
    </row>
    <row r="7777" spans="3:11" x14ac:dyDescent="0.25">
      <c r="C7777" s="12">
        <v>5</v>
      </c>
      <c r="D7777" s="13" t="s">
        <v>1104</v>
      </c>
      <c r="E7777" s="53" t="s">
        <v>949</v>
      </c>
      <c r="F7777" s="115">
        <v>1</v>
      </c>
      <c r="G7777" s="19">
        <f t="shared" si="811"/>
        <v>5400</v>
      </c>
      <c r="H7777" s="19">
        <f t="shared" si="812"/>
        <v>5400</v>
      </c>
    </row>
    <row r="7778" spans="3:11" x14ac:dyDescent="0.25">
      <c r="C7778" s="12">
        <v>6</v>
      </c>
      <c r="D7778" s="13" t="s">
        <v>981</v>
      </c>
      <c r="E7778" s="53" t="s">
        <v>974</v>
      </c>
      <c r="F7778" s="115">
        <v>0.5</v>
      </c>
      <c r="G7778" s="19">
        <f t="shared" si="811"/>
        <v>416</v>
      </c>
      <c r="H7778" s="19">
        <f t="shared" si="812"/>
        <v>208</v>
      </c>
    </row>
    <row r="7779" spans="3:11" x14ac:dyDescent="0.25">
      <c r="C7779" s="12">
        <v>7</v>
      </c>
      <c r="D7779" s="13" t="s">
        <v>982</v>
      </c>
      <c r="E7779" s="53" t="s">
        <v>949</v>
      </c>
      <c r="F7779" s="115">
        <v>4</v>
      </c>
      <c r="G7779" s="19">
        <f t="shared" si="811"/>
        <v>580</v>
      </c>
      <c r="H7779" s="19">
        <f t="shared" si="812"/>
        <v>2320</v>
      </c>
    </row>
    <row r="7780" spans="3:11" x14ac:dyDescent="0.3">
      <c r="C7780" s="21" t="s">
        <v>29</v>
      </c>
      <c r="D7780" s="22"/>
      <c r="E7780" s="22" t="s">
        <v>1340</v>
      </c>
      <c r="F7780" s="22"/>
      <c r="G7780" s="28"/>
      <c r="H7780" s="19">
        <f>SUM(H7772:H7779)</f>
        <v>462728</v>
      </c>
    </row>
    <row r="7781" spans="3:11" x14ac:dyDescent="0.25">
      <c r="C7781" s="12" t="s">
        <v>30</v>
      </c>
      <c r="D7781" s="13" t="s">
        <v>31</v>
      </c>
      <c r="E7781" s="14"/>
      <c r="F7781" s="14"/>
      <c r="G7781" s="14"/>
      <c r="H7781" s="14"/>
    </row>
    <row r="7782" spans="3:11" x14ac:dyDescent="0.3">
      <c r="C7782" s="21" t="s">
        <v>32</v>
      </c>
      <c r="D7782" s="77"/>
      <c r="E7782" s="77"/>
      <c r="F7782" s="77"/>
      <c r="G7782" s="28"/>
      <c r="H7782" s="29">
        <f>SUM(H7781:H7781)</f>
        <v>0</v>
      </c>
    </row>
    <row r="7783" spans="3:11" x14ac:dyDescent="0.3">
      <c r="C7783" s="30" t="s">
        <v>33</v>
      </c>
      <c r="D7783" s="31" t="s">
        <v>34</v>
      </c>
      <c r="E7783" s="32"/>
      <c r="F7783" s="32"/>
      <c r="G7783" s="33"/>
      <c r="H7783" s="46">
        <f>H7782+H7780+H7771</f>
        <v>535638</v>
      </c>
      <c r="I7783" s="47"/>
    </row>
    <row r="7784" spans="3:11" x14ac:dyDescent="0.3">
      <c r="C7784" s="30" t="s">
        <v>35</v>
      </c>
      <c r="D7784" s="31" t="s">
        <v>36</v>
      </c>
      <c r="E7784" s="32"/>
      <c r="F7784" s="33"/>
      <c r="G7784" s="34">
        <f>$M$9</f>
        <v>0.1</v>
      </c>
      <c r="H7784" s="19">
        <f>H7783*G7784</f>
        <v>53563.8</v>
      </c>
      <c r="I7784" s="47"/>
    </row>
    <row r="7785" spans="3:11" x14ac:dyDescent="0.3">
      <c r="C7785" s="30" t="s">
        <v>37</v>
      </c>
      <c r="D7785" s="31" t="s">
        <v>38</v>
      </c>
      <c r="E7785" s="32"/>
      <c r="F7785" s="32"/>
      <c r="G7785" s="33"/>
      <c r="H7785" s="48">
        <f>SUM(H7783:H7784)</f>
        <v>589201.80000000005</v>
      </c>
      <c r="I7785" s="47"/>
    </row>
    <row r="7787" spans="3:11" x14ac:dyDescent="0.3">
      <c r="C7787" s="56" t="s">
        <v>1454</v>
      </c>
      <c r="D7787" s="69" t="s">
        <v>1455</v>
      </c>
      <c r="E7787" s="58"/>
      <c r="F7787" s="58"/>
      <c r="G7787" s="58"/>
      <c r="H7787" s="58"/>
      <c r="I7787" s="10">
        <f>ROUNDDOWN(H7810,0)</f>
        <v>252239</v>
      </c>
      <c r="J7787" s="15"/>
      <c r="K7787" s="39"/>
    </row>
    <row r="7788" spans="3:11" ht="27.6" x14ac:dyDescent="0.3">
      <c r="C7788" s="11" t="s">
        <v>9</v>
      </c>
      <c r="D7788" s="11" t="s">
        <v>10</v>
      </c>
      <c r="E7788" s="11" t="s">
        <v>11</v>
      </c>
      <c r="F7788" s="11" t="s">
        <v>12</v>
      </c>
      <c r="G7788" s="11" t="s">
        <v>13</v>
      </c>
      <c r="H7788" s="11" t="s">
        <v>14</v>
      </c>
    </row>
    <row r="7789" spans="3:11" x14ac:dyDescent="0.25">
      <c r="C7789" s="12" t="s">
        <v>15</v>
      </c>
      <c r="D7789" s="13" t="s">
        <v>16</v>
      </c>
      <c r="E7789" s="14"/>
      <c r="F7789" s="14"/>
      <c r="G7789" s="14"/>
      <c r="H7789" s="14"/>
    </row>
    <row r="7790" spans="3:11" x14ac:dyDescent="0.3">
      <c r="C7790" s="16">
        <v>1</v>
      </c>
      <c r="D7790" s="13" t="s">
        <v>18</v>
      </c>
      <c r="E7790" s="17" t="s">
        <v>19</v>
      </c>
      <c r="F7790" s="18">
        <v>0.19</v>
      </c>
      <c r="G7790" s="19">
        <f>VLOOKUP(D7790,upahbahan,3,FALSE)</f>
        <v>100000</v>
      </c>
      <c r="H7790" s="19">
        <f t="shared" ref="H7790:H7793" si="813">F7790*G7790</f>
        <v>19000</v>
      </c>
    </row>
    <row r="7791" spans="3:11" x14ac:dyDescent="0.3">
      <c r="C7791" s="16">
        <v>2</v>
      </c>
      <c r="D7791" s="13" t="s">
        <v>21</v>
      </c>
      <c r="E7791" s="17" t="s">
        <v>19</v>
      </c>
      <c r="F7791" s="18">
        <v>0.318</v>
      </c>
      <c r="G7791" s="19">
        <f>VLOOKUP(D7791,upahbahan,3,FALSE)</f>
        <v>145000</v>
      </c>
      <c r="H7791" s="19">
        <f t="shared" si="813"/>
        <v>46110</v>
      </c>
    </row>
    <row r="7792" spans="3:11" x14ac:dyDescent="0.3">
      <c r="C7792" s="16">
        <v>3</v>
      </c>
      <c r="D7792" s="13" t="s">
        <v>1224</v>
      </c>
      <c r="E7792" s="17" t="s">
        <v>19</v>
      </c>
      <c r="F7792" s="18">
        <v>3.2000000000000001E-2</v>
      </c>
      <c r="G7792" s="19">
        <f>VLOOKUP(D7792,upahbahan,3,FALSE)</f>
        <v>175000</v>
      </c>
      <c r="H7792" s="19">
        <f t="shared" si="813"/>
        <v>5600</v>
      </c>
    </row>
    <row r="7793" spans="3:9" x14ac:dyDescent="0.3">
      <c r="C7793" s="16">
        <v>4</v>
      </c>
      <c r="D7793" s="13" t="s">
        <v>23</v>
      </c>
      <c r="E7793" s="17" t="s">
        <v>19</v>
      </c>
      <c r="F7793" s="18">
        <v>1.0999999999999999E-2</v>
      </c>
      <c r="G7793" s="19">
        <f>VLOOKUP(D7793,upahbahan,3,FALSE)</f>
        <v>200000</v>
      </c>
      <c r="H7793" s="19">
        <f t="shared" si="813"/>
        <v>2200</v>
      </c>
    </row>
    <row r="7794" spans="3:9" x14ac:dyDescent="0.3">
      <c r="C7794" s="21" t="s">
        <v>24</v>
      </c>
      <c r="D7794" s="22"/>
      <c r="E7794" s="22"/>
      <c r="F7794" s="54"/>
      <c r="G7794" s="24"/>
      <c r="H7794" s="19">
        <f>SUM(H7790:H7793)</f>
        <v>72910</v>
      </c>
      <c r="I7794" s="25"/>
    </row>
    <row r="7795" spans="3:9" x14ac:dyDescent="0.25">
      <c r="C7795" s="12" t="s">
        <v>25</v>
      </c>
      <c r="D7795" s="13" t="s">
        <v>26</v>
      </c>
      <c r="E7795" s="14"/>
      <c r="F7795" s="55"/>
      <c r="G7795" s="14"/>
      <c r="H7795" s="14"/>
    </row>
    <row r="7796" spans="3:9" x14ac:dyDescent="0.25">
      <c r="C7796" s="12">
        <v>1</v>
      </c>
      <c r="D7796" s="13" t="s">
        <v>281</v>
      </c>
      <c r="E7796" s="53" t="s">
        <v>974</v>
      </c>
      <c r="F7796" s="115">
        <v>9.9</v>
      </c>
      <c r="G7796" s="19">
        <f t="shared" ref="G7796:G7804" si="814">VLOOKUP(D7796,upahbahan,3,FALSE)</f>
        <v>9300</v>
      </c>
      <c r="H7796" s="19">
        <f t="shared" ref="H7796:H7804" si="815">F7796*G7796</f>
        <v>92070</v>
      </c>
    </row>
    <row r="7797" spans="3:9" x14ac:dyDescent="0.25">
      <c r="C7797" s="12">
        <v>2</v>
      </c>
      <c r="D7797" s="13" t="s">
        <v>975</v>
      </c>
      <c r="E7797" s="53" t="s">
        <v>974</v>
      </c>
      <c r="F7797" s="115">
        <v>9.9</v>
      </c>
      <c r="G7797" s="19">
        <f t="shared" si="814"/>
        <v>4000</v>
      </c>
      <c r="H7797" s="19">
        <f t="shared" si="815"/>
        <v>39600</v>
      </c>
    </row>
    <row r="7798" spans="3:9" x14ac:dyDescent="0.25">
      <c r="C7798" s="12">
        <v>3</v>
      </c>
      <c r="D7798" s="13" t="s">
        <v>976</v>
      </c>
      <c r="E7798" s="53" t="s">
        <v>949</v>
      </c>
      <c r="F7798" s="115">
        <v>1</v>
      </c>
      <c r="G7798" s="19">
        <f t="shared" si="814"/>
        <v>4000</v>
      </c>
      <c r="H7798" s="19">
        <f t="shared" si="815"/>
        <v>4000</v>
      </c>
    </row>
    <row r="7799" spans="3:9" x14ac:dyDescent="0.25">
      <c r="C7799" s="12">
        <v>4</v>
      </c>
      <c r="D7799" s="13" t="s">
        <v>977</v>
      </c>
      <c r="E7799" s="53" t="s">
        <v>949</v>
      </c>
      <c r="F7799" s="115">
        <v>5</v>
      </c>
      <c r="G7799" s="19">
        <f t="shared" si="814"/>
        <v>700</v>
      </c>
      <c r="H7799" s="19">
        <f t="shared" si="815"/>
        <v>3500</v>
      </c>
    </row>
    <row r="7800" spans="3:9" x14ac:dyDescent="0.25">
      <c r="C7800" s="12">
        <v>5</v>
      </c>
      <c r="D7800" s="13" t="s">
        <v>1103</v>
      </c>
      <c r="E7800" s="53" t="s">
        <v>949</v>
      </c>
      <c r="F7800" s="115">
        <v>10</v>
      </c>
      <c r="G7800" s="19">
        <f t="shared" si="814"/>
        <v>900</v>
      </c>
      <c r="H7800" s="19">
        <f t="shared" si="815"/>
        <v>9000</v>
      </c>
    </row>
    <row r="7801" spans="3:9" x14ac:dyDescent="0.25">
      <c r="C7801" s="12">
        <v>6</v>
      </c>
      <c r="D7801" s="13" t="s">
        <v>1104</v>
      </c>
      <c r="E7801" s="53" t="s">
        <v>949</v>
      </c>
      <c r="F7801" s="115">
        <v>1</v>
      </c>
      <c r="G7801" s="19">
        <f t="shared" si="814"/>
        <v>5400</v>
      </c>
      <c r="H7801" s="19">
        <f t="shared" si="815"/>
        <v>5400</v>
      </c>
    </row>
    <row r="7802" spans="3:9" x14ac:dyDescent="0.25">
      <c r="C7802" s="12">
        <v>7</v>
      </c>
      <c r="D7802" s="13" t="s">
        <v>981</v>
      </c>
      <c r="E7802" s="53" t="s">
        <v>974</v>
      </c>
      <c r="F7802" s="115">
        <v>0.5</v>
      </c>
      <c r="G7802" s="19">
        <f t="shared" si="814"/>
        <v>416</v>
      </c>
      <c r="H7802" s="19">
        <f t="shared" si="815"/>
        <v>208</v>
      </c>
    </row>
    <row r="7803" spans="3:9" x14ac:dyDescent="0.25">
      <c r="C7803" s="12">
        <v>8</v>
      </c>
      <c r="D7803" s="13" t="s">
        <v>982</v>
      </c>
      <c r="E7803" s="53" t="s">
        <v>949</v>
      </c>
      <c r="F7803" s="115">
        <v>4</v>
      </c>
      <c r="G7803" s="19">
        <f t="shared" si="814"/>
        <v>580</v>
      </c>
      <c r="H7803" s="19">
        <f t="shared" si="815"/>
        <v>2320</v>
      </c>
    </row>
    <row r="7804" spans="3:9" x14ac:dyDescent="0.25">
      <c r="C7804" s="12">
        <v>9</v>
      </c>
      <c r="D7804" s="13" t="s">
        <v>979</v>
      </c>
      <c r="E7804" s="53" t="s">
        <v>949</v>
      </c>
      <c r="F7804" s="115">
        <v>14</v>
      </c>
      <c r="G7804" s="19">
        <f t="shared" si="814"/>
        <v>21.5</v>
      </c>
      <c r="H7804" s="19">
        <f t="shared" si="815"/>
        <v>301</v>
      </c>
    </row>
    <row r="7805" spans="3:9" x14ac:dyDescent="0.3">
      <c r="C7805" s="21" t="s">
        <v>29</v>
      </c>
      <c r="D7805" s="22"/>
      <c r="E7805" s="22" t="s">
        <v>1340</v>
      </c>
      <c r="F7805" s="22"/>
      <c r="G7805" s="28"/>
      <c r="H7805" s="19">
        <f>SUM(H7795:H7804)</f>
        <v>156399</v>
      </c>
    </row>
    <row r="7806" spans="3:9" x14ac:dyDescent="0.25">
      <c r="C7806" s="12" t="s">
        <v>30</v>
      </c>
      <c r="D7806" s="13" t="s">
        <v>31</v>
      </c>
      <c r="E7806" s="14"/>
      <c r="F7806" s="14"/>
      <c r="G7806" s="14"/>
      <c r="H7806" s="14"/>
    </row>
    <row r="7807" spans="3:9" x14ac:dyDescent="0.3">
      <c r="C7807" s="21" t="s">
        <v>32</v>
      </c>
      <c r="D7807" s="77"/>
      <c r="E7807" s="77"/>
      <c r="F7807" s="77"/>
      <c r="G7807" s="28"/>
      <c r="H7807" s="29">
        <f>SUM(H7806:H7806)</f>
        <v>0</v>
      </c>
    </row>
    <row r="7808" spans="3:9" x14ac:dyDescent="0.3">
      <c r="C7808" s="30" t="s">
        <v>33</v>
      </c>
      <c r="D7808" s="31" t="s">
        <v>34</v>
      </c>
      <c r="E7808" s="32"/>
      <c r="F7808" s="32"/>
      <c r="G7808" s="33"/>
      <c r="H7808" s="46">
        <f>H7807+H7805+H7794</f>
        <v>229309</v>
      </c>
      <c r="I7808" s="47"/>
    </row>
    <row r="7809" spans="3:11" x14ac:dyDescent="0.3">
      <c r="C7809" s="30" t="s">
        <v>35</v>
      </c>
      <c r="D7809" s="31" t="s">
        <v>36</v>
      </c>
      <c r="E7809" s="32"/>
      <c r="F7809" s="33"/>
      <c r="G7809" s="34">
        <f>$M$9</f>
        <v>0.1</v>
      </c>
      <c r="H7809" s="19">
        <f>H7808*G7809</f>
        <v>22930.9</v>
      </c>
      <c r="I7809" s="47"/>
    </row>
    <row r="7810" spans="3:11" x14ac:dyDescent="0.3">
      <c r="C7810" s="30" t="s">
        <v>37</v>
      </c>
      <c r="D7810" s="31" t="s">
        <v>38</v>
      </c>
      <c r="E7810" s="32"/>
      <c r="F7810" s="32"/>
      <c r="G7810" s="33"/>
      <c r="H7810" s="48">
        <f>SUM(H7808:H7809)</f>
        <v>252239.9</v>
      </c>
      <c r="I7810" s="47"/>
    </row>
    <row r="7813" spans="3:11" x14ac:dyDescent="0.3">
      <c r="C7813" s="2" t="s">
        <v>1456</v>
      </c>
      <c r="D7813" s="2" t="s">
        <v>1457</v>
      </c>
    </row>
    <row r="7814" spans="3:11" x14ac:dyDescent="0.3">
      <c r="C7814" s="40" t="s">
        <v>1458</v>
      </c>
      <c r="D7814" s="68" t="s">
        <v>1459</v>
      </c>
      <c r="E7814" s="44"/>
      <c r="F7814" s="44"/>
      <c r="G7814" s="44"/>
      <c r="H7814" s="44"/>
      <c r="I7814" s="10">
        <f>ROUNDDOWN(H7829,0)</f>
        <v>205315</v>
      </c>
      <c r="J7814" s="15"/>
      <c r="K7814" s="39"/>
    </row>
    <row r="7815" spans="3:11" ht="27.6" x14ac:dyDescent="0.3">
      <c r="C7815" s="11" t="s">
        <v>9</v>
      </c>
      <c r="D7815" s="11" t="s">
        <v>10</v>
      </c>
      <c r="E7815" s="11" t="s">
        <v>11</v>
      </c>
      <c r="F7815" s="11" t="s">
        <v>12</v>
      </c>
      <c r="G7815" s="11" t="s">
        <v>13</v>
      </c>
      <c r="H7815" s="11" t="s">
        <v>14</v>
      </c>
    </row>
    <row r="7816" spans="3:11" x14ac:dyDescent="0.25">
      <c r="C7816" s="12" t="s">
        <v>15</v>
      </c>
      <c r="D7816" s="13" t="s">
        <v>16</v>
      </c>
      <c r="E7816" s="14"/>
      <c r="F7816" s="14"/>
      <c r="G7816" s="14"/>
      <c r="H7816" s="14"/>
    </row>
    <row r="7817" spans="3:11" x14ac:dyDescent="0.3">
      <c r="C7817" s="16">
        <v>1</v>
      </c>
      <c r="D7817" s="13" t="s">
        <v>18</v>
      </c>
      <c r="E7817" s="17" t="s">
        <v>19</v>
      </c>
      <c r="F7817" s="18">
        <v>0.129</v>
      </c>
      <c r="G7817" s="19">
        <f>VLOOKUP(D7817,upahbahan,3,FALSE)</f>
        <v>100000</v>
      </c>
      <c r="H7817" s="19">
        <f t="shared" ref="H7817:H7820" si="816">F7817*G7817</f>
        <v>12900</v>
      </c>
    </row>
    <row r="7818" spans="3:11" x14ac:dyDescent="0.3">
      <c r="C7818" s="16">
        <v>2</v>
      </c>
      <c r="D7818" s="13" t="s">
        <v>21</v>
      </c>
      <c r="E7818" s="17" t="s">
        <v>19</v>
      </c>
      <c r="F7818" s="18">
        <v>0.215</v>
      </c>
      <c r="G7818" s="19">
        <f>VLOOKUP(D7818,upahbahan,3,FALSE)</f>
        <v>145000</v>
      </c>
      <c r="H7818" s="19">
        <f t="shared" si="816"/>
        <v>31175</v>
      </c>
    </row>
    <row r="7819" spans="3:11" x14ac:dyDescent="0.3">
      <c r="C7819" s="16">
        <v>3</v>
      </c>
      <c r="D7819" s="13" t="s">
        <v>1224</v>
      </c>
      <c r="E7819" s="17" t="s">
        <v>19</v>
      </c>
      <c r="F7819" s="18">
        <v>2.1000000000000001E-2</v>
      </c>
      <c r="G7819" s="19">
        <f>VLOOKUP(D7819,upahbahan,3,FALSE)</f>
        <v>175000</v>
      </c>
      <c r="H7819" s="19">
        <f t="shared" si="816"/>
        <v>3675.0000000000005</v>
      </c>
    </row>
    <row r="7820" spans="3:11" x14ac:dyDescent="0.3">
      <c r="C7820" s="16">
        <v>4</v>
      </c>
      <c r="D7820" s="13" t="s">
        <v>23</v>
      </c>
      <c r="E7820" s="17" t="s">
        <v>19</v>
      </c>
      <c r="F7820" s="18">
        <v>7.0000000000000001E-3</v>
      </c>
      <c r="G7820" s="19">
        <f>VLOOKUP(D7820,upahbahan,3,FALSE)</f>
        <v>200000</v>
      </c>
      <c r="H7820" s="19">
        <f t="shared" si="816"/>
        <v>1400</v>
      </c>
    </row>
    <row r="7821" spans="3:11" x14ac:dyDescent="0.3">
      <c r="C7821" s="21" t="s">
        <v>24</v>
      </c>
      <c r="D7821" s="22"/>
      <c r="E7821" s="22"/>
      <c r="F7821" s="54"/>
      <c r="G7821" s="24"/>
      <c r="H7821" s="19">
        <f>SUM(H7817:H7820)</f>
        <v>49150</v>
      </c>
      <c r="I7821" s="25"/>
    </row>
    <row r="7822" spans="3:11" x14ac:dyDescent="0.25">
      <c r="C7822" s="12" t="s">
        <v>25</v>
      </c>
      <c r="D7822" s="13" t="s">
        <v>26</v>
      </c>
      <c r="E7822" s="14"/>
      <c r="F7822" s="55"/>
      <c r="G7822" s="14"/>
      <c r="H7822" s="14"/>
    </row>
    <row r="7823" spans="3:11" x14ac:dyDescent="0.25">
      <c r="C7823" s="12">
        <v>1</v>
      </c>
      <c r="D7823" s="13" t="s">
        <v>1460</v>
      </c>
      <c r="E7823" s="53" t="s">
        <v>846</v>
      </c>
      <c r="F7823" s="115">
        <v>1.1000000000000001</v>
      </c>
      <c r="G7823" s="19">
        <f>VLOOKUP(D7823,upahbahan,3,FALSE)</f>
        <v>125000</v>
      </c>
      <c r="H7823" s="19">
        <f t="shared" ref="H7823" si="817">F7823*G7823</f>
        <v>137500</v>
      </c>
    </row>
    <row r="7824" spans="3:11" x14ac:dyDescent="0.3">
      <c r="C7824" s="21" t="s">
        <v>29</v>
      </c>
      <c r="D7824" s="22"/>
      <c r="E7824" s="22" t="s">
        <v>1340</v>
      </c>
      <c r="F7824" s="22"/>
      <c r="G7824" s="28"/>
      <c r="H7824" s="19">
        <f>SUM(H7822:H7823)</f>
        <v>137500</v>
      </c>
    </row>
    <row r="7825" spans="3:11" x14ac:dyDescent="0.25">
      <c r="C7825" s="12" t="s">
        <v>30</v>
      </c>
      <c r="D7825" s="13" t="s">
        <v>31</v>
      </c>
      <c r="E7825" s="14"/>
      <c r="F7825" s="14"/>
      <c r="G7825" s="14"/>
      <c r="H7825" s="14"/>
    </row>
    <row r="7826" spans="3:11" x14ac:dyDescent="0.3">
      <c r="C7826" s="21" t="s">
        <v>32</v>
      </c>
      <c r="D7826" s="77"/>
      <c r="E7826" s="77"/>
      <c r="F7826" s="77"/>
      <c r="G7826" s="28"/>
      <c r="H7826" s="29">
        <f>SUM(H7825:H7825)</f>
        <v>0</v>
      </c>
    </row>
    <row r="7827" spans="3:11" x14ac:dyDescent="0.3">
      <c r="C7827" s="30" t="s">
        <v>33</v>
      </c>
      <c r="D7827" s="31" t="s">
        <v>34</v>
      </c>
      <c r="E7827" s="32"/>
      <c r="F7827" s="32"/>
      <c r="G7827" s="33"/>
      <c r="H7827" s="46">
        <f>H7826+H7824+H7821</f>
        <v>186650</v>
      </c>
      <c r="I7827" s="47"/>
    </row>
    <row r="7828" spans="3:11" x14ac:dyDescent="0.3">
      <c r="C7828" s="30" t="s">
        <v>35</v>
      </c>
      <c r="D7828" s="31" t="s">
        <v>36</v>
      </c>
      <c r="E7828" s="32"/>
      <c r="F7828" s="33"/>
      <c r="G7828" s="34">
        <f>$M$9</f>
        <v>0.1</v>
      </c>
      <c r="H7828" s="19">
        <f>H7827*G7828</f>
        <v>18665</v>
      </c>
      <c r="I7828" s="47"/>
    </row>
    <row r="7829" spans="3:11" x14ac:dyDescent="0.3">
      <c r="C7829" s="30" t="s">
        <v>37</v>
      </c>
      <c r="D7829" s="31" t="s">
        <v>38</v>
      </c>
      <c r="E7829" s="32"/>
      <c r="F7829" s="32"/>
      <c r="G7829" s="33"/>
      <c r="H7829" s="48">
        <f>SUM(H7827:H7828)</f>
        <v>205315</v>
      </c>
      <c r="I7829" s="47"/>
    </row>
    <row r="7831" spans="3:11" x14ac:dyDescent="0.3">
      <c r="C7831" s="40" t="s">
        <v>1461</v>
      </c>
      <c r="D7831" s="68" t="s">
        <v>1462</v>
      </c>
      <c r="E7831" s="44"/>
      <c r="F7831" s="44"/>
      <c r="G7831" s="44"/>
      <c r="H7831" s="44"/>
      <c r="I7831" s="10">
        <f>ROUNDDOWN(H7846,0)</f>
        <v>235565</v>
      </c>
      <c r="J7831" s="15"/>
      <c r="K7831" s="39"/>
    </row>
    <row r="7832" spans="3:11" ht="27.6" x14ac:dyDescent="0.3">
      <c r="C7832" s="11" t="s">
        <v>9</v>
      </c>
      <c r="D7832" s="11" t="s">
        <v>10</v>
      </c>
      <c r="E7832" s="11" t="s">
        <v>11</v>
      </c>
      <c r="F7832" s="11" t="s">
        <v>12</v>
      </c>
      <c r="G7832" s="11" t="s">
        <v>13</v>
      </c>
      <c r="H7832" s="11" t="s">
        <v>14</v>
      </c>
    </row>
    <row r="7833" spans="3:11" x14ac:dyDescent="0.25">
      <c r="C7833" s="12" t="s">
        <v>15</v>
      </c>
      <c r="D7833" s="13" t="s">
        <v>16</v>
      </c>
      <c r="E7833" s="14"/>
      <c r="F7833" s="14"/>
      <c r="G7833" s="14"/>
      <c r="H7833" s="14"/>
    </row>
    <row r="7834" spans="3:11" x14ac:dyDescent="0.3">
      <c r="C7834" s="16">
        <v>1</v>
      </c>
      <c r="D7834" s="13" t="s">
        <v>18</v>
      </c>
      <c r="E7834" s="17" t="s">
        <v>19</v>
      </c>
      <c r="F7834" s="18">
        <v>0.129</v>
      </c>
      <c r="G7834" s="19">
        <f>VLOOKUP(D7834,upahbahan,3,FALSE)</f>
        <v>100000</v>
      </c>
      <c r="H7834" s="19">
        <f t="shared" ref="H7834:H7837" si="818">F7834*G7834</f>
        <v>12900</v>
      </c>
    </row>
    <row r="7835" spans="3:11" x14ac:dyDescent="0.3">
      <c r="C7835" s="16">
        <v>2</v>
      </c>
      <c r="D7835" s="13" t="s">
        <v>21</v>
      </c>
      <c r="E7835" s="17" t="s">
        <v>19</v>
      </c>
      <c r="F7835" s="18">
        <v>0.215</v>
      </c>
      <c r="G7835" s="19">
        <f>VLOOKUP(D7835,upahbahan,3,FALSE)</f>
        <v>145000</v>
      </c>
      <c r="H7835" s="19">
        <f t="shared" si="818"/>
        <v>31175</v>
      </c>
    </row>
    <row r="7836" spans="3:11" x14ac:dyDescent="0.3">
      <c r="C7836" s="16">
        <v>3</v>
      </c>
      <c r="D7836" s="13" t="s">
        <v>1224</v>
      </c>
      <c r="E7836" s="17" t="s">
        <v>19</v>
      </c>
      <c r="F7836" s="18">
        <v>2.1000000000000001E-2</v>
      </c>
      <c r="G7836" s="19">
        <f>VLOOKUP(D7836,upahbahan,3,FALSE)</f>
        <v>175000</v>
      </c>
      <c r="H7836" s="19">
        <f t="shared" si="818"/>
        <v>3675.0000000000005</v>
      </c>
    </row>
    <row r="7837" spans="3:11" x14ac:dyDescent="0.3">
      <c r="C7837" s="16">
        <v>4</v>
      </c>
      <c r="D7837" s="13" t="s">
        <v>23</v>
      </c>
      <c r="E7837" s="17" t="s">
        <v>19</v>
      </c>
      <c r="F7837" s="18">
        <v>7.0000000000000001E-3</v>
      </c>
      <c r="G7837" s="19">
        <f>VLOOKUP(D7837,upahbahan,3,FALSE)</f>
        <v>200000</v>
      </c>
      <c r="H7837" s="19">
        <f t="shared" si="818"/>
        <v>1400</v>
      </c>
    </row>
    <row r="7838" spans="3:11" x14ac:dyDescent="0.3">
      <c r="C7838" s="21" t="s">
        <v>24</v>
      </c>
      <c r="D7838" s="22"/>
      <c r="E7838" s="22"/>
      <c r="F7838" s="54"/>
      <c r="G7838" s="24"/>
      <c r="H7838" s="19">
        <f>SUM(H7834:H7837)</f>
        <v>49150</v>
      </c>
      <c r="I7838" s="25"/>
    </row>
    <row r="7839" spans="3:11" x14ac:dyDescent="0.25">
      <c r="C7839" s="12" t="s">
        <v>25</v>
      </c>
      <c r="D7839" s="13" t="s">
        <v>26</v>
      </c>
      <c r="E7839" s="14"/>
      <c r="F7839" s="55"/>
      <c r="G7839" s="14"/>
      <c r="H7839" s="14"/>
    </row>
    <row r="7840" spans="3:11" x14ac:dyDescent="0.25">
      <c r="C7840" s="12">
        <v>1</v>
      </c>
      <c r="D7840" s="13" t="s">
        <v>1463</v>
      </c>
      <c r="E7840" s="53" t="s">
        <v>846</v>
      </c>
      <c r="F7840" s="115">
        <v>1.1000000000000001</v>
      </c>
      <c r="G7840" s="19">
        <f>VLOOKUP(D7840,upahbahan,3,FALSE)</f>
        <v>150000</v>
      </c>
      <c r="H7840" s="19">
        <f t="shared" ref="H7840" si="819">F7840*G7840</f>
        <v>165000</v>
      </c>
    </row>
    <row r="7841" spans="3:11" x14ac:dyDescent="0.3">
      <c r="C7841" s="21" t="s">
        <v>29</v>
      </c>
      <c r="D7841" s="22"/>
      <c r="E7841" s="22" t="s">
        <v>1340</v>
      </c>
      <c r="F7841" s="22"/>
      <c r="G7841" s="28"/>
      <c r="H7841" s="19">
        <f>SUM(H7839:H7840)</f>
        <v>165000</v>
      </c>
    </row>
    <row r="7842" spans="3:11" x14ac:dyDescent="0.25">
      <c r="C7842" s="12" t="s">
        <v>30</v>
      </c>
      <c r="D7842" s="13" t="s">
        <v>31</v>
      </c>
      <c r="E7842" s="14"/>
      <c r="F7842" s="14"/>
      <c r="G7842" s="14"/>
      <c r="H7842" s="14"/>
    </row>
    <row r="7843" spans="3:11" x14ac:dyDescent="0.3">
      <c r="C7843" s="21" t="s">
        <v>32</v>
      </c>
      <c r="D7843" s="77"/>
      <c r="E7843" s="77"/>
      <c r="F7843" s="77"/>
      <c r="G7843" s="28"/>
      <c r="H7843" s="29">
        <f>SUM(H7842:H7842)</f>
        <v>0</v>
      </c>
    </row>
    <row r="7844" spans="3:11" x14ac:dyDescent="0.3">
      <c r="C7844" s="30" t="s">
        <v>33</v>
      </c>
      <c r="D7844" s="31" t="s">
        <v>34</v>
      </c>
      <c r="E7844" s="32"/>
      <c r="F7844" s="32"/>
      <c r="G7844" s="33"/>
      <c r="H7844" s="46">
        <f>H7843+H7841+H7838</f>
        <v>214150</v>
      </c>
      <c r="I7844" s="47"/>
    </row>
    <row r="7845" spans="3:11" x14ac:dyDescent="0.3">
      <c r="C7845" s="30" t="s">
        <v>35</v>
      </c>
      <c r="D7845" s="31" t="s">
        <v>36</v>
      </c>
      <c r="E7845" s="32"/>
      <c r="F7845" s="33"/>
      <c r="G7845" s="34">
        <f>$M$9</f>
        <v>0.1</v>
      </c>
      <c r="H7845" s="19">
        <f>H7844*G7845</f>
        <v>21415</v>
      </c>
      <c r="I7845" s="47"/>
    </row>
    <row r="7846" spans="3:11" x14ac:dyDescent="0.3">
      <c r="C7846" s="30" t="s">
        <v>37</v>
      </c>
      <c r="D7846" s="31" t="s">
        <v>38</v>
      </c>
      <c r="E7846" s="32"/>
      <c r="F7846" s="32"/>
      <c r="G7846" s="33"/>
      <c r="H7846" s="48">
        <f>SUM(H7844:H7845)</f>
        <v>235565</v>
      </c>
      <c r="I7846" s="47"/>
    </row>
    <row r="7848" spans="3:11" x14ac:dyDescent="0.3">
      <c r="C7848" s="40" t="s">
        <v>1464</v>
      </c>
      <c r="D7848" s="68" t="s">
        <v>1465</v>
      </c>
      <c r="E7848" s="44"/>
      <c r="F7848" s="44"/>
      <c r="G7848" s="44"/>
      <c r="H7848" s="44"/>
      <c r="I7848" s="10">
        <f>ROUNDDOWN(H7863,0)</f>
        <v>1475391</v>
      </c>
      <c r="J7848" s="15"/>
      <c r="K7848" s="39"/>
    </row>
    <row r="7849" spans="3:11" ht="27.6" x14ac:dyDescent="0.3">
      <c r="C7849" s="11" t="s">
        <v>9</v>
      </c>
      <c r="D7849" s="11" t="s">
        <v>10</v>
      </c>
      <c r="E7849" s="11" t="s">
        <v>11</v>
      </c>
      <c r="F7849" s="11" t="s">
        <v>12</v>
      </c>
      <c r="G7849" s="11" t="s">
        <v>13</v>
      </c>
      <c r="H7849" s="11" t="s">
        <v>14</v>
      </c>
    </row>
    <row r="7850" spans="3:11" x14ac:dyDescent="0.25">
      <c r="C7850" s="12" t="s">
        <v>15</v>
      </c>
      <c r="D7850" s="13" t="s">
        <v>16</v>
      </c>
      <c r="E7850" s="14"/>
      <c r="F7850" s="14"/>
      <c r="G7850" s="14"/>
      <c r="H7850" s="14"/>
    </row>
    <row r="7851" spans="3:11" x14ac:dyDescent="0.3">
      <c r="C7851" s="16">
        <v>1</v>
      </c>
      <c r="D7851" s="13" t="s">
        <v>18</v>
      </c>
      <c r="E7851" s="17" t="s">
        <v>19</v>
      </c>
      <c r="F7851" s="18">
        <v>0.76200000000000001</v>
      </c>
      <c r="G7851" s="19">
        <f>VLOOKUP(D7851,upahbahan,3,FALSE)</f>
        <v>100000</v>
      </c>
      <c r="H7851" s="19">
        <f t="shared" ref="H7851:H7854" si="820">F7851*G7851</f>
        <v>76200</v>
      </c>
    </row>
    <row r="7852" spans="3:11" x14ac:dyDescent="0.3">
      <c r="C7852" s="16">
        <v>2</v>
      </c>
      <c r="D7852" s="13" t="s">
        <v>21</v>
      </c>
      <c r="E7852" s="17" t="s">
        <v>19</v>
      </c>
      <c r="F7852" s="18">
        <v>1.272</v>
      </c>
      <c r="G7852" s="19">
        <f>VLOOKUP(D7852,upahbahan,3,FALSE)</f>
        <v>145000</v>
      </c>
      <c r="H7852" s="19">
        <f t="shared" si="820"/>
        <v>184440</v>
      </c>
    </row>
    <row r="7853" spans="3:11" x14ac:dyDescent="0.3">
      <c r="C7853" s="16">
        <v>3</v>
      </c>
      <c r="D7853" s="13" t="s">
        <v>1224</v>
      </c>
      <c r="E7853" s="17" t="s">
        <v>19</v>
      </c>
      <c r="F7853" s="18">
        <v>0.127</v>
      </c>
      <c r="G7853" s="19">
        <f>VLOOKUP(D7853,upahbahan,3,FALSE)</f>
        <v>175000</v>
      </c>
      <c r="H7853" s="19">
        <f t="shared" si="820"/>
        <v>22225</v>
      </c>
    </row>
    <row r="7854" spans="3:11" x14ac:dyDescent="0.3">
      <c r="C7854" s="16">
        <v>4</v>
      </c>
      <c r="D7854" s="13" t="s">
        <v>23</v>
      </c>
      <c r="E7854" s="17" t="s">
        <v>19</v>
      </c>
      <c r="F7854" s="18">
        <v>4.2000000000000003E-2</v>
      </c>
      <c r="G7854" s="19">
        <f>VLOOKUP(D7854,upahbahan,3,FALSE)</f>
        <v>200000</v>
      </c>
      <c r="H7854" s="19">
        <f t="shared" si="820"/>
        <v>8400</v>
      </c>
    </row>
    <row r="7855" spans="3:11" x14ac:dyDescent="0.3">
      <c r="C7855" s="21" t="s">
        <v>24</v>
      </c>
      <c r="D7855" s="22"/>
      <c r="E7855" s="22"/>
      <c r="F7855" s="54"/>
      <c r="G7855" s="24"/>
      <c r="H7855" s="19">
        <f>SUM(H7851:H7854)</f>
        <v>291265</v>
      </c>
      <c r="I7855" s="25"/>
    </row>
    <row r="7856" spans="3:11" x14ac:dyDescent="0.25">
      <c r="C7856" s="12" t="s">
        <v>25</v>
      </c>
      <c r="D7856" s="13" t="s">
        <v>26</v>
      </c>
      <c r="E7856" s="14"/>
      <c r="F7856" s="55"/>
      <c r="G7856" s="14"/>
      <c r="H7856" s="14"/>
    </row>
    <row r="7857" spans="3:11" ht="27.6" x14ac:dyDescent="0.25">
      <c r="C7857" s="12">
        <v>1</v>
      </c>
      <c r="D7857" s="13" t="s">
        <v>1466</v>
      </c>
      <c r="E7857" s="53" t="s">
        <v>846</v>
      </c>
      <c r="F7857" s="115">
        <v>1.05</v>
      </c>
      <c r="G7857" s="19">
        <f>VLOOKUP(D7857,upahbahan,3,FALSE)</f>
        <v>1000000</v>
      </c>
      <c r="H7857" s="19">
        <f t="shared" ref="H7857" si="821">F7857*G7857</f>
        <v>1050000</v>
      </c>
    </row>
    <row r="7858" spans="3:11" x14ac:dyDescent="0.3">
      <c r="C7858" s="21" t="s">
        <v>29</v>
      </c>
      <c r="D7858" s="22"/>
      <c r="E7858" s="22" t="s">
        <v>1340</v>
      </c>
      <c r="F7858" s="22"/>
      <c r="G7858" s="28"/>
      <c r="H7858" s="19">
        <f>SUM(H7856:H7857)</f>
        <v>1050000</v>
      </c>
    </row>
    <row r="7859" spans="3:11" x14ac:dyDescent="0.25">
      <c r="C7859" s="12" t="s">
        <v>30</v>
      </c>
      <c r="D7859" s="13" t="s">
        <v>31</v>
      </c>
      <c r="E7859" s="14"/>
      <c r="F7859" s="14"/>
      <c r="G7859" s="14"/>
      <c r="H7859" s="14"/>
    </row>
    <row r="7860" spans="3:11" x14ac:dyDescent="0.3">
      <c r="C7860" s="21" t="s">
        <v>32</v>
      </c>
      <c r="D7860" s="77"/>
      <c r="E7860" s="77"/>
      <c r="F7860" s="77"/>
      <c r="G7860" s="28"/>
      <c r="H7860" s="29">
        <f>SUM(H7859:H7859)</f>
        <v>0</v>
      </c>
    </row>
    <row r="7861" spans="3:11" x14ac:dyDescent="0.3">
      <c r="C7861" s="30" t="s">
        <v>33</v>
      </c>
      <c r="D7861" s="31" t="s">
        <v>34</v>
      </c>
      <c r="E7861" s="32"/>
      <c r="F7861" s="32"/>
      <c r="G7861" s="33"/>
      <c r="H7861" s="46">
        <f>H7860+H7858+H7855</f>
        <v>1341265</v>
      </c>
      <c r="I7861" s="47"/>
    </row>
    <row r="7862" spans="3:11" x14ac:dyDescent="0.3">
      <c r="C7862" s="30" t="s">
        <v>35</v>
      </c>
      <c r="D7862" s="31" t="s">
        <v>36</v>
      </c>
      <c r="E7862" s="32"/>
      <c r="F7862" s="33"/>
      <c r="G7862" s="34">
        <f>$M$9</f>
        <v>0.1</v>
      </c>
      <c r="H7862" s="19">
        <f>H7861*G7862</f>
        <v>134126.5</v>
      </c>
      <c r="I7862" s="47"/>
    </row>
    <row r="7863" spans="3:11" x14ac:dyDescent="0.3">
      <c r="C7863" s="30" t="s">
        <v>37</v>
      </c>
      <c r="D7863" s="31" t="s">
        <v>38</v>
      </c>
      <c r="E7863" s="32"/>
      <c r="F7863" s="32"/>
      <c r="G7863" s="33"/>
      <c r="H7863" s="48">
        <f>SUM(H7861:H7862)</f>
        <v>1475391.5</v>
      </c>
      <c r="I7863" s="47"/>
    </row>
    <row r="7865" spans="3:11" x14ac:dyDescent="0.3">
      <c r="C7865" s="40" t="s">
        <v>1467</v>
      </c>
      <c r="D7865" s="68" t="s">
        <v>1468</v>
      </c>
      <c r="E7865" s="44"/>
      <c r="F7865" s="44"/>
      <c r="G7865" s="44"/>
      <c r="H7865" s="44"/>
      <c r="I7865" s="10">
        <f>ROUNDDOWN(H7880,0)</f>
        <v>1218239</v>
      </c>
      <c r="J7865" s="15"/>
      <c r="K7865" s="39"/>
    </row>
    <row r="7866" spans="3:11" ht="27.6" x14ac:dyDescent="0.3">
      <c r="C7866" s="11" t="s">
        <v>9</v>
      </c>
      <c r="D7866" s="11" t="s">
        <v>10</v>
      </c>
      <c r="E7866" s="11" t="s">
        <v>11</v>
      </c>
      <c r="F7866" s="11" t="s">
        <v>12</v>
      </c>
      <c r="G7866" s="11" t="s">
        <v>13</v>
      </c>
      <c r="H7866" s="11" t="s">
        <v>14</v>
      </c>
    </row>
    <row r="7867" spans="3:11" x14ac:dyDescent="0.25">
      <c r="C7867" s="12" t="s">
        <v>15</v>
      </c>
      <c r="D7867" s="13" t="s">
        <v>16</v>
      </c>
      <c r="E7867" s="14"/>
      <c r="F7867" s="14"/>
      <c r="G7867" s="14"/>
      <c r="H7867" s="14"/>
    </row>
    <row r="7868" spans="3:11" x14ac:dyDescent="0.3">
      <c r="C7868" s="16">
        <v>1</v>
      </c>
      <c r="D7868" s="13" t="s">
        <v>18</v>
      </c>
      <c r="E7868" s="17" t="s">
        <v>19</v>
      </c>
      <c r="F7868" s="18">
        <v>0.50700000000000001</v>
      </c>
      <c r="G7868" s="19">
        <f>VLOOKUP(D7868,upahbahan,3,FALSE)</f>
        <v>100000</v>
      </c>
      <c r="H7868" s="19">
        <f t="shared" ref="H7868:H7871" si="822">F7868*G7868</f>
        <v>50700</v>
      </c>
    </row>
    <row r="7869" spans="3:11" x14ac:dyDescent="0.3">
      <c r="C7869" s="16">
        <v>2</v>
      </c>
      <c r="D7869" s="13" t="s">
        <v>21</v>
      </c>
      <c r="E7869" s="17" t="s">
        <v>19</v>
      </c>
      <c r="F7869" s="18">
        <v>0.84699999999999998</v>
      </c>
      <c r="G7869" s="19">
        <f>VLOOKUP(D7869,upahbahan,3,FALSE)</f>
        <v>145000</v>
      </c>
      <c r="H7869" s="19">
        <f t="shared" si="822"/>
        <v>122815</v>
      </c>
    </row>
    <row r="7870" spans="3:11" x14ac:dyDescent="0.3">
      <c r="C7870" s="16">
        <v>3</v>
      </c>
      <c r="D7870" s="13" t="s">
        <v>1224</v>
      </c>
      <c r="E7870" s="17" t="s">
        <v>19</v>
      </c>
      <c r="F7870" s="18">
        <v>8.5000000000000006E-2</v>
      </c>
      <c r="G7870" s="19">
        <f>VLOOKUP(D7870,upahbahan,3,FALSE)</f>
        <v>175000</v>
      </c>
      <c r="H7870" s="19">
        <f t="shared" si="822"/>
        <v>14875.000000000002</v>
      </c>
    </row>
    <row r="7871" spans="3:11" x14ac:dyDescent="0.3">
      <c r="C7871" s="16">
        <v>4</v>
      </c>
      <c r="D7871" s="13" t="s">
        <v>23</v>
      </c>
      <c r="E7871" s="17" t="s">
        <v>19</v>
      </c>
      <c r="F7871" s="18">
        <v>2.8000000000000001E-2</v>
      </c>
      <c r="G7871" s="19">
        <f>VLOOKUP(D7871,upahbahan,3,FALSE)</f>
        <v>200000</v>
      </c>
      <c r="H7871" s="19">
        <f t="shared" si="822"/>
        <v>5600</v>
      </c>
    </row>
    <row r="7872" spans="3:11" x14ac:dyDescent="0.3">
      <c r="C7872" s="21" t="s">
        <v>24</v>
      </c>
      <c r="D7872" s="22"/>
      <c r="E7872" s="22"/>
      <c r="F7872" s="54"/>
      <c r="G7872" s="24"/>
      <c r="H7872" s="19">
        <f>SUM(H7868:H7871)</f>
        <v>193990</v>
      </c>
      <c r="I7872" s="25"/>
    </row>
    <row r="7873" spans="3:11" x14ac:dyDescent="0.25">
      <c r="C7873" s="12" t="s">
        <v>25</v>
      </c>
      <c r="D7873" s="13" t="s">
        <v>26</v>
      </c>
      <c r="E7873" s="14"/>
      <c r="F7873" s="55"/>
      <c r="G7873" s="14"/>
      <c r="H7873" s="14"/>
    </row>
    <row r="7874" spans="3:11" ht="27.6" x14ac:dyDescent="0.25">
      <c r="C7874" s="12">
        <v>1</v>
      </c>
      <c r="D7874" s="13" t="s">
        <v>1469</v>
      </c>
      <c r="E7874" s="53" t="s">
        <v>846</v>
      </c>
      <c r="F7874" s="115">
        <v>1.05</v>
      </c>
      <c r="G7874" s="19">
        <f>VLOOKUP(D7874,upahbahan,3,FALSE)</f>
        <v>870000</v>
      </c>
      <c r="H7874" s="19">
        <f t="shared" ref="H7874" si="823">F7874*G7874</f>
        <v>913500</v>
      </c>
    </row>
    <row r="7875" spans="3:11" x14ac:dyDescent="0.3">
      <c r="C7875" s="21" t="s">
        <v>29</v>
      </c>
      <c r="D7875" s="22"/>
      <c r="E7875" s="22" t="s">
        <v>1340</v>
      </c>
      <c r="F7875" s="22"/>
      <c r="G7875" s="28"/>
      <c r="H7875" s="19">
        <f>SUM(H7873:H7874)</f>
        <v>913500</v>
      </c>
    </row>
    <row r="7876" spans="3:11" x14ac:dyDescent="0.25">
      <c r="C7876" s="12" t="s">
        <v>30</v>
      </c>
      <c r="D7876" s="13" t="s">
        <v>31</v>
      </c>
      <c r="E7876" s="14"/>
      <c r="F7876" s="14"/>
      <c r="G7876" s="14"/>
      <c r="H7876" s="14"/>
    </row>
    <row r="7877" spans="3:11" x14ac:dyDescent="0.3">
      <c r="C7877" s="21" t="s">
        <v>32</v>
      </c>
      <c r="D7877" s="77"/>
      <c r="E7877" s="77"/>
      <c r="F7877" s="77"/>
      <c r="G7877" s="28"/>
      <c r="H7877" s="29">
        <f>SUM(H7876:H7876)</f>
        <v>0</v>
      </c>
    </row>
    <row r="7878" spans="3:11" x14ac:dyDescent="0.3">
      <c r="C7878" s="30" t="s">
        <v>33</v>
      </c>
      <c r="D7878" s="31" t="s">
        <v>34</v>
      </c>
      <c r="E7878" s="32"/>
      <c r="F7878" s="32"/>
      <c r="G7878" s="33"/>
      <c r="H7878" s="46">
        <f>H7877+H7875+H7872</f>
        <v>1107490</v>
      </c>
      <c r="I7878" s="47"/>
    </row>
    <row r="7879" spans="3:11" x14ac:dyDescent="0.3">
      <c r="C7879" s="30" t="s">
        <v>35</v>
      </c>
      <c r="D7879" s="31" t="s">
        <v>36</v>
      </c>
      <c r="E7879" s="32"/>
      <c r="F7879" s="33"/>
      <c r="G7879" s="34">
        <f>$M$9</f>
        <v>0.1</v>
      </c>
      <c r="H7879" s="19">
        <f>H7878*G7879</f>
        <v>110749</v>
      </c>
      <c r="I7879" s="47"/>
    </row>
    <row r="7880" spans="3:11" x14ac:dyDescent="0.3">
      <c r="C7880" s="30" t="s">
        <v>37</v>
      </c>
      <c r="D7880" s="31" t="s">
        <v>38</v>
      </c>
      <c r="E7880" s="32"/>
      <c r="F7880" s="32"/>
      <c r="G7880" s="33"/>
      <c r="H7880" s="48">
        <f>SUM(H7878:H7879)</f>
        <v>1218239</v>
      </c>
      <c r="I7880" s="47"/>
    </row>
    <row r="7883" spans="3:11" x14ac:dyDescent="0.3">
      <c r="C7883" s="40" t="s">
        <v>1470</v>
      </c>
      <c r="D7883" s="68" t="s">
        <v>1471</v>
      </c>
      <c r="E7883" s="44"/>
      <c r="F7883" s="44"/>
      <c r="G7883" s="44"/>
      <c r="H7883" s="44"/>
      <c r="I7883" s="10">
        <f>ROUNDDOWN(H7898,0)</f>
        <v>342815</v>
      </c>
      <c r="J7883" s="15"/>
      <c r="K7883" s="39"/>
    </row>
    <row r="7884" spans="3:11" ht="27.6" x14ac:dyDescent="0.3">
      <c r="C7884" s="11" t="s">
        <v>9</v>
      </c>
      <c r="D7884" s="11" t="s">
        <v>10</v>
      </c>
      <c r="E7884" s="11" t="s">
        <v>11</v>
      </c>
      <c r="F7884" s="11" t="s">
        <v>12</v>
      </c>
      <c r="G7884" s="11" t="s">
        <v>13</v>
      </c>
      <c r="H7884" s="11" t="s">
        <v>14</v>
      </c>
    </row>
    <row r="7885" spans="3:11" x14ac:dyDescent="0.25">
      <c r="C7885" s="12" t="s">
        <v>15</v>
      </c>
      <c r="D7885" s="13" t="s">
        <v>16</v>
      </c>
      <c r="E7885" s="14"/>
      <c r="F7885" s="14"/>
      <c r="G7885" s="14"/>
      <c r="H7885" s="14"/>
    </row>
    <row r="7886" spans="3:11" x14ac:dyDescent="0.3">
      <c r="C7886" s="16">
        <v>1</v>
      </c>
      <c r="D7886" s="13" t="s">
        <v>18</v>
      </c>
      <c r="E7886" s="17" t="s">
        <v>19</v>
      </c>
      <c r="F7886" s="18">
        <v>0.129</v>
      </c>
      <c r="G7886" s="19">
        <f>VLOOKUP(D7886,upahbahan,3,FALSE)</f>
        <v>100000</v>
      </c>
      <c r="H7886" s="19">
        <f t="shared" ref="H7886:H7889" si="824">F7886*G7886</f>
        <v>12900</v>
      </c>
    </row>
    <row r="7887" spans="3:11" x14ac:dyDescent="0.3">
      <c r="C7887" s="16">
        <v>2</v>
      </c>
      <c r="D7887" s="13" t="s">
        <v>21</v>
      </c>
      <c r="E7887" s="17" t="s">
        <v>19</v>
      </c>
      <c r="F7887" s="18">
        <v>0.215</v>
      </c>
      <c r="G7887" s="19">
        <f>VLOOKUP(D7887,upahbahan,3,FALSE)</f>
        <v>145000</v>
      </c>
      <c r="H7887" s="19">
        <f t="shared" si="824"/>
        <v>31175</v>
      </c>
    </row>
    <row r="7888" spans="3:11" x14ac:dyDescent="0.3">
      <c r="C7888" s="16">
        <v>3</v>
      </c>
      <c r="D7888" s="13" t="s">
        <v>1224</v>
      </c>
      <c r="E7888" s="17" t="s">
        <v>19</v>
      </c>
      <c r="F7888" s="18">
        <v>2.1000000000000001E-2</v>
      </c>
      <c r="G7888" s="19">
        <f>VLOOKUP(D7888,upahbahan,3,FALSE)</f>
        <v>175000</v>
      </c>
      <c r="H7888" s="19">
        <f t="shared" si="824"/>
        <v>3675.0000000000005</v>
      </c>
    </row>
    <row r="7889" spans="3:11" x14ac:dyDescent="0.3">
      <c r="C7889" s="16">
        <v>4</v>
      </c>
      <c r="D7889" s="13" t="s">
        <v>23</v>
      </c>
      <c r="E7889" s="17" t="s">
        <v>19</v>
      </c>
      <c r="F7889" s="18">
        <v>7.0000000000000001E-3</v>
      </c>
      <c r="G7889" s="19">
        <f>VLOOKUP(D7889,upahbahan,3,FALSE)</f>
        <v>200000</v>
      </c>
      <c r="H7889" s="19">
        <f t="shared" si="824"/>
        <v>1400</v>
      </c>
    </row>
    <row r="7890" spans="3:11" x14ac:dyDescent="0.3">
      <c r="C7890" s="21" t="s">
        <v>24</v>
      </c>
      <c r="D7890" s="22"/>
      <c r="E7890" s="22"/>
      <c r="F7890" s="54"/>
      <c r="G7890" s="24"/>
      <c r="H7890" s="19">
        <f>SUM(H7886:H7889)</f>
        <v>49150</v>
      </c>
      <c r="I7890" s="25"/>
    </row>
    <row r="7891" spans="3:11" x14ac:dyDescent="0.25">
      <c r="C7891" s="12" t="s">
        <v>25</v>
      </c>
      <c r="D7891" s="13" t="s">
        <v>26</v>
      </c>
      <c r="E7891" s="14"/>
      <c r="F7891" s="55"/>
      <c r="G7891" s="14"/>
      <c r="H7891" s="14"/>
    </row>
    <row r="7892" spans="3:11" x14ac:dyDescent="0.25">
      <c r="C7892" s="12">
        <v>1</v>
      </c>
      <c r="D7892" s="13" t="s">
        <v>1472</v>
      </c>
      <c r="E7892" s="53" t="s">
        <v>846</v>
      </c>
      <c r="F7892" s="115">
        <v>1.05</v>
      </c>
      <c r="G7892" s="19">
        <f>VLOOKUP(D7892,upahbahan,3,FALSE)</f>
        <v>250000</v>
      </c>
      <c r="H7892" s="19">
        <f t="shared" ref="H7892" si="825">F7892*G7892</f>
        <v>262500</v>
      </c>
    </row>
    <row r="7893" spans="3:11" x14ac:dyDescent="0.3">
      <c r="C7893" s="21" t="s">
        <v>29</v>
      </c>
      <c r="D7893" s="22"/>
      <c r="E7893" s="22" t="s">
        <v>1340</v>
      </c>
      <c r="F7893" s="22"/>
      <c r="G7893" s="28"/>
      <c r="H7893" s="19">
        <f>SUM(H7891:H7892)</f>
        <v>262500</v>
      </c>
    </row>
    <row r="7894" spans="3:11" x14ac:dyDescent="0.25">
      <c r="C7894" s="12" t="s">
        <v>30</v>
      </c>
      <c r="D7894" s="13" t="s">
        <v>31</v>
      </c>
      <c r="E7894" s="14"/>
      <c r="F7894" s="14"/>
      <c r="G7894" s="14"/>
      <c r="H7894" s="14"/>
    </row>
    <row r="7895" spans="3:11" x14ac:dyDescent="0.3">
      <c r="C7895" s="21" t="s">
        <v>32</v>
      </c>
      <c r="D7895" s="77"/>
      <c r="E7895" s="77"/>
      <c r="F7895" s="77"/>
      <c r="G7895" s="28"/>
      <c r="H7895" s="29">
        <f>SUM(H7894:H7894)</f>
        <v>0</v>
      </c>
    </row>
    <row r="7896" spans="3:11" x14ac:dyDescent="0.3">
      <c r="C7896" s="30" t="s">
        <v>33</v>
      </c>
      <c r="D7896" s="31" t="s">
        <v>34</v>
      </c>
      <c r="E7896" s="32"/>
      <c r="F7896" s="32"/>
      <c r="G7896" s="33"/>
      <c r="H7896" s="46">
        <f>H7895+H7893+H7890</f>
        <v>311650</v>
      </c>
      <c r="I7896" s="47"/>
    </row>
    <row r="7897" spans="3:11" x14ac:dyDescent="0.3">
      <c r="C7897" s="30" t="s">
        <v>35</v>
      </c>
      <c r="D7897" s="31" t="s">
        <v>36</v>
      </c>
      <c r="E7897" s="32"/>
      <c r="F7897" s="33"/>
      <c r="G7897" s="34">
        <f>$M$9</f>
        <v>0.1</v>
      </c>
      <c r="H7897" s="19">
        <f>H7896*G7897</f>
        <v>31165</v>
      </c>
      <c r="I7897" s="47"/>
    </row>
    <row r="7898" spans="3:11" x14ac:dyDescent="0.3">
      <c r="C7898" s="30" t="s">
        <v>37</v>
      </c>
      <c r="D7898" s="31" t="s">
        <v>38</v>
      </c>
      <c r="E7898" s="32"/>
      <c r="F7898" s="32"/>
      <c r="G7898" s="33"/>
      <c r="H7898" s="48">
        <f>SUM(H7896:H7897)</f>
        <v>342815</v>
      </c>
      <c r="I7898" s="47"/>
    </row>
    <row r="7900" spans="3:11" x14ac:dyDescent="0.3">
      <c r="C7900" s="40" t="s">
        <v>1473</v>
      </c>
      <c r="D7900" s="68" t="s">
        <v>1474</v>
      </c>
      <c r="E7900" s="44"/>
      <c r="F7900" s="44"/>
      <c r="G7900" s="44"/>
      <c r="H7900" s="44"/>
      <c r="I7900" s="10">
        <f>ROUNDDOWN(H7915,0)</f>
        <v>161744</v>
      </c>
      <c r="J7900" s="15"/>
      <c r="K7900" s="39"/>
    </row>
    <row r="7901" spans="3:11" ht="27.6" x14ac:dyDescent="0.3">
      <c r="C7901" s="11" t="s">
        <v>9</v>
      </c>
      <c r="D7901" s="11" t="s">
        <v>10</v>
      </c>
      <c r="E7901" s="11" t="s">
        <v>11</v>
      </c>
      <c r="F7901" s="11" t="s">
        <v>12</v>
      </c>
      <c r="G7901" s="11" t="s">
        <v>13</v>
      </c>
      <c r="H7901" s="11" t="s">
        <v>14</v>
      </c>
    </row>
    <row r="7902" spans="3:11" x14ac:dyDescent="0.25">
      <c r="C7902" s="12" t="s">
        <v>15</v>
      </c>
      <c r="D7902" s="13" t="s">
        <v>16</v>
      </c>
      <c r="E7902" s="14"/>
      <c r="F7902" s="14"/>
      <c r="G7902" s="14"/>
      <c r="H7902" s="14"/>
    </row>
    <row r="7903" spans="3:11" x14ac:dyDescent="0.3">
      <c r="C7903" s="16">
        <v>1</v>
      </c>
      <c r="D7903" s="13" t="s">
        <v>18</v>
      </c>
      <c r="E7903" s="17" t="s">
        <v>19</v>
      </c>
      <c r="F7903" s="18">
        <v>6.4000000000000001E-2</v>
      </c>
      <c r="G7903" s="19">
        <f>VLOOKUP(D7903,upahbahan,3,FALSE)</f>
        <v>100000</v>
      </c>
      <c r="H7903" s="19">
        <f t="shared" ref="H7903:H7906" si="826">F7903*G7903</f>
        <v>6400</v>
      </c>
    </row>
    <row r="7904" spans="3:11" x14ac:dyDescent="0.3">
      <c r="C7904" s="16">
        <v>2</v>
      </c>
      <c r="D7904" s="13" t="s">
        <v>21</v>
      </c>
      <c r="E7904" s="17" t="s">
        <v>19</v>
      </c>
      <c r="F7904" s="18">
        <v>0.107</v>
      </c>
      <c r="G7904" s="19">
        <f>VLOOKUP(D7904,upahbahan,3,FALSE)</f>
        <v>145000</v>
      </c>
      <c r="H7904" s="19">
        <f t="shared" si="826"/>
        <v>15515</v>
      </c>
    </row>
    <row r="7905" spans="3:11" x14ac:dyDescent="0.3">
      <c r="C7905" s="16">
        <v>3</v>
      </c>
      <c r="D7905" s="13" t="s">
        <v>1224</v>
      </c>
      <c r="E7905" s="17" t="s">
        <v>19</v>
      </c>
      <c r="F7905" s="18">
        <v>1.0999999999999999E-2</v>
      </c>
      <c r="G7905" s="19">
        <f>VLOOKUP(D7905,upahbahan,3,FALSE)</f>
        <v>175000</v>
      </c>
      <c r="H7905" s="19">
        <f t="shared" si="826"/>
        <v>1925</v>
      </c>
    </row>
    <row r="7906" spans="3:11" x14ac:dyDescent="0.3">
      <c r="C7906" s="16">
        <v>4</v>
      </c>
      <c r="D7906" s="13" t="s">
        <v>23</v>
      </c>
      <c r="E7906" s="17" t="s">
        <v>19</v>
      </c>
      <c r="F7906" s="18">
        <v>4.0000000000000001E-3</v>
      </c>
      <c r="G7906" s="19">
        <f>VLOOKUP(D7906,upahbahan,3,FALSE)</f>
        <v>200000</v>
      </c>
      <c r="H7906" s="19">
        <f t="shared" si="826"/>
        <v>800</v>
      </c>
    </row>
    <row r="7907" spans="3:11" x14ac:dyDescent="0.3">
      <c r="C7907" s="21" t="s">
        <v>24</v>
      </c>
      <c r="D7907" s="22"/>
      <c r="E7907" s="22"/>
      <c r="F7907" s="54"/>
      <c r="G7907" s="24"/>
      <c r="H7907" s="19">
        <f>SUM(H7903:H7906)</f>
        <v>24640</v>
      </c>
      <c r="I7907" s="25"/>
    </row>
    <row r="7908" spans="3:11" x14ac:dyDescent="0.25">
      <c r="C7908" s="12" t="s">
        <v>25</v>
      </c>
      <c r="D7908" s="13" t="s">
        <v>26</v>
      </c>
      <c r="E7908" s="14"/>
      <c r="F7908" s="55"/>
      <c r="G7908" s="14"/>
      <c r="H7908" s="14"/>
    </row>
    <row r="7909" spans="3:11" x14ac:dyDescent="0.25">
      <c r="C7909" s="12">
        <v>1</v>
      </c>
      <c r="D7909" s="13" t="s">
        <v>1475</v>
      </c>
      <c r="E7909" s="53" t="s">
        <v>846</v>
      </c>
      <c r="F7909" s="115">
        <v>1.2</v>
      </c>
      <c r="G7909" s="19">
        <f>VLOOKUP(D7909,upahbahan,3,FALSE)</f>
        <v>102000</v>
      </c>
      <c r="H7909" s="19">
        <f t="shared" ref="H7909" si="827">F7909*G7909</f>
        <v>122400</v>
      </c>
    </row>
    <row r="7910" spans="3:11" x14ac:dyDescent="0.3">
      <c r="C7910" s="21" t="s">
        <v>29</v>
      </c>
      <c r="D7910" s="22"/>
      <c r="E7910" s="22" t="s">
        <v>1340</v>
      </c>
      <c r="F7910" s="22"/>
      <c r="G7910" s="28"/>
      <c r="H7910" s="19">
        <f>SUM(H7908:H7909)</f>
        <v>122400</v>
      </c>
    </row>
    <row r="7911" spans="3:11" x14ac:dyDescent="0.25">
      <c r="C7911" s="12" t="s">
        <v>30</v>
      </c>
      <c r="D7911" s="13" t="s">
        <v>31</v>
      </c>
      <c r="E7911" s="14"/>
      <c r="F7911" s="14"/>
      <c r="G7911" s="14"/>
      <c r="H7911" s="14"/>
    </row>
    <row r="7912" spans="3:11" x14ac:dyDescent="0.3">
      <c r="C7912" s="21" t="s">
        <v>32</v>
      </c>
      <c r="D7912" s="77"/>
      <c r="E7912" s="77"/>
      <c r="F7912" s="77"/>
      <c r="G7912" s="28"/>
      <c r="H7912" s="29">
        <f>SUM(H7911:H7911)</f>
        <v>0</v>
      </c>
    </row>
    <row r="7913" spans="3:11" x14ac:dyDescent="0.3">
      <c r="C7913" s="30" t="s">
        <v>33</v>
      </c>
      <c r="D7913" s="31" t="s">
        <v>34</v>
      </c>
      <c r="E7913" s="32"/>
      <c r="F7913" s="32"/>
      <c r="G7913" s="33"/>
      <c r="H7913" s="46">
        <f>H7912+H7910+H7907</f>
        <v>147040</v>
      </c>
      <c r="I7913" s="47"/>
    </row>
    <row r="7914" spans="3:11" x14ac:dyDescent="0.3">
      <c r="C7914" s="30" t="s">
        <v>35</v>
      </c>
      <c r="D7914" s="31" t="s">
        <v>36</v>
      </c>
      <c r="E7914" s="32"/>
      <c r="F7914" s="33"/>
      <c r="G7914" s="34">
        <f>$M$9</f>
        <v>0.1</v>
      </c>
      <c r="H7914" s="19">
        <f>H7913*G7914</f>
        <v>14704</v>
      </c>
      <c r="I7914" s="47"/>
    </row>
    <row r="7915" spans="3:11" x14ac:dyDescent="0.3">
      <c r="C7915" s="30" t="s">
        <v>37</v>
      </c>
      <c r="D7915" s="31" t="s">
        <v>38</v>
      </c>
      <c r="E7915" s="32"/>
      <c r="F7915" s="32"/>
      <c r="G7915" s="33"/>
      <c r="H7915" s="48">
        <f>SUM(H7913:H7914)</f>
        <v>161744</v>
      </c>
      <c r="I7915" s="47"/>
    </row>
    <row r="7917" spans="3:11" x14ac:dyDescent="0.3">
      <c r="C7917" s="40" t="s">
        <v>1476</v>
      </c>
      <c r="D7917" s="68" t="s">
        <v>1477</v>
      </c>
      <c r="E7917" s="44"/>
      <c r="F7917" s="44"/>
      <c r="G7917" s="44"/>
      <c r="H7917" s="44"/>
      <c r="I7917" s="10">
        <f>ROUNDDOWN(H7938,0)</f>
        <v>429444</v>
      </c>
      <c r="J7917" s="15"/>
      <c r="K7917" s="39"/>
    </row>
    <row r="7918" spans="3:11" ht="27.6" x14ac:dyDescent="0.3">
      <c r="C7918" s="11" t="s">
        <v>9</v>
      </c>
      <c r="D7918" s="11" t="s">
        <v>10</v>
      </c>
      <c r="E7918" s="11" t="s">
        <v>11</v>
      </c>
      <c r="F7918" s="11" t="s">
        <v>12</v>
      </c>
      <c r="G7918" s="11" t="s">
        <v>13</v>
      </c>
      <c r="H7918" s="11" t="s">
        <v>14</v>
      </c>
    </row>
    <row r="7919" spans="3:11" x14ac:dyDescent="0.25">
      <c r="C7919" s="12" t="s">
        <v>15</v>
      </c>
      <c r="D7919" s="13" t="s">
        <v>16</v>
      </c>
      <c r="E7919" s="14"/>
      <c r="F7919" s="14"/>
      <c r="G7919" s="14"/>
      <c r="H7919" s="14"/>
    </row>
    <row r="7920" spans="3:11" x14ac:dyDescent="0.3">
      <c r="C7920" s="16">
        <v>1</v>
      </c>
      <c r="D7920" s="13" t="s">
        <v>18</v>
      </c>
      <c r="E7920" s="17" t="s">
        <v>19</v>
      </c>
      <c r="F7920" s="18">
        <v>6.4000000000000001E-2</v>
      </c>
      <c r="G7920" s="19">
        <f>VLOOKUP(D7920,upahbahan,3,FALSE)</f>
        <v>100000</v>
      </c>
      <c r="H7920" s="19">
        <f t="shared" ref="H7920:H7923" si="828">F7920*G7920</f>
        <v>6400</v>
      </c>
    </row>
    <row r="7921" spans="3:9" x14ac:dyDescent="0.3">
      <c r="C7921" s="16">
        <v>2</v>
      </c>
      <c r="D7921" s="13" t="s">
        <v>21</v>
      </c>
      <c r="E7921" s="17" t="s">
        <v>19</v>
      </c>
      <c r="F7921" s="18">
        <v>0.107</v>
      </c>
      <c r="G7921" s="19">
        <f>VLOOKUP(D7921,upahbahan,3,FALSE)</f>
        <v>145000</v>
      </c>
      <c r="H7921" s="19">
        <f t="shared" si="828"/>
        <v>15515</v>
      </c>
    </row>
    <row r="7922" spans="3:9" x14ac:dyDescent="0.3">
      <c r="C7922" s="16">
        <v>3</v>
      </c>
      <c r="D7922" s="13" t="s">
        <v>1224</v>
      </c>
      <c r="E7922" s="17" t="s">
        <v>19</v>
      </c>
      <c r="F7922" s="18">
        <v>1.0999999999999999E-2</v>
      </c>
      <c r="G7922" s="19">
        <f>VLOOKUP(D7922,upahbahan,3,FALSE)</f>
        <v>175000</v>
      </c>
      <c r="H7922" s="19">
        <f t="shared" si="828"/>
        <v>1925</v>
      </c>
    </row>
    <row r="7923" spans="3:9" x14ac:dyDescent="0.3">
      <c r="C7923" s="16">
        <v>4</v>
      </c>
      <c r="D7923" s="13" t="s">
        <v>23</v>
      </c>
      <c r="E7923" s="17" t="s">
        <v>19</v>
      </c>
      <c r="F7923" s="18">
        <v>4.0000000000000001E-3</v>
      </c>
      <c r="G7923" s="19">
        <f>VLOOKUP(D7923,upahbahan,3,FALSE)</f>
        <v>200000</v>
      </c>
      <c r="H7923" s="19">
        <f t="shared" si="828"/>
        <v>800</v>
      </c>
    </row>
    <row r="7924" spans="3:9" x14ac:dyDescent="0.3">
      <c r="C7924" s="21" t="s">
        <v>24</v>
      </c>
      <c r="D7924" s="22"/>
      <c r="E7924" s="22"/>
      <c r="F7924" s="54"/>
      <c r="G7924" s="24"/>
      <c r="H7924" s="19">
        <f>SUM(H7920:H7923)</f>
        <v>24640</v>
      </c>
      <c r="I7924" s="25"/>
    </row>
    <row r="7925" spans="3:9" x14ac:dyDescent="0.25">
      <c r="C7925" s="12" t="s">
        <v>25</v>
      </c>
      <c r="D7925" s="13" t="s">
        <v>26</v>
      </c>
      <c r="E7925" s="14"/>
      <c r="F7925" s="55"/>
      <c r="G7925" s="14"/>
      <c r="H7925" s="14"/>
    </row>
    <row r="7926" spans="3:9" x14ac:dyDescent="0.25">
      <c r="C7926" s="12">
        <v>1</v>
      </c>
      <c r="D7926" s="13" t="s">
        <v>1311</v>
      </c>
      <c r="E7926" s="53" t="s">
        <v>974</v>
      </c>
      <c r="F7926" s="115">
        <v>38.5</v>
      </c>
      <c r="G7926" s="19">
        <f t="shared" ref="G7926:G7932" si="829">VLOOKUP(D7926,upahbahan,3,FALSE)</f>
        <v>3924</v>
      </c>
      <c r="H7926" s="19">
        <f t="shared" ref="H7926:H7932" si="830">F7926*G7926</f>
        <v>151074</v>
      </c>
    </row>
    <row r="7927" spans="3:9" x14ac:dyDescent="0.25">
      <c r="C7927" s="12">
        <v>2</v>
      </c>
      <c r="D7927" s="13" t="s">
        <v>975</v>
      </c>
      <c r="E7927" s="53" t="s">
        <v>974</v>
      </c>
      <c r="F7927" s="115">
        <v>38.5</v>
      </c>
      <c r="G7927" s="19">
        <f t="shared" si="829"/>
        <v>4000</v>
      </c>
      <c r="H7927" s="19">
        <f t="shared" si="830"/>
        <v>154000</v>
      </c>
    </row>
    <row r="7928" spans="3:9" x14ac:dyDescent="0.25">
      <c r="C7928" s="12">
        <v>3</v>
      </c>
      <c r="D7928" s="13" t="s">
        <v>976</v>
      </c>
      <c r="E7928" s="53" t="s">
        <v>949</v>
      </c>
      <c r="F7928" s="115">
        <v>1</v>
      </c>
      <c r="G7928" s="19">
        <f t="shared" si="829"/>
        <v>4000</v>
      </c>
      <c r="H7928" s="19">
        <f t="shared" si="830"/>
        <v>4000</v>
      </c>
    </row>
    <row r="7929" spans="3:9" x14ac:dyDescent="0.25">
      <c r="C7929" s="12">
        <v>4</v>
      </c>
      <c r="D7929" s="13" t="s">
        <v>977</v>
      </c>
      <c r="E7929" s="53" t="s">
        <v>1478</v>
      </c>
      <c r="F7929" s="115">
        <v>20</v>
      </c>
      <c r="G7929" s="19">
        <f t="shared" si="829"/>
        <v>700</v>
      </c>
      <c r="H7929" s="19">
        <f t="shared" si="830"/>
        <v>14000</v>
      </c>
    </row>
    <row r="7930" spans="3:9" x14ac:dyDescent="0.25">
      <c r="C7930" s="12">
        <v>5</v>
      </c>
      <c r="D7930" s="13" t="s">
        <v>1103</v>
      </c>
      <c r="E7930" s="53" t="s">
        <v>949</v>
      </c>
      <c r="F7930" s="115">
        <v>40</v>
      </c>
      <c r="G7930" s="19">
        <f t="shared" si="829"/>
        <v>900</v>
      </c>
      <c r="H7930" s="19">
        <f t="shared" si="830"/>
        <v>36000</v>
      </c>
    </row>
    <row r="7931" spans="3:9" x14ac:dyDescent="0.25">
      <c r="C7931" s="12">
        <v>6</v>
      </c>
      <c r="D7931" s="13" t="s">
        <v>1104</v>
      </c>
      <c r="E7931" s="53" t="s">
        <v>949</v>
      </c>
      <c r="F7931" s="115">
        <v>1</v>
      </c>
      <c r="G7931" s="19">
        <f t="shared" si="829"/>
        <v>5400</v>
      </c>
      <c r="H7931" s="19">
        <f t="shared" si="830"/>
        <v>5400</v>
      </c>
    </row>
    <row r="7932" spans="3:9" x14ac:dyDescent="0.25">
      <c r="C7932" s="12">
        <v>7</v>
      </c>
      <c r="D7932" s="13" t="s">
        <v>979</v>
      </c>
      <c r="E7932" s="53" t="s">
        <v>949</v>
      </c>
      <c r="F7932" s="115">
        <v>60</v>
      </c>
      <c r="G7932" s="19">
        <f t="shared" si="829"/>
        <v>21.5</v>
      </c>
      <c r="H7932" s="19">
        <f t="shared" si="830"/>
        <v>1290</v>
      </c>
    </row>
    <row r="7933" spans="3:9" x14ac:dyDescent="0.3">
      <c r="C7933" s="21" t="s">
        <v>29</v>
      </c>
      <c r="D7933" s="22"/>
      <c r="E7933" s="22" t="s">
        <v>1340</v>
      </c>
      <c r="F7933" s="22"/>
      <c r="G7933" s="28"/>
      <c r="H7933" s="19">
        <f>SUM(H7925:H7932)</f>
        <v>365764</v>
      </c>
    </row>
    <row r="7934" spans="3:9" x14ac:dyDescent="0.25">
      <c r="C7934" s="12" t="s">
        <v>30</v>
      </c>
      <c r="D7934" s="13" t="s">
        <v>31</v>
      </c>
      <c r="E7934" s="14"/>
      <c r="F7934" s="14"/>
      <c r="G7934" s="14"/>
      <c r="H7934" s="14"/>
    </row>
    <row r="7935" spans="3:9" x14ac:dyDescent="0.3">
      <c r="C7935" s="21" t="s">
        <v>32</v>
      </c>
      <c r="D7935" s="77"/>
      <c r="E7935" s="77"/>
      <c r="F7935" s="77"/>
      <c r="G7935" s="28"/>
      <c r="H7935" s="29">
        <f>SUM(H7934:H7934)</f>
        <v>0</v>
      </c>
    </row>
    <row r="7936" spans="3:9" x14ac:dyDescent="0.3">
      <c r="C7936" s="30" t="s">
        <v>33</v>
      </c>
      <c r="D7936" s="31" t="s">
        <v>34</v>
      </c>
      <c r="E7936" s="32"/>
      <c r="F7936" s="32"/>
      <c r="G7936" s="33"/>
      <c r="H7936" s="46">
        <f>H7935+H7933+H7924</f>
        <v>390404</v>
      </c>
      <c r="I7936" s="47"/>
    </row>
    <row r="7937" spans="3:11" x14ac:dyDescent="0.3">
      <c r="C7937" s="30" t="s">
        <v>35</v>
      </c>
      <c r="D7937" s="31" t="s">
        <v>36</v>
      </c>
      <c r="E7937" s="32"/>
      <c r="F7937" s="33"/>
      <c r="G7937" s="34">
        <f>$M$9</f>
        <v>0.1</v>
      </c>
      <c r="H7937" s="19">
        <f>H7936*G7937</f>
        <v>39040.400000000001</v>
      </c>
      <c r="I7937" s="47"/>
    </row>
    <row r="7938" spans="3:11" x14ac:dyDescent="0.3">
      <c r="C7938" s="30" t="s">
        <v>37</v>
      </c>
      <c r="D7938" s="31" t="s">
        <v>38</v>
      </c>
      <c r="E7938" s="32"/>
      <c r="F7938" s="32"/>
      <c r="G7938" s="33"/>
      <c r="H7938" s="48">
        <f>SUM(H7936:H7937)</f>
        <v>429444.4</v>
      </c>
      <c r="I7938" s="47"/>
    </row>
    <row r="7940" spans="3:11" x14ac:dyDescent="0.3">
      <c r="C7940" s="2" t="s">
        <v>1479</v>
      </c>
      <c r="D7940" s="2" t="s">
        <v>1480</v>
      </c>
    </row>
    <row r="7941" spans="3:11" x14ac:dyDescent="0.3">
      <c r="C7941" s="56" t="s">
        <v>1481</v>
      </c>
      <c r="D7941" s="69" t="s">
        <v>1482</v>
      </c>
      <c r="E7941" s="58"/>
      <c r="F7941" s="58"/>
      <c r="G7941" s="58"/>
      <c r="H7941" s="58"/>
      <c r="I7941" s="10">
        <f>ROUNDDOWN(H7956,0)</f>
        <v>7876093</v>
      </c>
      <c r="J7941" s="15"/>
      <c r="K7941" s="39"/>
    </row>
    <row r="7942" spans="3:11" ht="27.6" x14ac:dyDescent="0.3">
      <c r="C7942" s="11" t="s">
        <v>9</v>
      </c>
      <c r="D7942" s="11" t="s">
        <v>10</v>
      </c>
      <c r="E7942" s="11" t="s">
        <v>11</v>
      </c>
      <c r="F7942" s="11" t="s">
        <v>12</v>
      </c>
      <c r="G7942" s="11" t="s">
        <v>13</v>
      </c>
      <c r="H7942" s="11" t="s">
        <v>14</v>
      </c>
    </row>
    <row r="7943" spans="3:11" x14ac:dyDescent="0.25">
      <c r="C7943" s="12" t="s">
        <v>15</v>
      </c>
      <c r="D7943" s="13" t="s">
        <v>16</v>
      </c>
      <c r="E7943" s="14"/>
      <c r="F7943" s="14"/>
      <c r="G7943" s="14"/>
      <c r="H7943" s="14"/>
    </row>
    <row r="7944" spans="3:11" x14ac:dyDescent="0.3">
      <c r="C7944" s="16">
        <v>1</v>
      </c>
      <c r="D7944" s="13" t="s">
        <v>18</v>
      </c>
      <c r="E7944" s="17" t="s">
        <v>19</v>
      </c>
      <c r="F7944" s="18">
        <v>0.876</v>
      </c>
      <c r="G7944" s="19">
        <f>VLOOKUP(D7944,upahbahan,3,FALSE)</f>
        <v>100000</v>
      </c>
      <c r="H7944" s="19">
        <f t="shared" ref="H7944:H7947" si="831">F7944*G7944</f>
        <v>87600</v>
      </c>
    </row>
    <row r="7945" spans="3:11" x14ac:dyDescent="0.3">
      <c r="C7945" s="16">
        <v>2</v>
      </c>
      <c r="D7945" s="13" t="s">
        <v>21</v>
      </c>
      <c r="E7945" s="17" t="s">
        <v>19</v>
      </c>
      <c r="F7945" s="18">
        <v>1.4630000000000001</v>
      </c>
      <c r="G7945" s="19">
        <f>VLOOKUP(D7945,upahbahan,3,FALSE)</f>
        <v>145000</v>
      </c>
      <c r="H7945" s="19">
        <f t="shared" si="831"/>
        <v>212135</v>
      </c>
    </row>
    <row r="7946" spans="3:11" x14ac:dyDescent="0.3">
      <c r="C7946" s="16">
        <v>3</v>
      </c>
      <c r="D7946" s="13" t="s">
        <v>1224</v>
      </c>
      <c r="E7946" s="17" t="s">
        <v>19</v>
      </c>
      <c r="F7946" s="18">
        <v>0.14599999999999999</v>
      </c>
      <c r="G7946" s="19">
        <f>VLOOKUP(D7946,upahbahan,3,FALSE)</f>
        <v>175000</v>
      </c>
      <c r="H7946" s="19">
        <f t="shared" si="831"/>
        <v>25550</v>
      </c>
    </row>
    <row r="7947" spans="3:11" x14ac:dyDescent="0.3">
      <c r="C7947" s="16">
        <v>4</v>
      </c>
      <c r="D7947" s="13" t="s">
        <v>23</v>
      </c>
      <c r="E7947" s="17" t="s">
        <v>19</v>
      </c>
      <c r="F7947" s="18">
        <v>4.9000000000000002E-2</v>
      </c>
      <c r="G7947" s="19">
        <f>VLOOKUP(D7947,upahbahan,3,FALSE)</f>
        <v>200000</v>
      </c>
      <c r="H7947" s="19">
        <f t="shared" si="831"/>
        <v>9800</v>
      </c>
    </row>
    <row r="7948" spans="3:11" x14ac:dyDescent="0.3">
      <c r="C7948" s="21" t="s">
        <v>24</v>
      </c>
      <c r="D7948" s="22"/>
      <c r="E7948" s="22"/>
      <c r="F7948" s="54"/>
      <c r="G7948" s="24"/>
      <c r="H7948" s="19">
        <f>SUM(H7944:H7947)</f>
        <v>335085</v>
      </c>
      <c r="I7948" s="25"/>
    </row>
    <row r="7949" spans="3:11" x14ac:dyDescent="0.25">
      <c r="C7949" s="12" t="s">
        <v>25</v>
      </c>
      <c r="D7949" s="13" t="s">
        <v>26</v>
      </c>
      <c r="E7949" s="14"/>
      <c r="F7949" s="55"/>
      <c r="G7949" s="14"/>
      <c r="H7949" s="14"/>
    </row>
    <row r="7950" spans="3:11" ht="27.6" x14ac:dyDescent="0.25">
      <c r="C7950" s="12">
        <v>1</v>
      </c>
      <c r="D7950" s="13" t="s">
        <v>1483</v>
      </c>
      <c r="E7950" s="53" t="s">
        <v>1484</v>
      </c>
      <c r="F7950" s="115">
        <v>1.05</v>
      </c>
      <c r="G7950" s="19">
        <f>VLOOKUP(D7950,upahbahan,3,FALSE)</f>
        <v>6500000</v>
      </c>
      <c r="H7950" s="19">
        <f t="shared" ref="H7950" si="832">F7950*G7950</f>
        <v>6825000</v>
      </c>
    </row>
    <row r="7951" spans="3:11" x14ac:dyDescent="0.3">
      <c r="C7951" s="21" t="s">
        <v>29</v>
      </c>
      <c r="D7951" s="22"/>
      <c r="E7951" s="22" t="s">
        <v>1340</v>
      </c>
      <c r="F7951" s="22"/>
      <c r="G7951" s="28"/>
      <c r="H7951" s="19">
        <f>SUM(H7949:H7950)</f>
        <v>6825000</v>
      </c>
    </row>
    <row r="7952" spans="3:11" x14ac:dyDescent="0.25">
      <c r="C7952" s="12" t="s">
        <v>30</v>
      </c>
      <c r="D7952" s="13" t="s">
        <v>31</v>
      </c>
      <c r="E7952" s="14"/>
      <c r="F7952" s="14"/>
      <c r="G7952" s="14"/>
      <c r="H7952" s="14"/>
    </row>
    <row r="7953" spans="3:11" x14ac:dyDescent="0.3">
      <c r="C7953" s="21" t="s">
        <v>32</v>
      </c>
      <c r="D7953" s="77"/>
      <c r="E7953" s="77"/>
      <c r="F7953" s="77"/>
      <c r="G7953" s="28"/>
      <c r="H7953" s="29">
        <f>SUM(H7952:H7952)</f>
        <v>0</v>
      </c>
    </row>
    <row r="7954" spans="3:11" x14ac:dyDescent="0.3">
      <c r="C7954" s="30" t="s">
        <v>33</v>
      </c>
      <c r="D7954" s="31" t="s">
        <v>34</v>
      </c>
      <c r="E7954" s="32"/>
      <c r="F7954" s="32"/>
      <c r="G7954" s="33"/>
      <c r="H7954" s="46">
        <f>H7953+H7951+H7948</f>
        <v>7160085</v>
      </c>
      <c r="I7954" s="47"/>
    </row>
    <row r="7955" spans="3:11" x14ac:dyDescent="0.3">
      <c r="C7955" s="30" t="s">
        <v>35</v>
      </c>
      <c r="D7955" s="31" t="s">
        <v>36</v>
      </c>
      <c r="E7955" s="32"/>
      <c r="F7955" s="33"/>
      <c r="G7955" s="34">
        <f>$M$9</f>
        <v>0.1</v>
      </c>
      <c r="H7955" s="19">
        <f>H7954*G7955</f>
        <v>716008.5</v>
      </c>
      <c r="I7955" s="47"/>
    </row>
    <row r="7956" spans="3:11" x14ac:dyDescent="0.3">
      <c r="C7956" s="30" t="s">
        <v>37</v>
      </c>
      <c r="D7956" s="31" t="s">
        <v>38</v>
      </c>
      <c r="E7956" s="32"/>
      <c r="F7956" s="32"/>
      <c r="G7956" s="33"/>
      <c r="H7956" s="48">
        <f>SUM(H7954:H7955)</f>
        <v>7876093.5</v>
      </c>
      <c r="I7956" s="47"/>
    </row>
    <row r="7958" spans="3:11" x14ac:dyDescent="0.3">
      <c r="C7958" s="40" t="s">
        <v>1485</v>
      </c>
      <c r="D7958" s="68" t="s">
        <v>1486</v>
      </c>
      <c r="E7958" s="44"/>
      <c r="F7958" s="44"/>
      <c r="G7958" s="44"/>
      <c r="H7958" s="44"/>
      <c r="I7958" s="10">
        <f>ROUNDDOWN(H7973,0)</f>
        <v>1416783</v>
      </c>
      <c r="J7958" s="15"/>
      <c r="K7958" s="39"/>
    </row>
    <row r="7959" spans="3:11" ht="27.6" x14ac:dyDescent="0.3">
      <c r="C7959" s="11" t="s">
        <v>9</v>
      </c>
      <c r="D7959" s="11" t="s">
        <v>10</v>
      </c>
      <c r="E7959" s="11" t="s">
        <v>11</v>
      </c>
      <c r="F7959" s="11" t="s">
        <v>12</v>
      </c>
      <c r="G7959" s="11" t="s">
        <v>13</v>
      </c>
      <c r="H7959" s="11" t="s">
        <v>14</v>
      </c>
    </row>
    <row r="7960" spans="3:11" x14ac:dyDescent="0.25">
      <c r="C7960" s="12" t="s">
        <v>15</v>
      </c>
      <c r="D7960" s="13" t="s">
        <v>16</v>
      </c>
      <c r="E7960" s="14"/>
      <c r="F7960" s="14"/>
      <c r="G7960" s="14"/>
      <c r="H7960" s="14"/>
    </row>
    <row r="7961" spans="3:11" x14ac:dyDescent="0.3">
      <c r="C7961" s="16">
        <v>1</v>
      </c>
      <c r="D7961" s="13" t="s">
        <v>18</v>
      </c>
      <c r="E7961" s="17" t="s">
        <v>19</v>
      </c>
      <c r="F7961" s="18">
        <v>0.76</v>
      </c>
      <c r="G7961" s="19">
        <f>VLOOKUP(D7961,upahbahan,3,FALSE)</f>
        <v>100000</v>
      </c>
      <c r="H7961" s="19">
        <f t="shared" ref="H7961:H7964" si="833">F7961*G7961</f>
        <v>76000</v>
      </c>
    </row>
    <row r="7962" spans="3:11" x14ac:dyDescent="0.3">
      <c r="C7962" s="16">
        <v>2</v>
      </c>
      <c r="D7962" s="13" t="s">
        <v>21</v>
      </c>
      <c r="E7962" s="17" t="s">
        <v>19</v>
      </c>
      <c r="F7962" s="18">
        <v>1.268</v>
      </c>
      <c r="G7962" s="19">
        <f>VLOOKUP(D7962,upahbahan,3,FALSE)</f>
        <v>145000</v>
      </c>
      <c r="H7962" s="19">
        <f t="shared" si="833"/>
        <v>183860</v>
      </c>
    </row>
    <row r="7963" spans="3:11" x14ac:dyDescent="0.3">
      <c r="C7963" s="16">
        <v>3</v>
      </c>
      <c r="D7963" s="13" t="s">
        <v>1224</v>
      </c>
      <c r="E7963" s="17" t="s">
        <v>19</v>
      </c>
      <c r="F7963" s="18">
        <v>0.127</v>
      </c>
      <c r="G7963" s="19">
        <f>VLOOKUP(D7963,upahbahan,3,FALSE)</f>
        <v>175000</v>
      </c>
      <c r="H7963" s="19">
        <f t="shared" si="833"/>
        <v>22225</v>
      </c>
    </row>
    <row r="7964" spans="3:11" x14ac:dyDescent="0.3">
      <c r="C7964" s="16">
        <v>4</v>
      </c>
      <c r="D7964" s="13" t="s">
        <v>23</v>
      </c>
      <c r="E7964" s="17" t="s">
        <v>19</v>
      </c>
      <c r="F7964" s="18">
        <v>4.2000000000000003E-2</v>
      </c>
      <c r="G7964" s="19">
        <f>VLOOKUP(D7964,upahbahan,3,FALSE)</f>
        <v>200000</v>
      </c>
      <c r="H7964" s="19">
        <f t="shared" si="833"/>
        <v>8400</v>
      </c>
    </row>
    <row r="7965" spans="3:11" x14ac:dyDescent="0.3">
      <c r="C7965" s="21" t="s">
        <v>24</v>
      </c>
      <c r="D7965" s="22"/>
      <c r="E7965" s="22"/>
      <c r="F7965" s="54"/>
      <c r="G7965" s="24"/>
      <c r="H7965" s="19">
        <f>SUM(H7961:H7964)</f>
        <v>290485</v>
      </c>
      <c r="I7965" s="25"/>
    </row>
    <row r="7966" spans="3:11" x14ac:dyDescent="0.25">
      <c r="C7966" s="12" t="s">
        <v>25</v>
      </c>
      <c r="D7966" s="13" t="s">
        <v>26</v>
      </c>
      <c r="E7966" s="14"/>
      <c r="F7966" s="55"/>
      <c r="G7966" s="14"/>
      <c r="H7966" s="14"/>
    </row>
    <row r="7967" spans="3:11" x14ac:dyDescent="0.25">
      <c r="C7967" s="12">
        <v>1</v>
      </c>
      <c r="D7967" s="13" t="s">
        <v>1487</v>
      </c>
      <c r="E7967" s="53" t="s">
        <v>1484</v>
      </c>
      <c r="F7967" s="115">
        <v>1.05</v>
      </c>
      <c r="G7967" s="19">
        <f>VLOOKUP(D7967,upahbahan,3,FALSE)</f>
        <v>950000</v>
      </c>
      <c r="H7967" s="19">
        <f t="shared" ref="H7967" si="834">F7967*G7967</f>
        <v>997500</v>
      </c>
    </row>
    <row r="7968" spans="3:11" x14ac:dyDescent="0.3">
      <c r="C7968" s="21" t="s">
        <v>29</v>
      </c>
      <c r="D7968" s="22"/>
      <c r="E7968" s="22" t="s">
        <v>1340</v>
      </c>
      <c r="F7968" s="22"/>
      <c r="G7968" s="28"/>
      <c r="H7968" s="19">
        <f>SUM(H7966:H7967)</f>
        <v>997500</v>
      </c>
    </row>
    <row r="7969" spans="3:11" x14ac:dyDescent="0.25">
      <c r="C7969" s="12" t="s">
        <v>30</v>
      </c>
      <c r="D7969" s="13" t="s">
        <v>31</v>
      </c>
      <c r="E7969" s="14"/>
      <c r="F7969" s="14"/>
      <c r="G7969" s="14"/>
      <c r="H7969" s="14"/>
    </row>
    <row r="7970" spans="3:11" x14ac:dyDescent="0.3">
      <c r="C7970" s="21" t="s">
        <v>32</v>
      </c>
      <c r="D7970" s="77"/>
      <c r="E7970" s="77"/>
      <c r="F7970" s="77"/>
      <c r="G7970" s="28"/>
      <c r="H7970" s="29">
        <f>SUM(H7969:H7969)</f>
        <v>0</v>
      </c>
    </row>
    <row r="7971" spans="3:11" x14ac:dyDescent="0.3">
      <c r="C7971" s="30" t="s">
        <v>33</v>
      </c>
      <c r="D7971" s="31" t="s">
        <v>34</v>
      </c>
      <c r="E7971" s="32"/>
      <c r="F7971" s="32"/>
      <c r="G7971" s="33"/>
      <c r="H7971" s="46">
        <f>H7970+H7968+H7965</f>
        <v>1287985</v>
      </c>
      <c r="I7971" s="47"/>
    </row>
    <row r="7972" spans="3:11" x14ac:dyDescent="0.3">
      <c r="C7972" s="30" t="s">
        <v>35</v>
      </c>
      <c r="D7972" s="31" t="s">
        <v>36</v>
      </c>
      <c r="E7972" s="32"/>
      <c r="F7972" s="33"/>
      <c r="G7972" s="34">
        <f>$M$9</f>
        <v>0.1</v>
      </c>
      <c r="H7972" s="19">
        <f>H7971*G7972</f>
        <v>128798.5</v>
      </c>
      <c r="I7972" s="47"/>
    </row>
    <row r="7973" spans="3:11" x14ac:dyDescent="0.3">
      <c r="C7973" s="30" t="s">
        <v>37</v>
      </c>
      <c r="D7973" s="31" t="s">
        <v>38</v>
      </c>
      <c r="E7973" s="32"/>
      <c r="F7973" s="32"/>
      <c r="G7973" s="33"/>
      <c r="H7973" s="48">
        <f>SUM(H7971:H7972)</f>
        <v>1416783.5</v>
      </c>
      <c r="I7973" s="47"/>
    </row>
    <row r="7975" spans="3:11" x14ac:dyDescent="0.3">
      <c r="C7975" s="40" t="s">
        <v>1488</v>
      </c>
      <c r="D7975" s="68" t="s">
        <v>1489</v>
      </c>
      <c r="E7975" s="44"/>
      <c r="F7975" s="44"/>
      <c r="G7975" s="44"/>
      <c r="H7975" s="44"/>
      <c r="I7975" s="10">
        <f>ROUNDDOWN(H7990,0)</f>
        <v>1070283</v>
      </c>
      <c r="J7975" s="15"/>
      <c r="K7975" s="39"/>
    </row>
    <row r="7976" spans="3:11" ht="27.6" x14ac:dyDescent="0.3">
      <c r="C7976" s="11" t="s">
        <v>9</v>
      </c>
      <c r="D7976" s="11" t="s">
        <v>10</v>
      </c>
      <c r="E7976" s="11" t="s">
        <v>11</v>
      </c>
      <c r="F7976" s="11" t="s">
        <v>12</v>
      </c>
      <c r="G7976" s="11" t="s">
        <v>13</v>
      </c>
      <c r="H7976" s="11" t="s">
        <v>14</v>
      </c>
    </row>
    <row r="7977" spans="3:11" x14ac:dyDescent="0.25">
      <c r="C7977" s="12" t="s">
        <v>15</v>
      </c>
      <c r="D7977" s="13" t="s">
        <v>16</v>
      </c>
      <c r="E7977" s="14"/>
      <c r="F7977" s="14"/>
      <c r="G7977" s="14"/>
      <c r="H7977" s="14"/>
    </row>
    <row r="7978" spans="3:11" x14ac:dyDescent="0.3">
      <c r="C7978" s="16">
        <v>1</v>
      </c>
      <c r="D7978" s="13" t="s">
        <v>18</v>
      </c>
      <c r="E7978" s="17" t="s">
        <v>19</v>
      </c>
      <c r="F7978" s="18">
        <v>0.76</v>
      </c>
      <c r="G7978" s="19">
        <f>VLOOKUP(D7978,upahbahan,3,FALSE)</f>
        <v>100000</v>
      </c>
      <c r="H7978" s="19">
        <f t="shared" ref="H7978:H7981" si="835">F7978*G7978</f>
        <v>76000</v>
      </c>
    </row>
    <row r="7979" spans="3:11" x14ac:dyDescent="0.3">
      <c r="C7979" s="16">
        <v>2</v>
      </c>
      <c r="D7979" s="13" t="s">
        <v>21</v>
      </c>
      <c r="E7979" s="17" t="s">
        <v>19</v>
      </c>
      <c r="F7979" s="18">
        <v>1.268</v>
      </c>
      <c r="G7979" s="19">
        <f>VLOOKUP(D7979,upahbahan,3,FALSE)</f>
        <v>145000</v>
      </c>
      <c r="H7979" s="19">
        <f t="shared" si="835"/>
        <v>183860</v>
      </c>
    </row>
    <row r="7980" spans="3:11" x14ac:dyDescent="0.3">
      <c r="C7980" s="16">
        <v>3</v>
      </c>
      <c r="D7980" s="13" t="s">
        <v>1224</v>
      </c>
      <c r="E7980" s="17" t="s">
        <v>19</v>
      </c>
      <c r="F7980" s="18">
        <v>0.127</v>
      </c>
      <c r="G7980" s="19">
        <f>VLOOKUP(D7980,upahbahan,3,FALSE)</f>
        <v>175000</v>
      </c>
      <c r="H7980" s="19">
        <f t="shared" si="835"/>
        <v>22225</v>
      </c>
    </row>
    <row r="7981" spans="3:11" x14ac:dyDescent="0.3">
      <c r="C7981" s="16">
        <v>4</v>
      </c>
      <c r="D7981" s="13" t="s">
        <v>23</v>
      </c>
      <c r="E7981" s="17" t="s">
        <v>19</v>
      </c>
      <c r="F7981" s="18">
        <v>4.2000000000000003E-2</v>
      </c>
      <c r="G7981" s="19">
        <f>VLOOKUP(D7981,upahbahan,3,FALSE)</f>
        <v>200000</v>
      </c>
      <c r="H7981" s="19">
        <f t="shared" si="835"/>
        <v>8400</v>
      </c>
    </row>
    <row r="7982" spans="3:11" x14ac:dyDescent="0.3">
      <c r="C7982" s="21" t="s">
        <v>24</v>
      </c>
      <c r="D7982" s="22"/>
      <c r="E7982" s="22"/>
      <c r="F7982" s="54"/>
      <c r="G7982" s="24"/>
      <c r="H7982" s="19">
        <f>SUM(H7978:H7981)</f>
        <v>290485</v>
      </c>
      <c r="I7982" s="25"/>
    </row>
    <row r="7983" spans="3:11" x14ac:dyDescent="0.25">
      <c r="C7983" s="12" t="s">
        <v>25</v>
      </c>
      <c r="D7983" s="13" t="s">
        <v>26</v>
      </c>
      <c r="E7983" s="14"/>
      <c r="F7983" s="55"/>
      <c r="G7983" s="14"/>
      <c r="H7983" s="14"/>
    </row>
    <row r="7984" spans="3:11" x14ac:dyDescent="0.25">
      <c r="C7984" s="12">
        <v>1</v>
      </c>
      <c r="D7984" s="13" t="s">
        <v>1490</v>
      </c>
      <c r="E7984" s="53" t="s">
        <v>1484</v>
      </c>
      <c r="F7984" s="115">
        <v>1.05</v>
      </c>
      <c r="G7984" s="19">
        <f>VLOOKUP(D7984,upahbahan,3,FALSE)</f>
        <v>650000</v>
      </c>
      <c r="H7984" s="19">
        <f t="shared" ref="H7984" si="836">F7984*G7984</f>
        <v>682500</v>
      </c>
    </row>
    <row r="7985" spans="3:11" x14ac:dyDescent="0.3">
      <c r="C7985" s="21" t="s">
        <v>29</v>
      </c>
      <c r="D7985" s="22"/>
      <c r="E7985" s="22" t="s">
        <v>1340</v>
      </c>
      <c r="F7985" s="22"/>
      <c r="G7985" s="28"/>
      <c r="H7985" s="19">
        <f>SUM(H7983:H7984)</f>
        <v>682500</v>
      </c>
    </row>
    <row r="7986" spans="3:11" x14ac:dyDescent="0.25">
      <c r="C7986" s="12" t="s">
        <v>30</v>
      </c>
      <c r="D7986" s="13" t="s">
        <v>31</v>
      </c>
      <c r="E7986" s="14"/>
      <c r="F7986" s="14"/>
      <c r="G7986" s="14"/>
      <c r="H7986" s="14"/>
    </row>
    <row r="7987" spans="3:11" x14ac:dyDescent="0.3">
      <c r="C7987" s="21" t="s">
        <v>32</v>
      </c>
      <c r="D7987" s="77"/>
      <c r="E7987" s="77"/>
      <c r="F7987" s="77"/>
      <c r="G7987" s="28"/>
      <c r="H7987" s="29">
        <f>SUM(H7986:H7986)</f>
        <v>0</v>
      </c>
    </row>
    <row r="7988" spans="3:11" x14ac:dyDescent="0.3">
      <c r="C7988" s="30" t="s">
        <v>33</v>
      </c>
      <c r="D7988" s="31" t="s">
        <v>34</v>
      </c>
      <c r="E7988" s="32"/>
      <c r="F7988" s="32"/>
      <c r="G7988" s="33"/>
      <c r="H7988" s="46">
        <f>H7987+H7985+H7982</f>
        <v>972985</v>
      </c>
      <c r="I7988" s="47"/>
    </row>
    <row r="7989" spans="3:11" x14ac:dyDescent="0.3">
      <c r="C7989" s="30" t="s">
        <v>35</v>
      </c>
      <c r="D7989" s="31" t="s">
        <v>36</v>
      </c>
      <c r="E7989" s="32"/>
      <c r="F7989" s="33"/>
      <c r="G7989" s="34">
        <f>$M$9</f>
        <v>0.1</v>
      </c>
      <c r="H7989" s="19">
        <f>H7988*G7989</f>
        <v>97298.5</v>
      </c>
      <c r="I7989" s="47"/>
    </row>
    <row r="7990" spans="3:11" x14ac:dyDescent="0.3">
      <c r="C7990" s="30" t="s">
        <v>37</v>
      </c>
      <c r="D7990" s="31" t="s">
        <v>38</v>
      </c>
      <c r="E7990" s="32"/>
      <c r="F7990" s="32"/>
      <c r="G7990" s="33"/>
      <c r="H7990" s="48">
        <f>SUM(H7988:H7989)</f>
        <v>1070283.5</v>
      </c>
      <c r="I7990" s="47"/>
    </row>
    <row r="7992" spans="3:11" x14ac:dyDescent="0.3">
      <c r="C7992" s="40" t="s">
        <v>1491</v>
      </c>
      <c r="D7992" s="68" t="s">
        <v>1492</v>
      </c>
      <c r="E7992" s="44"/>
      <c r="F7992" s="44"/>
      <c r="G7992" s="44"/>
      <c r="H7992" s="44"/>
      <c r="I7992" s="10">
        <f>ROUNDDOWN(H8007,0)</f>
        <v>715451</v>
      </c>
      <c r="J7992" s="15"/>
      <c r="K7992" s="39"/>
    </row>
    <row r="7993" spans="3:11" ht="27.6" x14ac:dyDescent="0.3">
      <c r="C7993" s="11" t="s">
        <v>9</v>
      </c>
      <c r="D7993" s="11" t="s">
        <v>10</v>
      </c>
      <c r="E7993" s="11" t="s">
        <v>11</v>
      </c>
      <c r="F7993" s="11" t="s">
        <v>12</v>
      </c>
      <c r="G7993" s="11" t="s">
        <v>13</v>
      </c>
      <c r="H7993" s="11" t="s">
        <v>14</v>
      </c>
    </row>
    <row r="7994" spans="3:11" x14ac:dyDescent="0.25">
      <c r="C7994" s="12" t="s">
        <v>15</v>
      </c>
      <c r="D7994" s="13" t="s">
        <v>16</v>
      </c>
      <c r="E7994" s="14"/>
      <c r="F7994" s="14"/>
      <c r="G7994" s="14"/>
      <c r="H7994" s="14"/>
    </row>
    <row r="7995" spans="3:11" x14ac:dyDescent="0.3">
      <c r="C7995" s="16">
        <v>1</v>
      </c>
      <c r="D7995" s="13" t="s">
        <v>18</v>
      </c>
      <c r="E7995" s="17" t="s">
        <v>19</v>
      </c>
      <c r="F7995" s="18">
        <v>0.19</v>
      </c>
      <c r="G7995" s="19">
        <f>VLOOKUP(D7995,upahbahan,3,FALSE)</f>
        <v>100000</v>
      </c>
      <c r="H7995" s="19">
        <f t="shared" ref="H7995:H7998" si="837">F7995*G7995</f>
        <v>19000</v>
      </c>
    </row>
    <row r="7996" spans="3:11" x14ac:dyDescent="0.3">
      <c r="C7996" s="16">
        <v>2</v>
      </c>
      <c r="D7996" s="13" t="s">
        <v>21</v>
      </c>
      <c r="E7996" s="17" t="s">
        <v>19</v>
      </c>
      <c r="F7996" s="18">
        <v>0.318</v>
      </c>
      <c r="G7996" s="19">
        <f>VLOOKUP(D7996,upahbahan,3,FALSE)</f>
        <v>145000</v>
      </c>
      <c r="H7996" s="19">
        <f t="shared" si="837"/>
        <v>46110</v>
      </c>
    </row>
    <row r="7997" spans="3:11" x14ac:dyDescent="0.3">
      <c r="C7997" s="16">
        <v>3</v>
      </c>
      <c r="D7997" s="13" t="s">
        <v>1224</v>
      </c>
      <c r="E7997" s="17" t="s">
        <v>19</v>
      </c>
      <c r="F7997" s="18">
        <v>3.2000000000000001E-2</v>
      </c>
      <c r="G7997" s="19">
        <f>VLOOKUP(D7997,upahbahan,3,FALSE)</f>
        <v>175000</v>
      </c>
      <c r="H7997" s="19">
        <f t="shared" si="837"/>
        <v>5600</v>
      </c>
    </row>
    <row r="7998" spans="3:11" x14ac:dyDescent="0.3">
      <c r="C7998" s="16">
        <v>4</v>
      </c>
      <c r="D7998" s="13" t="s">
        <v>23</v>
      </c>
      <c r="E7998" s="17" t="s">
        <v>19</v>
      </c>
      <c r="F7998" s="18">
        <v>1.0999999999999999E-2</v>
      </c>
      <c r="G7998" s="19">
        <f>VLOOKUP(D7998,upahbahan,3,FALSE)</f>
        <v>200000</v>
      </c>
      <c r="H7998" s="19">
        <f t="shared" si="837"/>
        <v>2200</v>
      </c>
    </row>
    <row r="7999" spans="3:11" x14ac:dyDescent="0.3">
      <c r="C7999" s="21" t="s">
        <v>24</v>
      </c>
      <c r="D7999" s="22"/>
      <c r="E7999" s="22"/>
      <c r="F7999" s="54"/>
      <c r="G7999" s="24"/>
      <c r="H7999" s="19">
        <f>SUM(H7995:H7998)</f>
        <v>72910</v>
      </c>
      <c r="I7999" s="25"/>
    </row>
    <row r="8000" spans="3:11" x14ac:dyDescent="0.25">
      <c r="C8000" s="12" t="s">
        <v>25</v>
      </c>
      <c r="D8000" s="13" t="s">
        <v>26</v>
      </c>
      <c r="E8000" s="14"/>
      <c r="F8000" s="55"/>
      <c r="G8000" s="14"/>
      <c r="H8000" s="14"/>
    </row>
    <row r="8001" spans="3:11" x14ac:dyDescent="0.25">
      <c r="C8001" s="12">
        <v>1</v>
      </c>
      <c r="D8001" s="13" t="s">
        <v>1493</v>
      </c>
      <c r="E8001" s="53" t="s">
        <v>1484</v>
      </c>
      <c r="F8001" s="115">
        <v>1.05</v>
      </c>
      <c r="G8001" s="19">
        <f>VLOOKUP(D8001,upahbahan,3,FALSE)</f>
        <v>550000</v>
      </c>
      <c r="H8001" s="19">
        <f t="shared" ref="H8001" si="838">F8001*G8001</f>
        <v>577500</v>
      </c>
    </row>
    <row r="8002" spans="3:11" x14ac:dyDescent="0.3">
      <c r="C8002" s="21" t="s">
        <v>29</v>
      </c>
      <c r="D8002" s="22"/>
      <c r="E8002" s="22" t="s">
        <v>1340</v>
      </c>
      <c r="F8002" s="22"/>
      <c r="G8002" s="28"/>
      <c r="H8002" s="19">
        <f>SUM(H8000:H8001)</f>
        <v>577500</v>
      </c>
    </row>
    <row r="8003" spans="3:11" x14ac:dyDescent="0.25">
      <c r="C8003" s="12" t="s">
        <v>30</v>
      </c>
      <c r="D8003" s="13" t="s">
        <v>31</v>
      </c>
      <c r="E8003" s="14"/>
      <c r="F8003" s="14"/>
      <c r="G8003" s="14"/>
      <c r="H8003" s="14"/>
    </row>
    <row r="8004" spans="3:11" x14ac:dyDescent="0.3">
      <c r="C8004" s="21" t="s">
        <v>32</v>
      </c>
      <c r="D8004" s="77"/>
      <c r="E8004" s="77"/>
      <c r="F8004" s="77"/>
      <c r="G8004" s="28"/>
      <c r="H8004" s="29">
        <f>SUM(H8003:H8003)</f>
        <v>0</v>
      </c>
    </row>
    <row r="8005" spans="3:11" x14ac:dyDescent="0.3">
      <c r="C8005" s="30" t="s">
        <v>33</v>
      </c>
      <c r="D8005" s="31" t="s">
        <v>34</v>
      </c>
      <c r="E8005" s="32"/>
      <c r="F8005" s="32"/>
      <c r="G8005" s="33"/>
      <c r="H8005" s="46">
        <f>H8004+H8002+H7999</f>
        <v>650410</v>
      </c>
      <c r="I8005" s="47"/>
    </row>
    <row r="8006" spans="3:11" x14ac:dyDescent="0.3">
      <c r="C8006" s="30" t="s">
        <v>35</v>
      </c>
      <c r="D8006" s="31" t="s">
        <v>36</v>
      </c>
      <c r="E8006" s="32"/>
      <c r="F8006" s="33"/>
      <c r="G8006" s="34">
        <f>$M$9</f>
        <v>0.1</v>
      </c>
      <c r="H8006" s="19">
        <f>H8005*G8006</f>
        <v>65041</v>
      </c>
      <c r="I8006" s="47"/>
    </row>
    <row r="8007" spans="3:11" x14ac:dyDescent="0.3">
      <c r="C8007" s="30" t="s">
        <v>37</v>
      </c>
      <c r="D8007" s="31" t="s">
        <v>38</v>
      </c>
      <c r="E8007" s="32"/>
      <c r="F8007" s="32"/>
      <c r="G8007" s="33"/>
      <c r="H8007" s="48">
        <f>SUM(H8005:H8006)</f>
        <v>715451</v>
      </c>
      <c r="I8007" s="47"/>
    </row>
    <row r="8009" spans="3:11" x14ac:dyDescent="0.3">
      <c r="C8009" s="40" t="s">
        <v>1494</v>
      </c>
      <c r="D8009" s="68" t="s">
        <v>1495</v>
      </c>
      <c r="E8009" s="44"/>
      <c r="F8009" s="44"/>
      <c r="G8009" s="44"/>
      <c r="H8009" s="44"/>
      <c r="I8009" s="10">
        <f>ROUNDDOWN(H8024,0)</f>
        <v>419919</v>
      </c>
      <c r="J8009" s="15"/>
      <c r="K8009" s="39"/>
    </row>
    <row r="8010" spans="3:11" ht="27.6" x14ac:dyDescent="0.3">
      <c r="C8010" s="11" t="s">
        <v>9</v>
      </c>
      <c r="D8010" s="11" t="s">
        <v>10</v>
      </c>
      <c r="E8010" s="11" t="s">
        <v>11</v>
      </c>
      <c r="F8010" s="11" t="s">
        <v>12</v>
      </c>
      <c r="G8010" s="11" t="s">
        <v>13</v>
      </c>
      <c r="H8010" s="11" t="s">
        <v>14</v>
      </c>
    </row>
    <row r="8011" spans="3:11" x14ac:dyDescent="0.25">
      <c r="C8011" s="12" t="s">
        <v>15</v>
      </c>
      <c r="D8011" s="13" t="s">
        <v>16</v>
      </c>
      <c r="E8011" s="14"/>
      <c r="F8011" s="14"/>
      <c r="G8011" s="14"/>
      <c r="H8011" s="14"/>
    </row>
    <row r="8012" spans="3:11" x14ac:dyDescent="0.3">
      <c r="C8012" s="16">
        <v>1</v>
      </c>
      <c r="D8012" s="13" t="s">
        <v>18</v>
      </c>
      <c r="E8012" s="17" t="s">
        <v>19</v>
      </c>
      <c r="F8012" s="18">
        <v>0.312</v>
      </c>
      <c r="G8012" s="19">
        <f>VLOOKUP(D8012,upahbahan,3,FALSE)</f>
        <v>100000</v>
      </c>
      <c r="H8012" s="19">
        <f t="shared" ref="H8012:H8015" si="839">F8012*G8012</f>
        <v>31200</v>
      </c>
    </row>
    <row r="8013" spans="3:11" x14ac:dyDescent="0.3">
      <c r="C8013" s="16">
        <v>2</v>
      </c>
      <c r="D8013" s="13" t="s">
        <v>21</v>
      </c>
      <c r="E8013" s="17" t="s">
        <v>19</v>
      </c>
      <c r="F8013" s="18">
        <v>0.52100000000000002</v>
      </c>
      <c r="G8013" s="19">
        <f>VLOOKUP(D8013,upahbahan,3,FALSE)</f>
        <v>145000</v>
      </c>
      <c r="H8013" s="19">
        <f t="shared" si="839"/>
        <v>75545</v>
      </c>
    </row>
    <row r="8014" spans="3:11" x14ac:dyDescent="0.3">
      <c r="C8014" s="16">
        <v>3</v>
      </c>
      <c r="D8014" s="13" t="s">
        <v>1224</v>
      </c>
      <c r="E8014" s="17" t="s">
        <v>19</v>
      </c>
      <c r="F8014" s="18">
        <v>5.1999999999999998E-2</v>
      </c>
      <c r="G8014" s="19">
        <f>VLOOKUP(D8014,upahbahan,3,FALSE)</f>
        <v>175000</v>
      </c>
      <c r="H8014" s="19">
        <f t="shared" si="839"/>
        <v>9100</v>
      </c>
    </row>
    <row r="8015" spans="3:11" x14ac:dyDescent="0.3">
      <c r="C8015" s="16">
        <v>4</v>
      </c>
      <c r="D8015" s="13" t="s">
        <v>23</v>
      </c>
      <c r="E8015" s="17" t="s">
        <v>19</v>
      </c>
      <c r="F8015" s="18">
        <v>1.7000000000000001E-2</v>
      </c>
      <c r="G8015" s="19">
        <f>VLOOKUP(D8015,upahbahan,3,FALSE)</f>
        <v>200000</v>
      </c>
      <c r="H8015" s="19">
        <f t="shared" si="839"/>
        <v>3400.0000000000005</v>
      </c>
    </row>
    <row r="8016" spans="3:11" x14ac:dyDescent="0.3">
      <c r="C8016" s="21" t="s">
        <v>24</v>
      </c>
      <c r="D8016" s="22"/>
      <c r="E8016" s="22"/>
      <c r="F8016" s="54"/>
      <c r="G8016" s="24"/>
      <c r="H8016" s="19">
        <f>SUM(H8012:H8015)</f>
        <v>119245</v>
      </c>
      <c r="I8016" s="25"/>
    </row>
    <row r="8017" spans="3:11" x14ac:dyDescent="0.25">
      <c r="C8017" s="12" t="s">
        <v>25</v>
      </c>
      <c r="D8017" s="13" t="s">
        <v>26</v>
      </c>
      <c r="E8017" s="14"/>
      <c r="F8017" s="55"/>
      <c r="G8017" s="14"/>
      <c r="H8017" s="14"/>
    </row>
    <row r="8018" spans="3:11" x14ac:dyDescent="0.25">
      <c r="C8018" s="12">
        <v>1</v>
      </c>
      <c r="D8018" s="13" t="s">
        <v>1496</v>
      </c>
      <c r="E8018" s="53" t="s">
        <v>1484</v>
      </c>
      <c r="F8018" s="115">
        <v>1.05</v>
      </c>
      <c r="G8018" s="19">
        <f>VLOOKUP(D8018,upahbahan,3,FALSE)</f>
        <v>250000</v>
      </c>
      <c r="H8018" s="19">
        <f t="shared" ref="H8018" si="840">F8018*G8018</f>
        <v>262500</v>
      </c>
    </row>
    <row r="8019" spans="3:11" x14ac:dyDescent="0.3">
      <c r="C8019" s="21" t="s">
        <v>29</v>
      </c>
      <c r="D8019" s="22"/>
      <c r="E8019" s="22" t="s">
        <v>1340</v>
      </c>
      <c r="F8019" s="22"/>
      <c r="G8019" s="28"/>
      <c r="H8019" s="19">
        <f>SUM(H8017:H8018)</f>
        <v>262500</v>
      </c>
    </row>
    <row r="8020" spans="3:11" x14ac:dyDescent="0.25">
      <c r="C8020" s="12" t="s">
        <v>30</v>
      </c>
      <c r="D8020" s="13" t="s">
        <v>31</v>
      </c>
      <c r="E8020" s="14"/>
      <c r="F8020" s="14"/>
      <c r="G8020" s="14"/>
      <c r="H8020" s="14"/>
    </row>
    <row r="8021" spans="3:11" x14ac:dyDescent="0.3">
      <c r="C8021" s="21" t="s">
        <v>32</v>
      </c>
      <c r="D8021" s="77"/>
      <c r="E8021" s="77"/>
      <c r="F8021" s="77"/>
      <c r="G8021" s="28"/>
      <c r="H8021" s="29">
        <f>SUM(H8020:H8020)</f>
        <v>0</v>
      </c>
    </row>
    <row r="8022" spans="3:11" x14ac:dyDescent="0.3">
      <c r="C8022" s="30" t="s">
        <v>33</v>
      </c>
      <c r="D8022" s="31" t="s">
        <v>34</v>
      </c>
      <c r="E8022" s="32"/>
      <c r="F8022" s="32"/>
      <c r="G8022" s="33"/>
      <c r="H8022" s="46">
        <f>H8021+H8019+H8016</f>
        <v>381745</v>
      </c>
      <c r="I8022" s="47"/>
    </row>
    <row r="8023" spans="3:11" x14ac:dyDescent="0.3">
      <c r="C8023" s="30" t="s">
        <v>35</v>
      </c>
      <c r="D8023" s="31" t="s">
        <v>36</v>
      </c>
      <c r="E8023" s="32"/>
      <c r="F8023" s="33"/>
      <c r="G8023" s="34">
        <f>$M$9</f>
        <v>0.1</v>
      </c>
      <c r="H8023" s="19">
        <f>H8022*G8023</f>
        <v>38174.5</v>
      </c>
      <c r="I8023" s="47"/>
    </row>
    <row r="8024" spans="3:11" x14ac:dyDescent="0.3">
      <c r="C8024" s="30" t="s">
        <v>37</v>
      </c>
      <c r="D8024" s="31" t="s">
        <v>38</v>
      </c>
      <c r="E8024" s="32"/>
      <c r="F8024" s="32"/>
      <c r="G8024" s="33"/>
      <c r="H8024" s="48">
        <f>SUM(H8022:H8023)</f>
        <v>419919.5</v>
      </c>
      <c r="I8024" s="47"/>
    </row>
    <row r="8026" spans="3:11" x14ac:dyDescent="0.3">
      <c r="C8026" s="40" t="s">
        <v>1497</v>
      </c>
      <c r="D8026" s="68" t="s">
        <v>1498</v>
      </c>
      <c r="E8026" s="44"/>
      <c r="F8026" s="44"/>
      <c r="G8026" s="44"/>
      <c r="H8026" s="44"/>
      <c r="I8026" s="10">
        <f>ROUNDDOWN(H8041,0)</f>
        <v>195239</v>
      </c>
      <c r="J8026" s="15"/>
      <c r="K8026" s="39"/>
    </row>
    <row r="8027" spans="3:11" ht="27.6" x14ac:dyDescent="0.3">
      <c r="C8027" s="11" t="s">
        <v>9</v>
      </c>
      <c r="D8027" s="11" t="s">
        <v>10</v>
      </c>
      <c r="E8027" s="11" t="s">
        <v>11</v>
      </c>
      <c r="F8027" s="11" t="s">
        <v>12</v>
      </c>
      <c r="G8027" s="11" t="s">
        <v>13</v>
      </c>
      <c r="H8027" s="11" t="s">
        <v>14</v>
      </c>
    </row>
    <row r="8028" spans="3:11" x14ac:dyDescent="0.25">
      <c r="C8028" s="12" t="s">
        <v>15</v>
      </c>
      <c r="D8028" s="13" t="s">
        <v>16</v>
      </c>
      <c r="E8028" s="14"/>
      <c r="F8028" s="14"/>
      <c r="G8028" s="14"/>
      <c r="H8028" s="14"/>
    </row>
    <row r="8029" spans="3:11" x14ac:dyDescent="0.3">
      <c r="C8029" s="16">
        <v>1</v>
      </c>
      <c r="D8029" s="13" t="s">
        <v>18</v>
      </c>
      <c r="E8029" s="17" t="s">
        <v>19</v>
      </c>
      <c r="F8029" s="18">
        <v>5.1999999999999998E-2</v>
      </c>
      <c r="G8029" s="19">
        <f>VLOOKUP(D8029,upahbahan,3,FALSE)</f>
        <v>100000</v>
      </c>
      <c r="H8029" s="19">
        <f t="shared" ref="H8029:H8032" si="841">F8029*G8029</f>
        <v>5200</v>
      </c>
    </row>
    <row r="8030" spans="3:11" x14ac:dyDescent="0.3">
      <c r="C8030" s="16">
        <v>2</v>
      </c>
      <c r="D8030" s="13" t="s">
        <v>21</v>
      </c>
      <c r="E8030" s="17" t="s">
        <v>19</v>
      </c>
      <c r="F8030" s="18">
        <v>8.6999999999999994E-2</v>
      </c>
      <c r="G8030" s="19">
        <f>VLOOKUP(D8030,upahbahan,3,FALSE)</f>
        <v>145000</v>
      </c>
      <c r="H8030" s="19">
        <f t="shared" si="841"/>
        <v>12615</v>
      </c>
    </row>
    <row r="8031" spans="3:11" x14ac:dyDescent="0.3">
      <c r="C8031" s="16">
        <v>3</v>
      </c>
      <c r="D8031" s="13" t="s">
        <v>1224</v>
      </c>
      <c r="E8031" s="17" t="s">
        <v>19</v>
      </c>
      <c r="F8031" s="18">
        <v>8.9999999999999993E-3</v>
      </c>
      <c r="G8031" s="19">
        <f>VLOOKUP(D8031,upahbahan,3,FALSE)</f>
        <v>175000</v>
      </c>
      <c r="H8031" s="19">
        <f t="shared" si="841"/>
        <v>1574.9999999999998</v>
      </c>
    </row>
    <row r="8032" spans="3:11" x14ac:dyDescent="0.3">
      <c r="C8032" s="16">
        <v>4</v>
      </c>
      <c r="D8032" s="13" t="s">
        <v>23</v>
      </c>
      <c r="E8032" s="17" t="s">
        <v>19</v>
      </c>
      <c r="F8032" s="18">
        <v>3.0000000000000001E-3</v>
      </c>
      <c r="G8032" s="19">
        <f>VLOOKUP(D8032,upahbahan,3,FALSE)</f>
        <v>200000</v>
      </c>
      <c r="H8032" s="19">
        <f t="shared" si="841"/>
        <v>600</v>
      </c>
    </row>
    <row r="8033" spans="3:11" x14ac:dyDescent="0.3">
      <c r="C8033" s="21" t="s">
        <v>24</v>
      </c>
      <c r="D8033" s="22"/>
      <c r="E8033" s="22"/>
      <c r="F8033" s="54"/>
      <c r="G8033" s="24"/>
      <c r="H8033" s="19">
        <f>SUM(H8029:H8032)</f>
        <v>19990</v>
      </c>
      <c r="I8033" s="25"/>
    </row>
    <row r="8034" spans="3:11" x14ac:dyDescent="0.25">
      <c r="C8034" s="12" t="s">
        <v>25</v>
      </c>
      <c r="D8034" s="13" t="s">
        <v>26</v>
      </c>
      <c r="E8034" s="14"/>
      <c r="F8034" s="55"/>
      <c r="G8034" s="14"/>
      <c r="H8034" s="14"/>
    </row>
    <row r="8035" spans="3:11" x14ac:dyDescent="0.25">
      <c r="C8035" s="12">
        <v>1</v>
      </c>
      <c r="D8035" s="13" t="s">
        <v>1499</v>
      </c>
      <c r="E8035" s="53" t="s">
        <v>1484</v>
      </c>
      <c r="F8035" s="115">
        <v>1.05</v>
      </c>
      <c r="G8035" s="19">
        <f>VLOOKUP(D8035,upahbahan,3,FALSE)</f>
        <v>150000</v>
      </c>
      <c r="H8035" s="19">
        <f t="shared" ref="H8035" si="842">F8035*G8035</f>
        <v>157500</v>
      </c>
    </row>
    <row r="8036" spans="3:11" x14ac:dyDescent="0.3">
      <c r="C8036" s="21" t="s">
        <v>29</v>
      </c>
      <c r="D8036" s="22"/>
      <c r="E8036" s="22" t="s">
        <v>1340</v>
      </c>
      <c r="F8036" s="22"/>
      <c r="G8036" s="28"/>
      <c r="H8036" s="19">
        <f>SUM(H8034:H8035)</f>
        <v>157500</v>
      </c>
    </row>
    <row r="8037" spans="3:11" x14ac:dyDescent="0.25">
      <c r="C8037" s="12" t="s">
        <v>30</v>
      </c>
      <c r="D8037" s="13" t="s">
        <v>31</v>
      </c>
      <c r="E8037" s="14"/>
      <c r="F8037" s="14"/>
      <c r="G8037" s="14"/>
      <c r="H8037" s="14"/>
    </row>
    <row r="8038" spans="3:11" x14ac:dyDescent="0.3">
      <c r="C8038" s="21" t="s">
        <v>32</v>
      </c>
      <c r="D8038" s="77"/>
      <c r="E8038" s="77"/>
      <c r="F8038" s="77"/>
      <c r="G8038" s="28"/>
      <c r="H8038" s="29">
        <f>SUM(H8037:H8037)</f>
        <v>0</v>
      </c>
    </row>
    <row r="8039" spans="3:11" x14ac:dyDescent="0.3">
      <c r="C8039" s="30" t="s">
        <v>33</v>
      </c>
      <c r="D8039" s="31" t="s">
        <v>34</v>
      </c>
      <c r="E8039" s="32"/>
      <c r="F8039" s="32"/>
      <c r="G8039" s="33"/>
      <c r="H8039" s="46">
        <f>H8038+H8036+H8033</f>
        <v>177490</v>
      </c>
      <c r="I8039" s="47"/>
    </row>
    <row r="8040" spans="3:11" x14ac:dyDescent="0.3">
      <c r="C8040" s="30" t="s">
        <v>35</v>
      </c>
      <c r="D8040" s="31" t="s">
        <v>36</v>
      </c>
      <c r="E8040" s="32"/>
      <c r="F8040" s="33"/>
      <c r="G8040" s="34">
        <f>$M$9</f>
        <v>0.1</v>
      </c>
      <c r="H8040" s="19">
        <f>H8039*G8040</f>
        <v>17749</v>
      </c>
      <c r="I8040" s="47"/>
    </row>
    <row r="8041" spans="3:11" x14ac:dyDescent="0.3">
      <c r="C8041" s="30" t="s">
        <v>37</v>
      </c>
      <c r="D8041" s="31" t="s">
        <v>38</v>
      </c>
      <c r="E8041" s="32"/>
      <c r="F8041" s="32"/>
      <c r="G8041" s="33"/>
      <c r="H8041" s="48">
        <f>SUM(H8039:H8040)</f>
        <v>195239</v>
      </c>
      <c r="I8041" s="47"/>
    </row>
    <row r="8043" spans="3:11" x14ac:dyDescent="0.3">
      <c r="C8043" s="56" t="s">
        <v>1500</v>
      </c>
      <c r="D8043" s="69" t="s">
        <v>1501</v>
      </c>
      <c r="E8043" s="58"/>
      <c r="F8043" s="58"/>
      <c r="G8043" s="58"/>
      <c r="H8043" s="58"/>
      <c r="I8043" s="10">
        <f>ROUNDDOWN(H8064,0)</f>
        <v>427934</v>
      </c>
      <c r="J8043" s="15"/>
      <c r="K8043" s="39"/>
    </row>
    <row r="8044" spans="3:11" ht="27.6" x14ac:dyDescent="0.3">
      <c r="C8044" s="11" t="s">
        <v>9</v>
      </c>
      <c r="D8044" s="11" t="s">
        <v>10</v>
      </c>
      <c r="E8044" s="11" t="s">
        <v>11</v>
      </c>
      <c r="F8044" s="11" t="s">
        <v>12</v>
      </c>
      <c r="G8044" s="11" t="s">
        <v>13</v>
      </c>
      <c r="H8044" s="11" t="s">
        <v>14</v>
      </c>
    </row>
    <row r="8045" spans="3:11" x14ac:dyDescent="0.25">
      <c r="C8045" s="12" t="s">
        <v>15</v>
      </c>
      <c r="D8045" s="13" t="s">
        <v>16</v>
      </c>
      <c r="E8045" s="14"/>
      <c r="F8045" s="14"/>
      <c r="G8045" s="14"/>
      <c r="H8045" s="14"/>
    </row>
    <row r="8046" spans="3:11" x14ac:dyDescent="0.3">
      <c r="C8046" s="16">
        <v>1</v>
      </c>
      <c r="D8046" s="13" t="s">
        <v>18</v>
      </c>
      <c r="E8046" s="17" t="s">
        <v>19</v>
      </c>
      <c r="F8046" s="18">
        <v>5.1999999999999998E-2</v>
      </c>
      <c r="G8046" s="19">
        <f>VLOOKUP(D8046,upahbahan,3,FALSE)</f>
        <v>100000</v>
      </c>
      <c r="H8046" s="19">
        <f t="shared" ref="H8046:H8049" si="843">F8046*G8046</f>
        <v>5200</v>
      </c>
    </row>
    <row r="8047" spans="3:11" x14ac:dyDescent="0.3">
      <c r="C8047" s="16">
        <v>2</v>
      </c>
      <c r="D8047" s="13" t="s">
        <v>21</v>
      </c>
      <c r="E8047" s="17" t="s">
        <v>19</v>
      </c>
      <c r="F8047" s="18">
        <v>8.6999999999999994E-2</v>
      </c>
      <c r="G8047" s="19">
        <f>VLOOKUP(D8047,upahbahan,3,FALSE)</f>
        <v>145000</v>
      </c>
      <c r="H8047" s="19">
        <f t="shared" si="843"/>
        <v>12615</v>
      </c>
    </row>
    <row r="8048" spans="3:11" x14ac:dyDescent="0.3">
      <c r="C8048" s="16">
        <v>3</v>
      </c>
      <c r="D8048" s="13" t="s">
        <v>1224</v>
      </c>
      <c r="E8048" s="17" t="s">
        <v>19</v>
      </c>
      <c r="F8048" s="18">
        <v>8.9999999999999993E-3</v>
      </c>
      <c r="G8048" s="19">
        <f>VLOOKUP(D8048,upahbahan,3,FALSE)</f>
        <v>175000</v>
      </c>
      <c r="H8048" s="19">
        <f t="shared" si="843"/>
        <v>1574.9999999999998</v>
      </c>
    </row>
    <row r="8049" spans="3:9" x14ac:dyDescent="0.3">
      <c r="C8049" s="16">
        <v>4</v>
      </c>
      <c r="D8049" s="13" t="s">
        <v>23</v>
      </c>
      <c r="E8049" s="17" t="s">
        <v>19</v>
      </c>
      <c r="F8049" s="18">
        <v>3.0000000000000001E-3</v>
      </c>
      <c r="G8049" s="19">
        <f>VLOOKUP(D8049,upahbahan,3,FALSE)</f>
        <v>200000</v>
      </c>
      <c r="H8049" s="19">
        <f t="shared" si="843"/>
        <v>600</v>
      </c>
    </row>
    <row r="8050" spans="3:9" x14ac:dyDescent="0.3">
      <c r="C8050" s="21" t="s">
        <v>24</v>
      </c>
      <c r="D8050" s="22"/>
      <c r="E8050" s="22"/>
      <c r="F8050" s="54"/>
      <c r="G8050" s="24"/>
      <c r="H8050" s="19">
        <f>SUM(H8046:H8049)</f>
        <v>19990</v>
      </c>
      <c r="I8050" s="25"/>
    </row>
    <row r="8051" spans="3:9" x14ac:dyDescent="0.25">
      <c r="C8051" s="12" t="s">
        <v>25</v>
      </c>
      <c r="D8051" s="13" t="s">
        <v>26</v>
      </c>
      <c r="E8051" s="14"/>
      <c r="F8051" s="55"/>
      <c r="G8051" s="14"/>
      <c r="H8051" s="14"/>
    </row>
    <row r="8052" spans="3:9" x14ac:dyDescent="0.25">
      <c r="C8052" s="12">
        <v>1</v>
      </c>
      <c r="D8052" s="13" t="s">
        <v>460</v>
      </c>
      <c r="E8052" s="53" t="s">
        <v>974</v>
      </c>
      <c r="F8052" s="115">
        <v>52.8</v>
      </c>
      <c r="G8052" s="19">
        <f t="shared" ref="G8052:G8058" si="844">VLOOKUP(D8052,upahbahan,3,FALSE)</f>
        <v>1500</v>
      </c>
      <c r="H8052" s="19">
        <f t="shared" ref="H8052:H8058" si="845">F8052*G8052</f>
        <v>79200</v>
      </c>
    </row>
    <row r="8053" spans="3:9" x14ac:dyDescent="0.25">
      <c r="C8053" s="12">
        <v>2</v>
      </c>
      <c r="D8053" s="13" t="s">
        <v>975</v>
      </c>
      <c r="E8053" s="53" t="s">
        <v>974</v>
      </c>
      <c r="F8053" s="115">
        <v>52.8</v>
      </c>
      <c r="G8053" s="19">
        <f t="shared" si="844"/>
        <v>4000</v>
      </c>
      <c r="H8053" s="19">
        <f t="shared" si="845"/>
        <v>211200</v>
      </c>
    </row>
    <row r="8054" spans="3:9" x14ac:dyDescent="0.25">
      <c r="C8054" s="12">
        <v>3</v>
      </c>
      <c r="D8054" s="13" t="s">
        <v>976</v>
      </c>
      <c r="E8054" s="53" t="s">
        <v>506</v>
      </c>
      <c r="F8054" s="115">
        <v>1</v>
      </c>
      <c r="G8054" s="19">
        <f t="shared" si="844"/>
        <v>4000</v>
      </c>
      <c r="H8054" s="19">
        <f t="shared" si="845"/>
        <v>4000</v>
      </c>
    </row>
    <row r="8055" spans="3:9" x14ac:dyDescent="0.25">
      <c r="C8055" s="12">
        <v>4</v>
      </c>
      <c r="D8055" s="13" t="s">
        <v>977</v>
      </c>
      <c r="E8055" s="53" t="s">
        <v>506</v>
      </c>
      <c r="F8055" s="115">
        <v>27</v>
      </c>
      <c r="G8055" s="19">
        <f t="shared" si="844"/>
        <v>700</v>
      </c>
      <c r="H8055" s="19">
        <f t="shared" si="845"/>
        <v>18900</v>
      </c>
    </row>
    <row r="8056" spans="3:9" x14ac:dyDescent="0.25">
      <c r="C8056" s="12">
        <v>5</v>
      </c>
      <c r="D8056" s="13" t="s">
        <v>1103</v>
      </c>
      <c r="E8056" s="53" t="s">
        <v>506</v>
      </c>
      <c r="F8056" s="115">
        <v>54</v>
      </c>
      <c r="G8056" s="19">
        <f t="shared" si="844"/>
        <v>900</v>
      </c>
      <c r="H8056" s="19">
        <f t="shared" si="845"/>
        <v>48600</v>
      </c>
    </row>
    <row r="8057" spans="3:9" x14ac:dyDescent="0.25">
      <c r="C8057" s="12">
        <v>6</v>
      </c>
      <c r="D8057" s="13" t="s">
        <v>1104</v>
      </c>
      <c r="E8057" s="53" t="s">
        <v>506</v>
      </c>
      <c r="F8057" s="115">
        <v>1</v>
      </c>
      <c r="G8057" s="19">
        <f t="shared" si="844"/>
        <v>5400</v>
      </c>
      <c r="H8057" s="19">
        <f t="shared" si="845"/>
        <v>5400</v>
      </c>
    </row>
    <row r="8058" spans="3:9" x14ac:dyDescent="0.25">
      <c r="C8058" s="12">
        <v>7</v>
      </c>
      <c r="D8058" s="13" t="s">
        <v>979</v>
      </c>
      <c r="E8058" s="53" t="s">
        <v>506</v>
      </c>
      <c r="F8058" s="115">
        <v>81</v>
      </c>
      <c r="G8058" s="19">
        <f t="shared" si="844"/>
        <v>21.5</v>
      </c>
      <c r="H8058" s="19">
        <f t="shared" si="845"/>
        <v>1741.5</v>
      </c>
    </row>
    <row r="8059" spans="3:9" x14ac:dyDescent="0.3">
      <c r="C8059" s="21" t="s">
        <v>29</v>
      </c>
      <c r="D8059" s="22"/>
      <c r="E8059" s="22" t="s">
        <v>1340</v>
      </c>
      <c r="F8059" s="22"/>
      <c r="G8059" s="28"/>
      <c r="H8059" s="19">
        <f>SUM(H8051:H8058)</f>
        <v>369041.5</v>
      </c>
    </row>
    <row r="8060" spans="3:9" x14ac:dyDescent="0.25">
      <c r="C8060" s="12" t="s">
        <v>30</v>
      </c>
      <c r="D8060" s="13" t="s">
        <v>31</v>
      </c>
      <c r="E8060" s="14"/>
      <c r="F8060" s="14"/>
      <c r="G8060" s="14"/>
      <c r="H8060" s="14"/>
    </row>
    <row r="8061" spans="3:9" x14ac:dyDescent="0.3">
      <c r="C8061" s="21" t="s">
        <v>32</v>
      </c>
      <c r="D8061" s="77"/>
      <c r="E8061" s="77"/>
      <c r="F8061" s="77"/>
      <c r="G8061" s="28"/>
      <c r="H8061" s="29">
        <f>SUM(H8060:H8060)</f>
        <v>0</v>
      </c>
    </row>
    <row r="8062" spans="3:9" x14ac:dyDescent="0.3">
      <c r="C8062" s="30" t="s">
        <v>33</v>
      </c>
      <c r="D8062" s="31" t="s">
        <v>34</v>
      </c>
      <c r="E8062" s="32"/>
      <c r="F8062" s="32"/>
      <c r="G8062" s="33"/>
      <c r="H8062" s="46">
        <f>H8061+H8059+H8050</f>
        <v>389031.5</v>
      </c>
      <c r="I8062" s="47"/>
    </row>
    <row r="8063" spans="3:9" x14ac:dyDescent="0.3">
      <c r="C8063" s="30" t="s">
        <v>35</v>
      </c>
      <c r="D8063" s="31" t="s">
        <v>36</v>
      </c>
      <c r="E8063" s="32"/>
      <c r="F8063" s="33"/>
      <c r="G8063" s="34">
        <f>$M$9</f>
        <v>0.1</v>
      </c>
      <c r="H8063" s="19">
        <f>H8062*G8063</f>
        <v>38903.15</v>
      </c>
      <c r="I8063" s="47"/>
    </row>
    <row r="8064" spans="3:9" x14ac:dyDescent="0.3">
      <c r="C8064" s="30" t="s">
        <v>37</v>
      </c>
      <c r="D8064" s="31" t="s">
        <v>38</v>
      </c>
      <c r="E8064" s="32"/>
      <c r="F8064" s="32"/>
      <c r="G8064" s="33"/>
      <c r="H8064" s="48">
        <f>SUM(H8062:H8063)</f>
        <v>427934.65</v>
      </c>
      <c r="I8064" s="47"/>
    </row>
    <row r="8066" spans="3:11" x14ac:dyDescent="0.3">
      <c r="C8066" s="40" t="s">
        <v>1502</v>
      </c>
      <c r="D8066" s="68" t="s">
        <v>1503</v>
      </c>
      <c r="E8066" s="44"/>
      <c r="F8066" s="44"/>
      <c r="G8066" s="44"/>
      <c r="H8066" s="44"/>
      <c r="I8066" s="10">
        <f>ROUNDDOWN(H8081,0)</f>
        <v>54890</v>
      </c>
      <c r="J8066" s="15"/>
      <c r="K8066" s="39"/>
    </row>
    <row r="8067" spans="3:11" ht="27.6" x14ac:dyDescent="0.3">
      <c r="C8067" s="11" t="s">
        <v>9</v>
      </c>
      <c r="D8067" s="11" t="s">
        <v>10</v>
      </c>
      <c r="E8067" s="11" t="s">
        <v>11</v>
      </c>
      <c r="F8067" s="11" t="s">
        <v>12</v>
      </c>
      <c r="G8067" s="11" t="s">
        <v>13</v>
      </c>
      <c r="H8067" s="11" t="s">
        <v>14</v>
      </c>
    </row>
    <row r="8068" spans="3:11" x14ac:dyDescent="0.25">
      <c r="C8068" s="12" t="s">
        <v>15</v>
      </c>
      <c r="D8068" s="13" t="s">
        <v>16</v>
      </c>
      <c r="E8068" s="14"/>
      <c r="F8068" s="14"/>
      <c r="G8068" s="14"/>
      <c r="H8068" s="14"/>
    </row>
    <row r="8069" spans="3:11" x14ac:dyDescent="0.3">
      <c r="C8069" s="16">
        <v>1</v>
      </c>
      <c r="D8069" s="13" t="s">
        <v>18</v>
      </c>
      <c r="E8069" s="17" t="s">
        <v>19</v>
      </c>
      <c r="F8069" s="18">
        <v>4.8000000000000001E-2</v>
      </c>
      <c r="G8069" s="19">
        <f>VLOOKUP(D8069,upahbahan,3,FALSE)</f>
        <v>100000</v>
      </c>
      <c r="H8069" s="19">
        <f t="shared" ref="H8069:H8072" si="846">F8069*G8069</f>
        <v>4800</v>
      </c>
    </row>
    <row r="8070" spans="3:11" x14ac:dyDescent="0.3">
      <c r="C8070" s="16">
        <v>2</v>
      </c>
      <c r="D8070" s="13" t="s">
        <v>21</v>
      </c>
      <c r="E8070" s="17" t="s">
        <v>19</v>
      </c>
      <c r="F8070" s="18">
        <v>0.08</v>
      </c>
      <c r="G8070" s="19">
        <f>VLOOKUP(D8070,upahbahan,3,FALSE)</f>
        <v>145000</v>
      </c>
      <c r="H8070" s="19">
        <f t="shared" si="846"/>
        <v>11600</v>
      </c>
    </row>
    <row r="8071" spans="3:11" x14ac:dyDescent="0.3">
      <c r="C8071" s="16">
        <v>3</v>
      </c>
      <c r="D8071" s="13" t="s">
        <v>1224</v>
      </c>
      <c r="E8071" s="17" t="s">
        <v>19</v>
      </c>
      <c r="F8071" s="18">
        <v>8.0000000000000002E-3</v>
      </c>
      <c r="G8071" s="19">
        <f>VLOOKUP(D8071,upahbahan,3,FALSE)</f>
        <v>175000</v>
      </c>
      <c r="H8071" s="19">
        <f t="shared" si="846"/>
        <v>1400</v>
      </c>
    </row>
    <row r="8072" spans="3:11" x14ac:dyDescent="0.3">
      <c r="C8072" s="16">
        <v>4</v>
      </c>
      <c r="D8072" s="13" t="s">
        <v>23</v>
      </c>
      <c r="E8072" s="17" t="s">
        <v>19</v>
      </c>
      <c r="F8072" s="18">
        <v>3.0000000000000001E-3</v>
      </c>
      <c r="G8072" s="19">
        <f>VLOOKUP(D8072,upahbahan,3,FALSE)</f>
        <v>200000</v>
      </c>
      <c r="H8072" s="19">
        <f t="shared" si="846"/>
        <v>600</v>
      </c>
    </row>
    <row r="8073" spans="3:11" x14ac:dyDescent="0.3">
      <c r="C8073" s="21" t="s">
        <v>24</v>
      </c>
      <c r="D8073" s="22"/>
      <c r="E8073" s="22"/>
      <c r="F8073" s="54"/>
      <c r="G8073" s="24"/>
      <c r="H8073" s="19">
        <f>SUM(H8069:H8072)</f>
        <v>18400</v>
      </c>
      <c r="I8073" s="25"/>
    </row>
    <row r="8074" spans="3:11" x14ac:dyDescent="0.25">
      <c r="C8074" s="12" t="s">
        <v>25</v>
      </c>
      <c r="D8074" s="13" t="s">
        <v>26</v>
      </c>
      <c r="E8074" s="14"/>
      <c r="F8074" s="55"/>
      <c r="G8074" s="14"/>
      <c r="H8074" s="14"/>
    </row>
    <row r="8075" spans="3:11" x14ac:dyDescent="0.25">
      <c r="C8075" s="12">
        <v>1</v>
      </c>
      <c r="D8075" s="13" t="s">
        <v>1504</v>
      </c>
      <c r="E8075" s="53" t="s">
        <v>846</v>
      </c>
      <c r="F8075" s="115">
        <v>1.05</v>
      </c>
      <c r="G8075" s="19">
        <f>VLOOKUP(D8075,upahbahan,3,FALSE)</f>
        <v>30000</v>
      </c>
      <c r="H8075" s="19">
        <f t="shared" ref="H8075" si="847">F8075*G8075</f>
        <v>31500</v>
      </c>
    </row>
    <row r="8076" spans="3:11" x14ac:dyDescent="0.3">
      <c r="C8076" s="21" t="s">
        <v>29</v>
      </c>
      <c r="D8076" s="22"/>
      <c r="E8076" s="22" t="s">
        <v>1340</v>
      </c>
      <c r="F8076" s="22"/>
      <c r="G8076" s="28"/>
      <c r="H8076" s="19">
        <f>SUM(H8074:H8075)</f>
        <v>31500</v>
      </c>
    </row>
    <row r="8077" spans="3:11" x14ac:dyDescent="0.25">
      <c r="C8077" s="12" t="s">
        <v>30</v>
      </c>
      <c r="D8077" s="13" t="s">
        <v>31</v>
      </c>
      <c r="E8077" s="14"/>
      <c r="F8077" s="14"/>
      <c r="G8077" s="14"/>
      <c r="H8077" s="14"/>
    </row>
    <row r="8078" spans="3:11" x14ac:dyDescent="0.3">
      <c r="C8078" s="21" t="s">
        <v>32</v>
      </c>
      <c r="D8078" s="77"/>
      <c r="E8078" s="77"/>
      <c r="F8078" s="77"/>
      <c r="G8078" s="28"/>
      <c r="H8078" s="29">
        <f>SUM(H8077:H8077)</f>
        <v>0</v>
      </c>
    </row>
    <row r="8079" spans="3:11" x14ac:dyDescent="0.3">
      <c r="C8079" s="30" t="s">
        <v>33</v>
      </c>
      <c r="D8079" s="31" t="s">
        <v>34</v>
      </c>
      <c r="E8079" s="32"/>
      <c r="F8079" s="32"/>
      <c r="G8079" s="33"/>
      <c r="H8079" s="46">
        <f>H8078+H8076+H8073</f>
        <v>49900</v>
      </c>
      <c r="I8079" s="47"/>
    </row>
    <row r="8080" spans="3:11" x14ac:dyDescent="0.3">
      <c r="C8080" s="30" t="s">
        <v>35</v>
      </c>
      <c r="D8080" s="31" t="s">
        <v>36</v>
      </c>
      <c r="E8080" s="32"/>
      <c r="F8080" s="33"/>
      <c r="G8080" s="34">
        <f>$M$9</f>
        <v>0.1</v>
      </c>
      <c r="H8080" s="19">
        <f>H8079*G8080</f>
        <v>4990</v>
      </c>
      <c r="I8080" s="47"/>
    </row>
    <row r="8081" spans="3:11" x14ac:dyDescent="0.3">
      <c r="C8081" s="30" t="s">
        <v>37</v>
      </c>
      <c r="D8081" s="31" t="s">
        <v>38</v>
      </c>
      <c r="E8081" s="32"/>
      <c r="F8081" s="32"/>
      <c r="G8081" s="33"/>
      <c r="H8081" s="48">
        <f>SUM(H8079:H8080)</f>
        <v>54890</v>
      </c>
      <c r="I8081" s="47"/>
    </row>
    <row r="8084" spans="3:11" x14ac:dyDescent="0.3">
      <c r="C8084" s="56" t="s">
        <v>1505</v>
      </c>
      <c r="D8084" s="69" t="s">
        <v>1506</v>
      </c>
      <c r="E8084" s="58"/>
      <c r="F8084" s="58"/>
      <c r="G8084" s="58"/>
      <c r="H8084" s="58"/>
      <c r="I8084" s="10">
        <f>ROUNDDOWN(H8099,0)</f>
        <v>710908</v>
      </c>
      <c r="J8084" s="15"/>
      <c r="K8084" s="39"/>
    </row>
    <row r="8085" spans="3:11" ht="27.6" x14ac:dyDescent="0.3">
      <c r="C8085" s="11" t="s">
        <v>9</v>
      </c>
      <c r="D8085" s="11" t="s">
        <v>10</v>
      </c>
      <c r="E8085" s="11" t="s">
        <v>11</v>
      </c>
      <c r="F8085" s="11" t="s">
        <v>12</v>
      </c>
      <c r="G8085" s="11" t="s">
        <v>13</v>
      </c>
      <c r="H8085" s="11" t="s">
        <v>14</v>
      </c>
    </row>
    <row r="8086" spans="3:11" x14ac:dyDescent="0.25">
      <c r="C8086" s="12" t="s">
        <v>15</v>
      </c>
      <c r="D8086" s="13" t="s">
        <v>16</v>
      </c>
      <c r="E8086" s="14"/>
      <c r="F8086" s="14"/>
      <c r="G8086" s="14"/>
      <c r="H8086" s="14"/>
    </row>
    <row r="8087" spans="3:11" x14ac:dyDescent="0.3">
      <c r="C8087" s="16">
        <v>1</v>
      </c>
      <c r="D8087" s="13" t="s">
        <v>18</v>
      </c>
      <c r="E8087" s="17" t="s">
        <v>19</v>
      </c>
      <c r="F8087" s="18">
        <v>0.317</v>
      </c>
      <c r="G8087" s="19">
        <f>VLOOKUP(D8087,upahbahan,3,FALSE)</f>
        <v>100000</v>
      </c>
      <c r="H8087" s="19">
        <f t="shared" ref="H8087:H8090" si="848">F8087*G8087</f>
        <v>31700</v>
      </c>
    </row>
    <row r="8088" spans="3:11" x14ac:dyDescent="0.3">
      <c r="C8088" s="16">
        <v>2</v>
      </c>
      <c r="D8088" s="13" t="s">
        <v>21</v>
      </c>
      <c r="E8088" s="17" t="s">
        <v>19</v>
      </c>
      <c r="F8088" s="18">
        <v>0.52900000000000003</v>
      </c>
      <c r="G8088" s="19">
        <f>VLOOKUP(D8088,upahbahan,3,FALSE)</f>
        <v>145000</v>
      </c>
      <c r="H8088" s="19">
        <f t="shared" si="848"/>
        <v>76705</v>
      </c>
    </row>
    <row r="8089" spans="3:11" x14ac:dyDescent="0.3">
      <c r="C8089" s="16">
        <v>3</v>
      </c>
      <c r="D8089" s="13" t="s">
        <v>1224</v>
      </c>
      <c r="E8089" s="17" t="s">
        <v>19</v>
      </c>
      <c r="F8089" s="18">
        <v>5.2999999999999999E-2</v>
      </c>
      <c r="G8089" s="19">
        <f>VLOOKUP(D8089,upahbahan,3,FALSE)</f>
        <v>175000</v>
      </c>
      <c r="H8089" s="19">
        <f t="shared" si="848"/>
        <v>9275</v>
      </c>
    </row>
    <row r="8090" spans="3:11" x14ac:dyDescent="0.3">
      <c r="C8090" s="16">
        <v>4</v>
      </c>
      <c r="D8090" s="13" t="s">
        <v>23</v>
      </c>
      <c r="E8090" s="17" t="s">
        <v>19</v>
      </c>
      <c r="F8090" s="18">
        <v>1.7999999999999999E-2</v>
      </c>
      <c r="G8090" s="19">
        <f>VLOOKUP(D8090,upahbahan,3,FALSE)</f>
        <v>200000</v>
      </c>
      <c r="H8090" s="19">
        <f t="shared" si="848"/>
        <v>3599.9999999999995</v>
      </c>
    </row>
    <row r="8091" spans="3:11" x14ac:dyDescent="0.3">
      <c r="C8091" s="21" t="s">
        <v>24</v>
      </c>
      <c r="D8091" s="22"/>
      <c r="E8091" s="22"/>
      <c r="F8091" s="54"/>
      <c r="G8091" s="24"/>
      <c r="H8091" s="19">
        <f>SUM(H8087:H8090)</f>
        <v>121280</v>
      </c>
      <c r="I8091" s="25"/>
    </row>
    <row r="8092" spans="3:11" x14ac:dyDescent="0.25">
      <c r="C8092" s="12" t="s">
        <v>25</v>
      </c>
      <c r="D8092" s="13" t="s">
        <v>26</v>
      </c>
      <c r="E8092" s="14"/>
      <c r="F8092" s="55"/>
      <c r="G8092" s="14"/>
      <c r="H8092" s="14"/>
    </row>
    <row r="8093" spans="3:11" x14ac:dyDescent="0.25">
      <c r="C8093" s="12">
        <v>1</v>
      </c>
      <c r="D8093" s="13" t="s">
        <v>1507</v>
      </c>
      <c r="E8093" s="53" t="s">
        <v>846</v>
      </c>
      <c r="F8093" s="115">
        <v>1.05</v>
      </c>
      <c r="G8093" s="19">
        <f>VLOOKUP(D8093,upahbahan,3,FALSE)</f>
        <v>500000</v>
      </c>
      <c r="H8093" s="19">
        <f t="shared" ref="H8093" si="849">F8093*G8093</f>
        <v>525000</v>
      </c>
    </row>
    <row r="8094" spans="3:11" x14ac:dyDescent="0.3">
      <c r="C8094" s="21" t="s">
        <v>29</v>
      </c>
      <c r="D8094" s="22"/>
      <c r="E8094" s="22" t="s">
        <v>1340</v>
      </c>
      <c r="F8094" s="22"/>
      <c r="G8094" s="28"/>
      <c r="H8094" s="19">
        <f>SUM(H8092:H8093)</f>
        <v>525000</v>
      </c>
    </row>
    <row r="8095" spans="3:11" x14ac:dyDescent="0.25">
      <c r="C8095" s="12" t="s">
        <v>30</v>
      </c>
      <c r="D8095" s="13" t="s">
        <v>31</v>
      </c>
      <c r="E8095" s="14"/>
      <c r="F8095" s="14"/>
      <c r="G8095" s="14"/>
      <c r="H8095" s="14"/>
    </row>
    <row r="8096" spans="3:11" x14ac:dyDescent="0.3">
      <c r="C8096" s="21" t="s">
        <v>32</v>
      </c>
      <c r="D8096" s="77"/>
      <c r="E8096" s="77"/>
      <c r="F8096" s="77"/>
      <c r="G8096" s="28"/>
      <c r="H8096" s="29">
        <f>SUM(H8095:H8095)</f>
        <v>0</v>
      </c>
    </row>
    <row r="8097" spans="3:11" x14ac:dyDescent="0.3">
      <c r="C8097" s="30" t="s">
        <v>33</v>
      </c>
      <c r="D8097" s="31" t="s">
        <v>34</v>
      </c>
      <c r="E8097" s="32"/>
      <c r="F8097" s="32"/>
      <c r="G8097" s="33"/>
      <c r="H8097" s="46">
        <f>H8096+H8094+H8091</f>
        <v>646280</v>
      </c>
      <c r="I8097" s="47"/>
    </row>
    <row r="8098" spans="3:11" x14ac:dyDescent="0.3">
      <c r="C8098" s="30" t="s">
        <v>35</v>
      </c>
      <c r="D8098" s="31" t="s">
        <v>36</v>
      </c>
      <c r="E8098" s="32"/>
      <c r="F8098" s="33"/>
      <c r="G8098" s="34">
        <f>$M$9</f>
        <v>0.1</v>
      </c>
      <c r="H8098" s="19">
        <f>H8097*G8098</f>
        <v>64628</v>
      </c>
      <c r="I8098" s="47"/>
    </row>
    <row r="8099" spans="3:11" x14ac:dyDescent="0.3">
      <c r="C8099" s="30" t="s">
        <v>37</v>
      </c>
      <c r="D8099" s="31" t="s">
        <v>38</v>
      </c>
      <c r="E8099" s="32"/>
      <c r="F8099" s="32"/>
      <c r="G8099" s="33"/>
      <c r="H8099" s="48">
        <f>SUM(H8097:H8098)</f>
        <v>710908</v>
      </c>
      <c r="I8099" s="47"/>
    </row>
    <row r="8102" spans="3:11" x14ac:dyDescent="0.3">
      <c r="C8102" s="40" t="s">
        <v>1508</v>
      </c>
      <c r="D8102" s="68" t="s">
        <v>1509</v>
      </c>
      <c r="E8102" s="44"/>
      <c r="F8102" s="44"/>
      <c r="G8102" s="44"/>
      <c r="H8102" s="44"/>
      <c r="I8102" s="10">
        <f>ROUNDDOWN(H8117,0)</f>
        <v>1748483</v>
      </c>
      <c r="J8102" s="15"/>
      <c r="K8102" s="39"/>
    </row>
    <row r="8103" spans="3:11" ht="27.6" x14ac:dyDescent="0.3">
      <c r="C8103" s="11" t="s">
        <v>9</v>
      </c>
      <c r="D8103" s="11" t="s">
        <v>10</v>
      </c>
      <c r="E8103" s="11" t="s">
        <v>11</v>
      </c>
      <c r="F8103" s="11" t="s">
        <v>12</v>
      </c>
      <c r="G8103" s="11" t="s">
        <v>13</v>
      </c>
      <c r="H8103" s="11" t="s">
        <v>14</v>
      </c>
    </row>
    <row r="8104" spans="3:11" x14ac:dyDescent="0.25">
      <c r="C8104" s="12" t="s">
        <v>15</v>
      </c>
      <c r="D8104" s="13" t="s">
        <v>16</v>
      </c>
      <c r="E8104" s="14"/>
      <c r="F8104" s="14"/>
      <c r="G8104" s="14"/>
      <c r="H8104" s="14"/>
    </row>
    <row r="8105" spans="3:11" x14ac:dyDescent="0.3">
      <c r="C8105" s="16">
        <v>1</v>
      </c>
      <c r="D8105" s="13" t="s">
        <v>18</v>
      </c>
      <c r="E8105" s="17" t="s">
        <v>19</v>
      </c>
      <c r="F8105" s="18">
        <v>3.7999999999999999E-2</v>
      </c>
      <c r="G8105" s="19">
        <f>VLOOKUP(D8105,upahbahan,3,FALSE)</f>
        <v>100000</v>
      </c>
      <c r="H8105" s="19">
        <f t="shared" ref="H8105:H8108" si="850">F8105*G8105</f>
        <v>3800</v>
      </c>
    </row>
    <row r="8106" spans="3:11" x14ac:dyDescent="0.3">
      <c r="C8106" s="16">
        <v>2</v>
      </c>
      <c r="D8106" s="13" t="s">
        <v>21</v>
      </c>
      <c r="E8106" s="17" t="s">
        <v>19</v>
      </c>
      <c r="F8106" s="18">
        <v>6.4000000000000001E-2</v>
      </c>
      <c r="G8106" s="19">
        <f>VLOOKUP(D8106,upahbahan,3,FALSE)</f>
        <v>145000</v>
      </c>
      <c r="H8106" s="19">
        <f t="shared" si="850"/>
        <v>9280</v>
      </c>
    </row>
    <row r="8107" spans="3:11" x14ac:dyDescent="0.3">
      <c r="C8107" s="16">
        <v>3</v>
      </c>
      <c r="D8107" s="13" t="s">
        <v>1224</v>
      </c>
      <c r="E8107" s="17" t="s">
        <v>19</v>
      </c>
      <c r="F8107" s="18">
        <v>6.0000000000000001E-3</v>
      </c>
      <c r="G8107" s="19">
        <f>VLOOKUP(D8107,upahbahan,3,FALSE)</f>
        <v>175000</v>
      </c>
      <c r="H8107" s="19">
        <f t="shared" si="850"/>
        <v>1050</v>
      </c>
    </row>
    <row r="8108" spans="3:11" x14ac:dyDescent="0.3">
      <c r="C8108" s="16">
        <v>4</v>
      </c>
      <c r="D8108" s="13" t="s">
        <v>23</v>
      </c>
      <c r="E8108" s="17" t="s">
        <v>19</v>
      </c>
      <c r="F8108" s="18">
        <v>2E-3</v>
      </c>
      <c r="G8108" s="19">
        <f>VLOOKUP(D8108,upahbahan,3,FALSE)</f>
        <v>200000</v>
      </c>
      <c r="H8108" s="19">
        <f t="shared" si="850"/>
        <v>400</v>
      </c>
    </row>
    <row r="8109" spans="3:11" x14ac:dyDescent="0.3">
      <c r="C8109" s="21" t="s">
        <v>24</v>
      </c>
      <c r="D8109" s="22"/>
      <c r="E8109" s="22"/>
      <c r="F8109" s="54"/>
      <c r="G8109" s="24"/>
      <c r="H8109" s="19">
        <f>SUM(H8105:H8108)</f>
        <v>14530</v>
      </c>
      <c r="I8109" s="25"/>
    </row>
    <row r="8110" spans="3:11" x14ac:dyDescent="0.25">
      <c r="C8110" s="12" t="s">
        <v>25</v>
      </c>
      <c r="D8110" s="13" t="s">
        <v>26</v>
      </c>
      <c r="E8110" s="14"/>
      <c r="F8110" s="55"/>
      <c r="G8110" s="14"/>
      <c r="H8110" s="14"/>
    </row>
    <row r="8111" spans="3:11" x14ac:dyDescent="0.25">
      <c r="C8111" s="12">
        <v>1</v>
      </c>
      <c r="D8111" s="13" t="s">
        <v>1510</v>
      </c>
      <c r="E8111" s="53" t="s">
        <v>846</v>
      </c>
      <c r="F8111" s="115">
        <v>1.05</v>
      </c>
      <c r="G8111" s="19">
        <f>VLOOKUP(D8111,upahbahan,3,FALSE)</f>
        <v>1500000</v>
      </c>
      <c r="H8111" s="19">
        <f t="shared" ref="H8111" si="851">F8111*G8111</f>
        <v>1575000</v>
      </c>
    </row>
    <row r="8112" spans="3:11" x14ac:dyDescent="0.3">
      <c r="C8112" s="21" t="s">
        <v>29</v>
      </c>
      <c r="D8112" s="22"/>
      <c r="E8112" s="22" t="s">
        <v>1340</v>
      </c>
      <c r="F8112" s="22"/>
      <c r="G8112" s="28"/>
      <c r="H8112" s="19">
        <f>SUM(H8110:H8111)</f>
        <v>1575000</v>
      </c>
    </row>
    <row r="8113" spans="3:11" x14ac:dyDescent="0.25">
      <c r="C8113" s="12" t="s">
        <v>30</v>
      </c>
      <c r="D8113" s="13" t="s">
        <v>31</v>
      </c>
      <c r="E8113" s="14"/>
      <c r="F8113" s="14"/>
      <c r="G8113" s="14"/>
      <c r="H8113" s="14"/>
    </row>
    <row r="8114" spans="3:11" x14ac:dyDescent="0.3">
      <c r="C8114" s="21" t="s">
        <v>32</v>
      </c>
      <c r="D8114" s="77"/>
      <c r="E8114" s="77"/>
      <c r="F8114" s="77"/>
      <c r="G8114" s="28"/>
      <c r="H8114" s="29">
        <f>SUM(H8113:H8113)</f>
        <v>0</v>
      </c>
    </row>
    <row r="8115" spans="3:11" x14ac:dyDescent="0.3">
      <c r="C8115" s="30" t="s">
        <v>33</v>
      </c>
      <c r="D8115" s="31" t="s">
        <v>34</v>
      </c>
      <c r="E8115" s="32"/>
      <c r="F8115" s="32"/>
      <c r="G8115" s="33"/>
      <c r="H8115" s="46">
        <f>H8114+H8112+H8109</f>
        <v>1589530</v>
      </c>
      <c r="I8115" s="47"/>
    </row>
    <row r="8116" spans="3:11" x14ac:dyDescent="0.3">
      <c r="C8116" s="30" t="s">
        <v>35</v>
      </c>
      <c r="D8116" s="31" t="s">
        <v>36</v>
      </c>
      <c r="E8116" s="32"/>
      <c r="F8116" s="33"/>
      <c r="G8116" s="34">
        <f>$M$9</f>
        <v>0.1</v>
      </c>
      <c r="H8116" s="19">
        <f>H8115*G8116</f>
        <v>158953</v>
      </c>
      <c r="I8116" s="47"/>
    </row>
    <row r="8117" spans="3:11" x14ac:dyDescent="0.3">
      <c r="C8117" s="30" t="s">
        <v>37</v>
      </c>
      <c r="D8117" s="31" t="s">
        <v>38</v>
      </c>
      <c r="E8117" s="32"/>
      <c r="F8117" s="32"/>
      <c r="G8117" s="33"/>
      <c r="H8117" s="48">
        <f>SUM(H8115:H8116)</f>
        <v>1748483</v>
      </c>
      <c r="I8117" s="47"/>
    </row>
    <row r="8120" spans="3:11" x14ac:dyDescent="0.3">
      <c r="C8120" s="40" t="s">
        <v>1511</v>
      </c>
      <c r="D8120" s="68" t="s">
        <v>1512</v>
      </c>
      <c r="E8120" s="44"/>
      <c r="F8120" s="44"/>
      <c r="G8120" s="44"/>
      <c r="H8120" s="44"/>
      <c r="I8120" s="10">
        <f>ROUNDDOWN(H8138,0)</f>
        <v>1249154</v>
      </c>
      <c r="J8120" s="15"/>
      <c r="K8120" s="39"/>
    </row>
    <row r="8121" spans="3:11" ht="27.6" x14ac:dyDescent="0.3">
      <c r="C8121" s="11" t="s">
        <v>9</v>
      </c>
      <c r="D8121" s="11" t="s">
        <v>10</v>
      </c>
      <c r="E8121" s="11" t="s">
        <v>11</v>
      </c>
      <c r="F8121" s="11" t="s">
        <v>12</v>
      </c>
      <c r="G8121" s="11" t="s">
        <v>13</v>
      </c>
      <c r="H8121" s="11" t="s">
        <v>14</v>
      </c>
    </row>
    <row r="8122" spans="3:11" x14ac:dyDescent="0.25">
      <c r="C8122" s="12" t="s">
        <v>15</v>
      </c>
      <c r="D8122" s="13" t="s">
        <v>16</v>
      </c>
      <c r="E8122" s="14"/>
      <c r="F8122" s="14"/>
      <c r="G8122" s="14"/>
      <c r="H8122" s="14"/>
    </row>
    <row r="8123" spans="3:11" x14ac:dyDescent="0.3">
      <c r="C8123" s="16">
        <v>1</v>
      </c>
      <c r="D8123" s="13" t="s">
        <v>18</v>
      </c>
      <c r="E8123" s="17" t="s">
        <v>19</v>
      </c>
      <c r="F8123" s="18">
        <v>0.76</v>
      </c>
      <c r="G8123" s="19">
        <f>VLOOKUP(D8123,upahbahan,3,FALSE)</f>
        <v>100000</v>
      </c>
      <c r="H8123" s="19">
        <f t="shared" ref="H8123:H8126" si="852">F8123*G8123</f>
        <v>76000</v>
      </c>
    </row>
    <row r="8124" spans="3:11" x14ac:dyDescent="0.3">
      <c r="C8124" s="16">
        <v>2</v>
      </c>
      <c r="D8124" s="13" t="s">
        <v>21</v>
      </c>
      <c r="E8124" s="17" t="s">
        <v>19</v>
      </c>
      <c r="F8124" s="18">
        <v>1.286</v>
      </c>
      <c r="G8124" s="19">
        <f>VLOOKUP(D8124,upahbahan,3,FALSE)</f>
        <v>145000</v>
      </c>
      <c r="H8124" s="19">
        <f t="shared" si="852"/>
        <v>186470</v>
      </c>
    </row>
    <row r="8125" spans="3:11" x14ac:dyDescent="0.3">
      <c r="C8125" s="16">
        <v>3</v>
      </c>
      <c r="D8125" s="13" t="s">
        <v>1224</v>
      </c>
      <c r="E8125" s="17" t="s">
        <v>19</v>
      </c>
      <c r="F8125" s="18">
        <v>0.127</v>
      </c>
      <c r="G8125" s="19">
        <f>VLOOKUP(D8125,upahbahan,3,FALSE)</f>
        <v>175000</v>
      </c>
      <c r="H8125" s="19">
        <f t="shared" si="852"/>
        <v>22225</v>
      </c>
    </row>
    <row r="8126" spans="3:11" x14ac:dyDescent="0.3">
      <c r="C8126" s="16">
        <v>4</v>
      </c>
      <c r="D8126" s="13" t="s">
        <v>23</v>
      </c>
      <c r="E8126" s="17" t="s">
        <v>19</v>
      </c>
      <c r="F8126" s="18">
        <v>4.2000000000000003E-2</v>
      </c>
      <c r="G8126" s="19">
        <f>VLOOKUP(D8126,upahbahan,3,FALSE)</f>
        <v>200000</v>
      </c>
      <c r="H8126" s="19">
        <f t="shared" si="852"/>
        <v>8400</v>
      </c>
    </row>
    <row r="8127" spans="3:11" x14ac:dyDescent="0.3">
      <c r="C8127" s="21" t="s">
        <v>24</v>
      </c>
      <c r="D8127" s="22"/>
      <c r="E8127" s="22"/>
      <c r="F8127" s="54"/>
      <c r="G8127" s="24"/>
      <c r="H8127" s="19">
        <f>SUM(H8123:H8126)</f>
        <v>293095</v>
      </c>
      <c r="I8127" s="25"/>
    </row>
    <row r="8128" spans="3:11" x14ac:dyDescent="0.25">
      <c r="C8128" s="12" t="s">
        <v>25</v>
      </c>
      <c r="D8128" s="13" t="s">
        <v>26</v>
      </c>
      <c r="E8128" s="14"/>
      <c r="F8128" s="55"/>
      <c r="G8128" s="14"/>
      <c r="H8128" s="14"/>
    </row>
    <row r="8129" spans="3:11" x14ac:dyDescent="0.25">
      <c r="C8129" s="12">
        <v>1</v>
      </c>
      <c r="D8129" s="13" t="s">
        <v>1513</v>
      </c>
      <c r="E8129" s="53" t="s">
        <v>846</v>
      </c>
      <c r="F8129" s="115">
        <v>1.05</v>
      </c>
      <c r="G8129" s="19">
        <f>VLOOKUP(D8129,upahbahan,3,FALSE)</f>
        <v>250000</v>
      </c>
      <c r="H8129" s="19">
        <f t="shared" ref="H8129:H8132" si="853">F8129*G8129</f>
        <v>262500</v>
      </c>
    </row>
    <row r="8130" spans="3:11" x14ac:dyDescent="0.25">
      <c r="C8130" s="12">
        <v>1</v>
      </c>
      <c r="D8130" s="13" t="s">
        <v>1514</v>
      </c>
      <c r="E8130" s="53" t="s">
        <v>846</v>
      </c>
      <c r="F8130" s="115">
        <v>2</v>
      </c>
      <c r="G8130" s="19">
        <f>VLOOKUP(D8130,upahbahan,3,FALSE)</f>
        <v>110000</v>
      </c>
      <c r="H8130" s="19">
        <f t="shared" si="853"/>
        <v>220000</v>
      </c>
    </row>
    <row r="8131" spans="3:11" x14ac:dyDescent="0.25">
      <c r="C8131" s="12">
        <v>1</v>
      </c>
      <c r="D8131" s="13" t="s">
        <v>1504</v>
      </c>
      <c r="E8131" s="53" t="s">
        <v>846</v>
      </c>
      <c r="F8131" s="115">
        <v>2</v>
      </c>
      <c r="G8131" s="19">
        <f>VLOOKUP(D8131,upahbahan,3,FALSE)</f>
        <v>30000</v>
      </c>
      <c r="H8131" s="19">
        <f t="shared" si="853"/>
        <v>60000</v>
      </c>
    </row>
    <row r="8132" spans="3:11" x14ac:dyDescent="0.25">
      <c r="C8132" s="12">
        <v>1</v>
      </c>
      <c r="D8132" s="13" t="s">
        <v>1515</v>
      </c>
      <c r="E8132" s="53" t="s">
        <v>846</v>
      </c>
      <c r="F8132" s="115">
        <v>2</v>
      </c>
      <c r="G8132" s="19">
        <f>VLOOKUP(D8132,upahbahan,3,FALSE)</f>
        <v>150000</v>
      </c>
      <c r="H8132" s="19">
        <f t="shared" si="853"/>
        <v>300000</v>
      </c>
    </row>
    <row r="8133" spans="3:11" x14ac:dyDescent="0.3">
      <c r="C8133" s="21" t="s">
        <v>29</v>
      </c>
      <c r="D8133" s="22"/>
      <c r="E8133" s="22" t="s">
        <v>1340</v>
      </c>
      <c r="F8133" s="22"/>
      <c r="G8133" s="28"/>
      <c r="H8133" s="19">
        <f>SUM(H8128:H8132)</f>
        <v>842500</v>
      </c>
    </row>
    <row r="8134" spans="3:11" x14ac:dyDescent="0.25">
      <c r="C8134" s="12" t="s">
        <v>30</v>
      </c>
      <c r="D8134" s="13" t="s">
        <v>31</v>
      </c>
      <c r="E8134" s="14"/>
      <c r="F8134" s="14"/>
      <c r="G8134" s="14"/>
      <c r="H8134" s="14"/>
    </row>
    <row r="8135" spans="3:11" x14ac:dyDescent="0.3">
      <c r="C8135" s="21" t="s">
        <v>32</v>
      </c>
      <c r="D8135" s="77"/>
      <c r="E8135" s="77"/>
      <c r="F8135" s="77"/>
      <c r="G8135" s="28"/>
      <c r="H8135" s="29">
        <f>SUM(H8134:H8134)</f>
        <v>0</v>
      </c>
    </row>
    <row r="8136" spans="3:11" x14ac:dyDescent="0.3">
      <c r="C8136" s="30" t="s">
        <v>33</v>
      </c>
      <c r="D8136" s="31" t="s">
        <v>34</v>
      </c>
      <c r="E8136" s="32"/>
      <c r="F8136" s="32"/>
      <c r="G8136" s="33"/>
      <c r="H8136" s="46">
        <f>H8135+H8133+H8127</f>
        <v>1135595</v>
      </c>
      <c r="I8136" s="47"/>
    </row>
    <row r="8137" spans="3:11" x14ac:dyDescent="0.3">
      <c r="C8137" s="30" t="s">
        <v>35</v>
      </c>
      <c r="D8137" s="31" t="s">
        <v>36</v>
      </c>
      <c r="E8137" s="32"/>
      <c r="F8137" s="33"/>
      <c r="G8137" s="34">
        <f>$M$9</f>
        <v>0.1</v>
      </c>
      <c r="H8137" s="19">
        <f>H8136*G8137</f>
        <v>113559.5</v>
      </c>
      <c r="I8137" s="47"/>
    </row>
    <row r="8138" spans="3:11" x14ac:dyDescent="0.3">
      <c r="C8138" s="30" t="s">
        <v>37</v>
      </c>
      <c r="D8138" s="31" t="s">
        <v>38</v>
      </c>
      <c r="E8138" s="32"/>
      <c r="F8138" s="32"/>
      <c r="G8138" s="33"/>
      <c r="H8138" s="48">
        <f>SUM(H8136:H8137)</f>
        <v>1249154.5</v>
      </c>
      <c r="I8138" s="47"/>
    </row>
    <row r="8140" spans="3:11" x14ac:dyDescent="0.3">
      <c r="C8140" s="40" t="s">
        <v>1516</v>
      </c>
      <c r="D8140" s="68" t="s">
        <v>1517</v>
      </c>
      <c r="E8140" s="44"/>
      <c r="F8140" s="44"/>
      <c r="G8140" s="44"/>
      <c r="H8140" s="44"/>
      <c r="I8140" s="10">
        <f>ROUNDDOWN(H8155,0)</f>
        <v>2963532</v>
      </c>
      <c r="J8140" s="15"/>
      <c r="K8140" s="39"/>
    </row>
    <row r="8141" spans="3:11" ht="27.6" x14ac:dyDescent="0.3">
      <c r="C8141" s="11" t="s">
        <v>9</v>
      </c>
      <c r="D8141" s="11" t="s">
        <v>10</v>
      </c>
      <c r="E8141" s="11" t="s">
        <v>11</v>
      </c>
      <c r="F8141" s="11" t="s">
        <v>12</v>
      </c>
      <c r="G8141" s="11" t="s">
        <v>13</v>
      </c>
      <c r="H8141" s="11" t="s">
        <v>14</v>
      </c>
    </row>
    <row r="8142" spans="3:11" x14ac:dyDescent="0.25">
      <c r="C8142" s="12" t="s">
        <v>15</v>
      </c>
      <c r="D8142" s="13" t="s">
        <v>16</v>
      </c>
      <c r="E8142" s="14"/>
      <c r="F8142" s="14"/>
      <c r="G8142" s="14"/>
      <c r="H8142" s="14"/>
    </row>
    <row r="8143" spans="3:11" x14ac:dyDescent="0.3">
      <c r="C8143" s="16">
        <v>1</v>
      </c>
      <c r="D8143" s="13" t="s">
        <v>18</v>
      </c>
      <c r="E8143" s="17" t="s">
        <v>19</v>
      </c>
      <c r="F8143" s="18">
        <v>0.42899999999999999</v>
      </c>
      <c r="G8143" s="19">
        <f>VLOOKUP(D8143,upahbahan,3,FALSE)</f>
        <v>100000</v>
      </c>
      <c r="H8143" s="19">
        <f t="shared" ref="H8143:H8146" si="854">F8143*G8143</f>
        <v>42900</v>
      </c>
    </row>
    <row r="8144" spans="3:11" x14ac:dyDescent="0.3">
      <c r="C8144" s="16">
        <v>2</v>
      </c>
      <c r="D8144" s="13" t="s">
        <v>21</v>
      </c>
      <c r="E8144" s="17" t="s">
        <v>19</v>
      </c>
      <c r="F8144" s="18">
        <v>0.71599999999999997</v>
      </c>
      <c r="G8144" s="19">
        <f>VLOOKUP(D8144,upahbahan,3,FALSE)</f>
        <v>145000</v>
      </c>
      <c r="H8144" s="19">
        <f t="shared" si="854"/>
        <v>103820</v>
      </c>
    </row>
    <row r="8145" spans="3:11" x14ac:dyDescent="0.3">
      <c r="C8145" s="16">
        <v>3</v>
      </c>
      <c r="D8145" s="13" t="s">
        <v>1224</v>
      </c>
      <c r="E8145" s="17" t="s">
        <v>19</v>
      </c>
      <c r="F8145" s="18">
        <v>7.1999999999999995E-2</v>
      </c>
      <c r="G8145" s="19">
        <f>VLOOKUP(D8145,upahbahan,3,FALSE)</f>
        <v>175000</v>
      </c>
      <c r="H8145" s="19">
        <f t="shared" si="854"/>
        <v>12599.999999999998</v>
      </c>
    </row>
    <row r="8146" spans="3:11" x14ac:dyDescent="0.3">
      <c r="C8146" s="16">
        <v>4</v>
      </c>
      <c r="D8146" s="13" t="s">
        <v>23</v>
      </c>
      <c r="E8146" s="17" t="s">
        <v>19</v>
      </c>
      <c r="F8146" s="18">
        <v>2.4E-2</v>
      </c>
      <c r="G8146" s="19">
        <f>VLOOKUP(D8146,upahbahan,3,FALSE)</f>
        <v>200000</v>
      </c>
      <c r="H8146" s="19">
        <f t="shared" si="854"/>
        <v>4800</v>
      </c>
    </row>
    <row r="8147" spans="3:11" x14ac:dyDescent="0.3">
      <c r="C8147" s="21" t="s">
        <v>24</v>
      </c>
      <c r="D8147" s="22"/>
      <c r="E8147" s="22"/>
      <c r="F8147" s="54"/>
      <c r="G8147" s="24"/>
      <c r="H8147" s="19">
        <f>SUM(H8143:H8146)</f>
        <v>164120</v>
      </c>
      <c r="I8147" s="25"/>
    </row>
    <row r="8148" spans="3:11" x14ac:dyDescent="0.25">
      <c r="C8148" s="12" t="s">
        <v>25</v>
      </c>
      <c r="D8148" s="13" t="s">
        <v>26</v>
      </c>
      <c r="E8148" s="14"/>
      <c r="F8148" s="55"/>
      <c r="G8148" s="14"/>
      <c r="H8148" s="14"/>
    </row>
    <row r="8149" spans="3:11" x14ac:dyDescent="0.25">
      <c r="C8149" s="12">
        <v>1</v>
      </c>
      <c r="D8149" s="13" t="s">
        <v>1518</v>
      </c>
      <c r="E8149" s="53" t="s">
        <v>846</v>
      </c>
      <c r="F8149" s="115">
        <v>1.1000000000000001</v>
      </c>
      <c r="G8149" s="19">
        <f>VLOOKUP(D8149,upahbahan,3,FALSE)</f>
        <v>2300000</v>
      </c>
      <c r="H8149" s="19">
        <f t="shared" ref="H8149" si="855">F8149*G8149</f>
        <v>2530000</v>
      </c>
    </row>
    <row r="8150" spans="3:11" x14ac:dyDescent="0.3">
      <c r="C8150" s="21" t="s">
        <v>29</v>
      </c>
      <c r="D8150" s="22"/>
      <c r="E8150" s="22" t="s">
        <v>1340</v>
      </c>
      <c r="F8150" s="22"/>
      <c r="G8150" s="28"/>
      <c r="H8150" s="19">
        <f>SUM(H8148:H8149)</f>
        <v>2530000</v>
      </c>
    </row>
    <row r="8151" spans="3:11" x14ac:dyDescent="0.25">
      <c r="C8151" s="12" t="s">
        <v>30</v>
      </c>
      <c r="D8151" s="13" t="s">
        <v>31</v>
      </c>
      <c r="E8151" s="14"/>
      <c r="F8151" s="14"/>
      <c r="G8151" s="14"/>
      <c r="H8151" s="14"/>
    </row>
    <row r="8152" spans="3:11" x14ac:dyDescent="0.3">
      <c r="C8152" s="21" t="s">
        <v>32</v>
      </c>
      <c r="D8152" s="77"/>
      <c r="E8152" s="77"/>
      <c r="F8152" s="77"/>
      <c r="G8152" s="28"/>
      <c r="H8152" s="29">
        <f>SUM(H8151:H8151)</f>
        <v>0</v>
      </c>
    </row>
    <row r="8153" spans="3:11" x14ac:dyDescent="0.3">
      <c r="C8153" s="30" t="s">
        <v>33</v>
      </c>
      <c r="D8153" s="31" t="s">
        <v>34</v>
      </c>
      <c r="E8153" s="32"/>
      <c r="F8153" s="32"/>
      <c r="G8153" s="33"/>
      <c r="H8153" s="46">
        <f>H8152+H8150+H8147</f>
        <v>2694120</v>
      </c>
      <c r="I8153" s="47"/>
    </row>
    <row r="8154" spans="3:11" x14ac:dyDescent="0.3">
      <c r="C8154" s="30" t="s">
        <v>35</v>
      </c>
      <c r="D8154" s="31" t="s">
        <v>36</v>
      </c>
      <c r="E8154" s="32"/>
      <c r="F8154" s="33"/>
      <c r="G8154" s="34">
        <f>$M$9</f>
        <v>0.1</v>
      </c>
      <c r="H8154" s="19">
        <f>H8153*G8154</f>
        <v>269412</v>
      </c>
      <c r="I8154" s="47"/>
    </row>
    <row r="8155" spans="3:11" x14ac:dyDescent="0.3">
      <c r="C8155" s="30" t="s">
        <v>37</v>
      </c>
      <c r="D8155" s="31" t="s">
        <v>38</v>
      </c>
      <c r="E8155" s="32"/>
      <c r="F8155" s="32"/>
      <c r="G8155" s="33"/>
      <c r="H8155" s="48">
        <f>SUM(H8153:H8154)</f>
        <v>2963532</v>
      </c>
      <c r="I8155" s="47"/>
    </row>
    <row r="8157" spans="3:11" x14ac:dyDescent="0.3">
      <c r="C8157" s="40" t="s">
        <v>1519</v>
      </c>
      <c r="D8157" s="68" t="s">
        <v>1520</v>
      </c>
      <c r="E8157" s="44"/>
      <c r="F8157" s="44"/>
      <c r="G8157" s="44"/>
      <c r="H8157" s="44"/>
      <c r="I8157" s="10">
        <f>ROUNDDOWN(H8172,0)</f>
        <v>3205532</v>
      </c>
      <c r="J8157" s="15"/>
      <c r="K8157" s="39"/>
    </row>
    <row r="8158" spans="3:11" ht="27.6" x14ac:dyDescent="0.3">
      <c r="C8158" s="11" t="s">
        <v>9</v>
      </c>
      <c r="D8158" s="11" t="s">
        <v>10</v>
      </c>
      <c r="E8158" s="11" t="s">
        <v>11</v>
      </c>
      <c r="F8158" s="11" t="s">
        <v>12</v>
      </c>
      <c r="G8158" s="11" t="s">
        <v>13</v>
      </c>
      <c r="H8158" s="11" t="s">
        <v>14</v>
      </c>
    </row>
    <row r="8159" spans="3:11" x14ac:dyDescent="0.25">
      <c r="C8159" s="12" t="s">
        <v>15</v>
      </c>
      <c r="D8159" s="13" t="s">
        <v>16</v>
      </c>
      <c r="E8159" s="14"/>
      <c r="F8159" s="14"/>
      <c r="G8159" s="14"/>
      <c r="H8159" s="14"/>
    </row>
    <row r="8160" spans="3:11" x14ac:dyDescent="0.3">
      <c r="C8160" s="16">
        <v>1</v>
      </c>
      <c r="D8160" s="13" t="s">
        <v>18</v>
      </c>
      <c r="E8160" s="17" t="s">
        <v>19</v>
      </c>
      <c r="F8160" s="18">
        <v>0.42899999999999999</v>
      </c>
      <c r="G8160" s="19">
        <f>VLOOKUP(D8160,upahbahan,3,FALSE)</f>
        <v>100000</v>
      </c>
      <c r="H8160" s="19">
        <f t="shared" ref="H8160:H8163" si="856">F8160*G8160</f>
        <v>42900</v>
      </c>
    </row>
    <row r="8161" spans="3:11" x14ac:dyDescent="0.3">
      <c r="C8161" s="16">
        <v>2</v>
      </c>
      <c r="D8161" s="13" t="s">
        <v>21</v>
      </c>
      <c r="E8161" s="17" t="s">
        <v>19</v>
      </c>
      <c r="F8161" s="18">
        <v>0.71599999999999997</v>
      </c>
      <c r="G8161" s="19">
        <f>VLOOKUP(D8161,upahbahan,3,FALSE)</f>
        <v>145000</v>
      </c>
      <c r="H8161" s="19">
        <f t="shared" si="856"/>
        <v>103820</v>
      </c>
    </row>
    <row r="8162" spans="3:11" x14ac:dyDescent="0.3">
      <c r="C8162" s="16">
        <v>3</v>
      </c>
      <c r="D8162" s="13" t="s">
        <v>1224</v>
      </c>
      <c r="E8162" s="17" t="s">
        <v>19</v>
      </c>
      <c r="F8162" s="18">
        <v>7.1999999999999995E-2</v>
      </c>
      <c r="G8162" s="19">
        <f>VLOOKUP(D8162,upahbahan,3,FALSE)</f>
        <v>175000</v>
      </c>
      <c r="H8162" s="19">
        <f t="shared" si="856"/>
        <v>12599.999999999998</v>
      </c>
    </row>
    <row r="8163" spans="3:11" x14ac:dyDescent="0.3">
      <c r="C8163" s="16">
        <v>4</v>
      </c>
      <c r="D8163" s="13" t="s">
        <v>23</v>
      </c>
      <c r="E8163" s="17" t="s">
        <v>19</v>
      </c>
      <c r="F8163" s="18">
        <v>2.4E-2</v>
      </c>
      <c r="G8163" s="19">
        <f>VLOOKUP(D8163,upahbahan,3,FALSE)</f>
        <v>200000</v>
      </c>
      <c r="H8163" s="19">
        <f t="shared" si="856"/>
        <v>4800</v>
      </c>
    </row>
    <row r="8164" spans="3:11" x14ac:dyDescent="0.3">
      <c r="C8164" s="21" t="s">
        <v>24</v>
      </c>
      <c r="D8164" s="22"/>
      <c r="E8164" s="22"/>
      <c r="F8164" s="54"/>
      <c r="G8164" s="24"/>
      <c r="H8164" s="19">
        <f>SUM(H8160:H8163)</f>
        <v>164120</v>
      </c>
      <c r="I8164" s="25"/>
    </row>
    <row r="8165" spans="3:11" x14ac:dyDescent="0.25">
      <c r="C8165" s="12" t="s">
        <v>25</v>
      </c>
      <c r="D8165" s="13" t="s">
        <v>26</v>
      </c>
      <c r="E8165" s="14"/>
      <c r="F8165" s="55"/>
      <c r="G8165" s="14"/>
      <c r="H8165" s="14"/>
    </row>
    <row r="8166" spans="3:11" x14ac:dyDescent="0.25">
      <c r="C8166" s="12">
        <v>1</v>
      </c>
      <c r="D8166" s="13" t="s">
        <v>1521</v>
      </c>
      <c r="E8166" s="53" t="s">
        <v>846</v>
      </c>
      <c r="F8166" s="115">
        <v>1.1000000000000001</v>
      </c>
      <c r="G8166" s="19">
        <f>VLOOKUP(D8166,upahbahan,3,FALSE)</f>
        <v>2500000</v>
      </c>
      <c r="H8166" s="19">
        <f t="shared" ref="H8166" si="857">F8166*G8166</f>
        <v>2750000</v>
      </c>
    </row>
    <row r="8167" spans="3:11" x14ac:dyDescent="0.3">
      <c r="C8167" s="21" t="s">
        <v>29</v>
      </c>
      <c r="D8167" s="22"/>
      <c r="E8167" s="22" t="s">
        <v>1340</v>
      </c>
      <c r="F8167" s="22"/>
      <c r="G8167" s="28"/>
      <c r="H8167" s="19">
        <f>SUM(H8165:H8166)</f>
        <v>2750000</v>
      </c>
    </row>
    <row r="8168" spans="3:11" x14ac:dyDescent="0.25">
      <c r="C8168" s="12" t="s">
        <v>30</v>
      </c>
      <c r="D8168" s="13" t="s">
        <v>31</v>
      </c>
      <c r="E8168" s="14"/>
      <c r="F8168" s="14"/>
      <c r="G8168" s="14"/>
      <c r="H8168" s="14"/>
    </row>
    <row r="8169" spans="3:11" x14ac:dyDescent="0.3">
      <c r="C8169" s="21" t="s">
        <v>32</v>
      </c>
      <c r="D8169" s="77"/>
      <c r="E8169" s="77"/>
      <c r="F8169" s="77"/>
      <c r="G8169" s="28"/>
      <c r="H8169" s="29">
        <f>SUM(H8168:H8168)</f>
        <v>0</v>
      </c>
    </row>
    <row r="8170" spans="3:11" x14ac:dyDescent="0.3">
      <c r="C8170" s="30" t="s">
        <v>33</v>
      </c>
      <c r="D8170" s="31" t="s">
        <v>34</v>
      </c>
      <c r="E8170" s="32"/>
      <c r="F8170" s="32"/>
      <c r="G8170" s="33"/>
      <c r="H8170" s="46">
        <f>H8169+H8167+H8164</f>
        <v>2914120</v>
      </c>
      <c r="I8170" s="47"/>
    </row>
    <row r="8171" spans="3:11" x14ac:dyDescent="0.3">
      <c r="C8171" s="30" t="s">
        <v>35</v>
      </c>
      <c r="D8171" s="31" t="s">
        <v>36</v>
      </c>
      <c r="E8171" s="32"/>
      <c r="F8171" s="33"/>
      <c r="G8171" s="34">
        <f>$M$9</f>
        <v>0.1</v>
      </c>
      <c r="H8171" s="19">
        <f>H8170*G8171</f>
        <v>291412</v>
      </c>
      <c r="I8171" s="47"/>
    </row>
    <row r="8172" spans="3:11" x14ac:dyDescent="0.3">
      <c r="C8172" s="30" t="s">
        <v>37</v>
      </c>
      <c r="D8172" s="31" t="s">
        <v>38</v>
      </c>
      <c r="E8172" s="32"/>
      <c r="F8172" s="32"/>
      <c r="G8172" s="33"/>
      <c r="H8172" s="48">
        <f>SUM(H8170:H8171)</f>
        <v>3205532</v>
      </c>
      <c r="I8172" s="47"/>
    </row>
    <row r="8174" spans="3:11" x14ac:dyDescent="0.3">
      <c r="C8174" s="40" t="s">
        <v>1522</v>
      </c>
      <c r="D8174" s="68" t="s">
        <v>1523</v>
      </c>
      <c r="E8174" s="44"/>
      <c r="F8174" s="44"/>
      <c r="G8174" s="44"/>
      <c r="H8174" s="44"/>
      <c r="I8174" s="10">
        <f>ROUNDDOWN(H8189,0)</f>
        <v>3794516</v>
      </c>
      <c r="J8174" s="15"/>
      <c r="K8174" s="39"/>
    </row>
    <row r="8175" spans="3:11" ht="27.6" x14ac:dyDescent="0.3">
      <c r="C8175" s="11" t="s">
        <v>9</v>
      </c>
      <c r="D8175" s="11" t="s">
        <v>10</v>
      </c>
      <c r="E8175" s="11" t="s">
        <v>11</v>
      </c>
      <c r="F8175" s="11" t="s">
        <v>12</v>
      </c>
      <c r="G8175" s="11" t="s">
        <v>13</v>
      </c>
      <c r="H8175" s="11" t="s">
        <v>14</v>
      </c>
    </row>
    <row r="8176" spans="3:11" x14ac:dyDescent="0.25">
      <c r="C8176" s="12" t="s">
        <v>15</v>
      </c>
      <c r="D8176" s="13" t="s">
        <v>16</v>
      </c>
      <c r="E8176" s="14"/>
      <c r="F8176" s="14"/>
      <c r="G8176" s="14"/>
      <c r="H8176" s="14"/>
    </row>
    <row r="8177" spans="3:11" x14ac:dyDescent="0.3">
      <c r="C8177" s="16">
        <v>1</v>
      </c>
      <c r="D8177" s="13" t="s">
        <v>18</v>
      </c>
      <c r="E8177" s="17" t="s">
        <v>19</v>
      </c>
      <c r="F8177" s="18">
        <v>0.67900000000000005</v>
      </c>
      <c r="G8177" s="19">
        <f>VLOOKUP(D8177,upahbahan,3,FALSE)</f>
        <v>100000</v>
      </c>
      <c r="H8177" s="19">
        <f t="shared" ref="H8177:H8180" si="858">F8177*G8177</f>
        <v>67900</v>
      </c>
    </row>
    <row r="8178" spans="3:11" x14ac:dyDescent="0.3">
      <c r="C8178" s="16">
        <v>2</v>
      </c>
      <c r="D8178" s="13" t="s">
        <v>21</v>
      </c>
      <c r="E8178" s="17" t="s">
        <v>19</v>
      </c>
      <c r="F8178" s="18">
        <v>1.133</v>
      </c>
      <c r="G8178" s="19">
        <f>VLOOKUP(D8178,upahbahan,3,FALSE)</f>
        <v>145000</v>
      </c>
      <c r="H8178" s="19">
        <f t="shared" si="858"/>
        <v>164285</v>
      </c>
    </row>
    <row r="8179" spans="3:11" x14ac:dyDescent="0.3">
      <c r="C8179" s="16">
        <v>3</v>
      </c>
      <c r="D8179" s="13" t="s">
        <v>1224</v>
      </c>
      <c r="E8179" s="17" t="s">
        <v>19</v>
      </c>
      <c r="F8179" s="18">
        <v>0.113</v>
      </c>
      <c r="G8179" s="19">
        <f>VLOOKUP(D8179,upahbahan,3,FALSE)</f>
        <v>175000</v>
      </c>
      <c r="H8179" s="19">
        <f t="shared" si="858"/>
        <v>19775</v>
      </c>
    </row>
    <row r="8180" spans="3:11" x14ac:dyDescent="0.3">
      <c r="C8180" s="16">
        <v>4</v>
      </c>
      <c r="D8180" s="13" t="s">
        <v>23</v>
      </c>
      <c r="E8180" s="17" t="s">
        <v>19</v>
      </c>
      <c r="F8180" s="18">
        <v>3.7999999999999999E-2</v>
      </c>
      <c r="G8180" s="19">
        <f>VLOOKUP(D8180,upahbahan,3,FALSE)</f>
        <v>200000</v>
      </c>
      <c r="H8180" s="19">
        <f t="shared" si="858"/>
        <v>7600</v>
      </c>
    </row>
    <row r="8181" spans="3:11" x14ac:dyDescent="0.3">
      <c r="C8181" s="21" t="s">
        <v>24</v>
      </c>
      <c r="D8181" s="22"/>
      <c r="E8181" s="22"/>
      <c r="F8181" s="54"/>
      <c r="G8181" s="24"/>
      <c r="H8181" s="19">
        <f>SUM(H8177:H8180)</f>
        <v>259560</v>
      </c>
      <c r="I8181" s="25"/>
    </row>
    <row r="8182" spans="3:11" x14ac:dyDescent="0.25">
      <c r="C8182" s="12" t="s">
        <v>25</v>
      </c>
      <c r="D8182" s="13" t="s">
        <v>26</v>
      </c>
      <c r="E8182" s="14"/>
      <c r="F8182" s="55"/>
      <c r="G8182" s="14"/>
      <c r="H8182" s="14"/>
    </row>
    <row r="8183" spans="3:11" x14ac:dyDescent="0.25">
      <c r="C8183" s="12">
        <v>1</v>
      </c>
      <c r="D8183" s="13" t="s">
        <v>1524</v>
      </c>
      <c r="E8183" s="53" t="s">
        <v>846</v>
      </c>
      <c r="F8183" s="115">
        <v>1.1000000000000001</v>
      </c>
      <c r="G8183" s="19">
        <f>VLOOKUP(D8183,upahbahan,3,FALSE)</f>
        <v>2900000</v>
      </c>
      <c r="H8183" s="19">
        <f t="shared" ref="H8183" si="859">F8183*G8183</f>
        <v>3190000.0000000005</v>
      </c>
    </row>
    <row r="8184" spans="3:11" x14ac:dyDescent="0.3">
      <c r="C8184" s="21" t="s">
        <v>29</v>
      </c>
      <c r="D8184" s="22"/>
      <c r="E8184" s="22" t="s">
        <v>1340</v>
      </c>
      <c r="F8184" s="22"/>
      <c r="G8184" s="28"/>
      <c r="H8184" s="19">
        <f>SUM(H8182:H8183)</f>
        <v>3190000.0000000005</v>
      </c>
    </row>
    <row r="8185" spans="3:11" x14ac:dyDescent="0.25">
      <c r="C8185" s="12" t="s">
        <v>30</v>
      </c>
      <c r="D8185" s="13" t="s">
        <v>31</v>
      </c>
      <c r="E8185" s="14"/>
      <c r="F8185" s="14"/>
      <c r="G8185" s="14"/>
      <c r="H8185" s="14"/>
    </row>
    <row r="8186" spans="3:11" x14ac:dyDescent="0.3">
      <c r="C8186" s="21" t="s">
        <v>32</v>
      </c>
      <c r="D8186" s="77"/>
      <c r="E8186" s="77"/>
      <c r="F8186" s="77"/>
      <c r="G8186" s="28"/>
      <c r="H8186" s="29">
        <f>SUM(H8185:H8185)</f>
        <v>0</v>
      </c>
    </row>
    <row r="8187" spans="3:11" x14ac:dyDescent="0.3">
      <c r="C8187" s="30" t="s">
        <v>33</v>
      </c>
      <c r="D8187" s="31" t="s">
        <v>34</v>
      </c>
      <c r="E8187" s="32"/>
      <c r="F8187" s="32"/>
      <c r="G8187" s="33"/>
      <c r="H8187" s="46">
        <f>H8186+H8184+H8181</f>
        <v>3449560.0000000005</v>
      </c>
      <c r="I8187" s="47"/>
    </row>
    <row r="8188" spans="3:11" x14ac:dyDescent="0.3">
      <c r="C8188" s="30" t="s">
        <v>35</v>
      </c>
      <c r="D8188" s="31" t="s">
        <v>36</v>
      </c>
      <c r="E8188" s="32"/>
      <c r="F8188" s="33"/>
      <c r="G8188" s="34">
        <f>$M$9</f>
        <v>0.1</v>
      </c>
      <c r="H8188" s="19">
        <f>H8187*G8188</f>
        <v>344956.00000000006</v>
      </c>
      <c r="I8188" s="47"/>
    </row>
    <row r="8189" spans="3:11" x14ac:dyDescent="0.3">
      <c r="C8189" s="30" t="s">
        <v>37</v>
      </c>
      <c r="D8189" s="31" t="s">
        <v>38</v>
      </c>
      <c r="E8189" s="32"/>
      <c r="F8189" s="32"/>
      <c r="G8189" s="33"/>
      <c r="H8189" s="48">
        <f>SUM(H8187:H8188)</f>
        <v>3794516.0000000005</v>
      </c>
      <c r="I8189" s="47"/>
    </row>
    <row r="8192" spans="3:11" x14ac:dyDescent="0.3">
      <c r="C8192" s="40" t="s">
        <v>1525</v>
      </c>
      <c r="D8192" s="68" t="s">
        <v>1526</v>
      </c>
      <c r="E8192" s="44"/>
      <c r="F8192" s="44"/>
      <c r="G8192" s="44"/>
      <c r="H8192" s="44"/>
      <c r="I8192" s="10">
        <f>ROUNDDOWN(H8207,0)</f>
        <v>4157516</v>
      </c>
      <c r="J8192" s="15"/>
      <c r="K8192" s="39"/>
    </row>
    <row r="8193" spans="3:9" ht="27.6" x14ac:dyDescent="0.3">
      <c r="C8193" s="11" t="s">
        <v>9</v>
      </c>
      <c r="D8193" s="11" t="s">
        <v>10</v>
      </c>
      <c r="E8193" s="11" t="s">
        <v>11</v>
      </c>
      <c r="F8193" s="11" t="s">
        <v>12</v>
      </c>
      <c r="G8193" s="11" t="s">
        <v>13</v>
      </c>
      <c r="H8193" s="11" t="s">
        <v>14</v>
      </c>
    </row>
    <row r="8194" spans="3:9" x14ac:dyDescent="0.25">
      <c r="C8194" s="12" t="s">
        <v>15</v>
      </c>
      <c r="D8194" s="13" t="s">
        <v>16</v>
      </c>
      <c r="E8194" s="14"/>
      <c r="F8194" s="14"/>
      <c r="G8194" s="14"/>
      <c r="H8194" s="14"/>
    </row>
    <row r="8195" spans="3:9" x14ac:dyDescent="0.3">
      <c r="C8195" s="16">
        <v>1</v>
      </c>
      <c r="D8195" s="13" t="s">
        <v>18</v>
      </c>
      <c r="E8195" s="17" t="s">
        <v>19</v>
      </c>
      <c r="F8195" s="18">
        <v>0.67900000000000005</v>
      </c>
      <c r="G8195" s="19">
        <f>VLOOKUP(D8195,upahbahan,3,FALSE)</f>
        <v>100000</v>
      </c>
      <c r="H8195" s="19">
        <f t="shared" ref="H8195:H8198" si="860">F8195*G8195</f>
        <v>67900</v>
      </c>
    </row>
    <row r="8196" spans="3:9" x14ac:dyDescent="0.3">
      <c r="C8196" s="16">
        <v>2</v>
      </c>
      <c r="D8196" s="13" t="s">
        <v>21</v>
      </c>
      <c r="E8196" s="17" t="s">
        <v>19</v>
      </c>
      <c r="F8196" s="18">
        <v>1.133</v>
      </c>
      <c r="G8196" s="19">
        <f>VLOOKUP(D8196,upahbahan,3,FALSE)</f>
        <v>145000</v>
      </c>
      <c r="H8196" s="19">
        <f t="shared" si="860"/>
        <v>164285</v>
      </c>
    </row>
    <row r="8197" spans="3:9" x14ac:dyDescent="0.3">
      <c r="C8197" s="16">
        <v>3</v>
      </c>
      <c r="D8197" s="13" t="s">
        <v>1224</v>
      </c>
      <c r="E8197" s="17" t="s">
        <v>19</v>
      </c>
      <c r="F8197" s="18">
        <v>0.113</v>
      </c>
      <c r="G8197" s="19">
        <f>VLOOKUP(D8197,upahbahan,3,FALSE)</f>
        <v>175000</v>
      </c>
      <c r="H8197" s="19">
        <f t="shared" si="860"/>
        <v>19775</v>
      </c>
    </row>
    <row r="8198" spans="3:9" x14ac:dyDescent="0.3">
      <c r="C8198" s="16">
        <v>4</v>
      </c>
      <c r="D8198" s="13" t="s">
        <v>23</v>
      </c>
      <c r="E8198" s="17" t="s">
        <v>19</v>
      </c>
      <c r="F8198" s="18">
        <v>3.7999999999999999E-2</v>
      </c>
      <c r="G8198" s="19">
        <f>VLOOKUP(D8198,upahbahan,3,FALSE)</f>
        <v>200000</v>
      </c>
      <c r="H8198" s="19">
        <f t="shared" si="860"/>
        <v>7600</v>
      </c>
    </row>
    <row r="8199" spans="3:9" x14ac:dyDescent="0.3">
      <c r="C8199" s="21" t="s">
        <v>24</v>
      </c>
      <c r="D8199" s="22"/>
      <c r="E8199" s="22"/>
      <c r="F8199" s="54"/>
      <c r="G8199" s="24"/>
      <c r="H8199" s="19">
        <f>SUM(H8195:H8198)</f>
        <v>259560</v>
      </c>
      <c r="I8199" s="25"/>
    </row>
    <row r="8200" spans="3:9" x14ac:dyDescent="0.25">
      <c r="C8200" s="12" t="s">
        <v>25</v>
      </c>
      <c r="D8200" s="13" t="s">
        <v>26</v>
      </c>
      <c r="E8200" s="14"/>
      <c r="F8200" s="55"/>
      <c r="G8200" s="14"/>
      <c r="H8200" s="14"/>
    </row>
    <row r="8201" spans="3:9" x14ac:dyDescent="0.25">
      <c r="C8201" s="12">
        <v>1</v>
      </c>
      <c r="D8201" s="13" t="s">
        <v>1527</v>
      </c>
      <c r="E8201" s="53" t="s">
        <v>846</v>
      </c>
      <c r="F8201" s="115">
        <v>1.1000000000000001</v>
      </c>
      <c r="G8201" s="19">
        <f>VLOOKUP(D8201,upahbahan,3,FALSE)</f>
        <v>3200000</v>
      </c>
      <c r="H8201" s="19">
        <f t="shared" ref="H8201" si="861">F8201*G8201</f>
        <v>3520000.0000000005</v>
      </c>
    </row>
    <row r="8202" spans="3:9" x14ac:dyDescent="0.3">
      <c r="C8202" s="21" t="s">
        <v>29</v>
      </c>
      <c r="D8202" s="22"/>
      <c r="E8202" s="22" t="s">
        <v>1340</v>
      </c>
      <c r="F8202" s="22"/>
      <c r="G8202" s="28"/>
      <c r="H8202" s="19">
        <f>SUM(H8200:H8201)</f>
        <v>3520000.0000000005</v>
      </c>
    </row>
    <row r="8203" spans="3:9" x14ac:dyDescent="0.25">
      <c r="C8203" s="12" t="s">
        <v>30</v>
      </c>
      <c r="D8203" s="13" t="s">
        <v>31</v>
      </c>
      <c r="E8203" s="14"/>
      <c r="F8203" s="14"/>
      <c r="G8203" s="14"/>
      <c r="H8203" s="14"/>
    </row>
    <row r="8204" spans="3:9" x14ac:dyDescent="0.3">
      <c r="C8204" s="21" t="s">
        <v>32</v>
      </c>
      <c r="D8204" s="77"/>
      <c r="E8204" s="77"/>
      <c r="F8204" s="77"/>
      <c r="G8204" s="28"/>
      <c r="H8204" s="29">
        <f>SUM(H8203:H8203)</f>
        <v>0</v>
      </c>
    </row>
    <row r="8205" spans="3:9" x14ac:dyDescent="0.3">
      <c r="C8205" s="30" t="s">
        <v>33</v>
      </c>
      <c r="D8205" s="31" t="s">
        <v>34</v>
      </c>
      <c r="E8205" s="32"/>
      <c r="F8205" s="32"/>
      <c r="G8205" s="33"/>
      <c r="H8205" s="46">
        <f>H8204+H8202+H8199</f>
        <v>3779560.0000000005</v>
      </c>
      <c r="I8205" s="47"/>
    </row>
    <row r="8206" spans="3:9" x14ac:dyDescent="0.3">
      <c r="C8206" s="30" t="s">
        <v>35</v>
      </c>
      <c r="D8206" s="31" t="s">
        <v>36</v>
      </c>
      <c r="E8206" s="32"/>
      <c r="F8206" s="33"/>
      <c r="G8206" s="34">
        <f>$M$9</f>
        <v>0.1</v>
      </c>
      <c r="H8206" s="19">
        <f>H8205*G8206</f>
        <v>377956.00000000006</v>
      </c>
      <c r="I8206" s="47"/>
    </row>
    <row r="8207" spans="3:9" x14ac:dyDescent="0.3">
      <c r="C8207" s="30" t="s">
        <v>37</v>
      </c>
      <c r="D8207" s="31" t="s">
        <v>38</v>
      </c>
      <c r="E8207" s="32"/>
      <c r="F8207" s="32"/>
      <c r="G8207" s="33"/>
      <c r="H8207" s="48">
        <f>SUM(H8205:H8206)</f>
        <v>4157516.0000000005</v>
      </c>
      <c r="I8207" s="47"/>
    </row>
    <row r="8210" spans="3:11" x14ac:dyDescent="0.3">
      <c r="C8210" s="40" t="s">
        <v>1528</v>
      </c>
      <c r="D8210" s="68" t="s">
        <v>1529</v>
      </c>
      <c r="E8210" s="44"/>
      <c r="F8210" s="44"/>
      <c r="G8210" s="44"/>
      <c r="H8210" s="44"/>
      <c r="I8210" s="10">
        <f>ROUNDDOWN(H8225,0)</f>
        <v>458766</v>
      </c>
      <c r="J8210" s="15"/>
      <c r="K8210" s="39"/>
    </row>
    <row r="8211" spans="3:11" ht="27.6" x14ac:dyDescent="0.3">
      <c r="C8211" s="11" t="s">
        <v>9</v>
      </c>
      <c r="D8211" s="11" t="s">
        <v>10</v>
      </c>
      <c r="E8211" s="11" t="s">
        <v>11</v>
      </c>
      <c r="F8211" s="11" t="s">
        <v>12</v>
      </c>
      <c r="G8211" s="11" t="s">
        <v>13</v>
      </c>
      <c r="H8211" s="11" t="s">
        <v>14</v>
      </c>
    </row>
    <row r="8212" spans="3:11" x14ac:dyDescent="0.25">
      <c r="C8212" s="12" t="s">
        <v>15</v>
      </c>
      <c r="D8212" s="13" t="s">
        <v>16</v>
      </c>
      <c r="E8212" s="14"/>
      <c r="F8212" s="14"/>
      <c r="G8212" s="14"/>
      <c r="H8212" s="14"/>
    </row>
    <row r="8213" spans="3:11" x14ac:dyDescent="0.3">
      <c r="C8213" s="16">
        <v>1</v>
      </c>
      <c r="D8213" s="13" t="s">
        <v>18</v>
      </c>
      <c r="E8213" s="17" t="s">
        <v>19</v>
      </c>
      <c r="F8213" s="18">
        <v>0.67900000000000005</v>
      </c>
      <c r="G8213" s="19">
        <f>VLOOKUP(D8213,upahbahan,3,FALSE)</f>
        <v>100000</v>
      </c>
      <c r="H8213" s="19">
        <f t="shared" ref="H8213:H8216" si="862">F8213*G8213</f>
        <v>67900</v>
      </c>
    </row>
    <row r="8214" spans="3:11" x14ac:dyDescent="0.3">
      <c r="C8214" s="16">
        <v>2</v>
      </c>
      <c r="D8214" s="13" t="s">
        <v>21</v>
      </c>
      <c r="E8214" s="17" t="s">
        <v>19</v>
      </c>
      <c r="F8214" s="18">
        <v>1.133</v>
      </c>
      <c r="G8214" s="19">
        <f>VLOOKUP(D8214,upahbahan,3,FALSE)</f>
        <v>145000</v>
      </c>
      <c r="H8214" s="19">
        <f t="shared" si="862"/>
        <v>164285</v>
      </c>
    </row>
    <row r="8215" spans="3:11" x14ac:dyDescent="0.3">
      <c r="C8215" s="16">
        <v>3</v>
      </c>
      <c r="D8215" s="13" t="s">
        <v>1224</v>
      </c>
      <c r="E8215" s="17" t="s">
        <v>19</v>
      </c>
      <c r="F8215" s="18">
        <v>0.113</v>
      </c>
      <c r="G8215" s="19">
        <f>VLOOKUP(D8215,upahbahan,3,FALSE)</f>
        <v>175000</v>
      </c>
      <c r="H8215" s="19">
        <f t="shared" si="862"/>
        <v>19775</v>
      </c>
    </row>
    <row r="8216" spans="3:11" x14ac:dyDescent="0.3">
      <c r="C8216" s="16">
        <v>4</v>
      </c>
      <c r="D8216" s="13" t="s">
        <v>23</v>
      </c>
      <c r="E8216" s="17" t="s">
        <v>19</v>
      </c>
      <c r="F8216" s="18">
        <v>3.7999999999999999E-2</v>
      </c>
      <c r="G8216" s="19">
        <f>VLOOKUP(D8216,upahbahan,3,FALSE)</f>
        <v>200000</v>
      </c>
      <c r="H8216" s="19">
        <f t="shared" si="862"/>
        <v>7600</v>
      </c>
    </row>
    <row r="8217" spans="3:11" x14ac:dyDescent="0.3">
      <c r="C8217" s="21" t="s">
        <v>24</v>
      </c>
      <c r="D8217" s="22"/>
      <c r="E8217" s="22"/>
      <c r="F8217" s="54"/>
      <c r="G8217" s="24"/>
      <c r="H8217" s="19">
        <f>SUM(H8213:H8216)</f>
        <v>259560</v>
      </c>
      <c r="I8217" s="25"/>
    </row>
    <row r="8218" spans="3:11" x14ac:dyDescent="0.25">
      <c r="C8218" s="12" t="s">
        <v>25</v>
      </c>
      <c r="D8218" s="13" t="s">
        <v>26</v>
      </c>
      <c r="E8218" s="14"/>
      <c r="F8218" s="55"/>
      <c r="G8218" s="14"/>
      <c r="H8218" s="14"/>
    </row>
    <row r="8219" spans="3:11" x14ac:dyDescent="0.25">
      <c r="C8219" s="12">
        <v>1</v>
      </c>
      <c r="D8219" s="13" t="s">
        <v>1530</v>
      </c>
      <c r="E8219" s="53" t="s">
        <v>846</v>
      </c>
      <c r="F8219" s="115">
        <v>1.05</v>
      </c>
      <c r="G8219" s="19">
        <f>VLOOKUP(D8219,upahbahan,3,FALSE)</f>
        <v>150000</v>
      </c>
      <c r="H8219" s="19">
        <f t="shared" ref="H8219" si="863">F8219*G8219</f>
        <v>157500</v>
      </c>
    </row>
    <row r="8220" spans="3:11" x14ac:dyDescent="0.3">
      <c r="C8220" s="21" t="s">
        <v>29</v>
      </c>
      <c r="D8220" s="22"/>
      <c r="E8220" s="22" t="s">
        <v>1340</v>
      </c>
      <c r="F8220" s="22"/>
      <c r="G8220" s="28"/>
      <c r="H8220" s="19">
        <f>SUM(H8218:H8219)</f>
        <v>157500</v>
      </c>
    </row>
    <row r="8221" spans="3:11" x14ac:dyDescent="0.25">
      <c r="C8221" s="12" t="s">
        <v>30</v>
      </c>
      <c r="D8221" s="13" t="s">
        <v>31</v>
      </c>
      <c r="E8221" s="14"/>
      <c r="F8221" s="14"/>
      <c r="G8221" s="14"/>
      <c r="H8221" s="14"/>
    </row>
    <row r="8222" spans="3:11" x14ac:dyDescent="0.3">
      <c r="C8222" s="21" t="s">
        <v>32</v>
      </c>
      <c r="D8222" s="77"/>
      <c r="E8222" s="77"/>
      <c r="F8222" s="77"/>
      <c r="G8222" s="28"/>
      <c r="H8222" s="29">
        <f>SUM(H8221:H8221)</f>
        <v>0</v>
      </c>
    </row>
    <row r="8223" spans="3:11" x14ac:dyDescent="0.3">
      <c r="C8223" s="30" t="s">
        <v>33</v>
      </c>
      <c r="D8223" s="31" t="s">
        <v>34</v>
      </c>
      <c r="E8223" s="32"/>
      <c r="F8223" s="32"/>
      <c r="G8223" s="33"/>
      <c r="H8223" s="46">
        <f>H8222+H8220+H8217</f>
        <v>417060</v>
      </c>
      <c r="I8223" s="47"/>
    </row>
    <row r="8224" spans="3:11" x14ac:dyDescent="0.3">
      <c r="C8224" s="30" t="s">
        <v>35</v>
      </c>
      <c r="D8224" s="31" t="s">
        <v>36</v>
      </c>
      <c r="E8224" s="32"/>
      <c r="F8224" s="33"/>
      <c r="G8224" s="34">
        <f>$M$9</f>
        <v>0.1</v>
      </c>
      <c r="H8224" s="19">
        <f>H8223*G8224</f>
        <v>41706</v>
      </c>
      <c r="I8224" s="47"/>
    </row>
    <row r="8225" spans="3:11" x14ac:dyDescent="0.3">
      <c r="C8225" s="30" t="s">
        <v>37</v>
      </c>
      <c r="D8225" s="31" t="s">
        <v>38</v>
      </c>
      <c r="E8225" s="32"/>
      <c r="F8225" s="32"/>
      <c r="G8225" s="33"/>
      <c r="H8225" s="48">
        <f>SUM(H8223:H8224)</f>
        <v>458766</v>
      </c>
      <c r="I8225" s="47"/>
    </row>
    <row r="8227" spans="3:11" x14ac:dyDescent="0.3">
      <c r="C8227" s="40" t="s">
        <v>1531</v>
      </c>
      <c r="D8227" s="68" t="s">
        <v>1532</v>
      </c>
      <c r="E8227" s="44"/>
      <c r="F8227" s="44"/>
      <c r="G8227" s="44"/>
      <c r="H8227" s="44"/>
      <c r="I8227" s="10">
        <f>ROUNDDOWN(H8242,0)</f>
        <v>3120667</v>
      </c>
      <c r="J8227" s="15"/>
      <c r="K8227" s="39"/>
    </row>
    <row r="8228" spans="3:11" ht="27.6" x14ac:dyDescent="0.3">
      <c r="C8228" s="11" t="s">
        <v>9</v>
      </c>
      <c r="D8228" s="11" t="s">
        <v>10</v>
      </c>
      <c r="E8228" s="11" t="s">
        <v>11</v>
      </c>
      <c r="F8228" s="11" t="s">
        <v>12</v>
      </c>
      <c r="G8228" s="11" t="s">
        <v>13</v>
      </c>
      <c r="H8228" s="11" t="s">
        <v>14</v>
      </c>
    </row>
    <row r="8229" spans="3:11" x14ac:dyDescent="0.25">
      <c r="C8229" s="12" t="s">
        <v>15</v>
      </c>
      <c r="D8229" s="13" t="s">
        <v>16</v>
      </c>
      <c r="E8229" s="14"/>
      <c r="F8229" s="14"/>
      <c r="G8229" s="14"/>
      <c r="H8229" s="14"/>
    </row>
    <row r="8230" spans="3:11" x14ac:dyDescent="0.3">
      <c r="C8230" s="16">
        <v>1</v>
      </c>
      <c r="D8230" s="13" t="s">
        <v>18</v>
      </c>
      <c r="E8230" s="17" t="s">
        <v>19</v>
      </c>
      <c r="F8230" s="18">
        <v>0.41699999999999998</v>
      </c>
      <c r="G8230" s="19">
        <f>VLOOKUP(D8230,upahbahan,3,FALSE)</f>
        <v>100000</v>
      </c>
      <c r="H8230" s="19">
        <f t="shared" ref="H8230:H8233" si="864">F8230*G8230</f>
        <v>41700</v>
      </c>
    </row>
    <row r="8231" spans="3:11" x14ac:dyDescent="0.3">
      <c r="C8231" s="16">
        <v>2</v>
      </c>
      <c r="D8231" s="13" t="s">
        <v>21</v>
      </c>
      <c r="E8231" s="17" t="s">
        <v>19</v>
      </c>
      <c r="F8231" s="18">
        <v>0.69599999999999995</v>
      </c>
      <c r="G8231" s="19">
        <f>VLOOKUP(D8231,upahbahan,3,FALSE)</f>
        <v>145000</v>
      </c>
      <c r="H8231" s="19">
        <f t="shared" si="864"/>
        <v>100920</v>
      </c>
    </row>
    <row r="8232" spans="3:11" x14ac:dyDescent="0.3">
      <c r="C8232" s="16">
        <v>3</v>
      </c>
      <c r="D8232" s="13" t="s">
        <v>1224</v>
      </c>
      <c r="E8232" s="17" t="s">
        <v>19</v>
      </c>
      <c r="F8232" s="18">
        <v>7.0000000000000007E-2</v>
      </c>
      <c r="G8232" s="19">
        <f>VLOOKUP(D8232,upahbahan,3,FALSE)</f>
        <v>175000</v>
      </c>
      <c r="H8232" s="19">
        <f t="shared" si="864"/>
        <v>12250.000000000002</v>
      </c>
    </row>
    <row r="8233" spans="3:11" x14ac:dyDescent="0.3">
      <c r="C8233" s="16">
        <v>4</v>
      </c>
      <c r="D8233" s="13" t="s">
        <v>23</v>
      </c>
      <c r="E8233" s="17" t="s">
        <v>19</v>
      </c>
      <c r="F8233" s="18">
        <v>2.3E-2</v>
      </c>
      <c r="G8233" s="19">
        <f>VLOOKUP(D8233,upahbahan,3,FALSE)</f>
        <v>200000</v>
      </c>
      <c r="H8233" s="19">
        <f t="shared" si="864"/>
        <v>4600</v>
      </c>
    </row>
    <row r="8234" spans="3:11" x14ac:dyDescent="0.3">
      <c r="C8234" s="21" t="s">
        <v>24</v>
      </c>
      <c r="D8234" s="22"/>
      <c r="E8234" s="22"/>
      <c r="F8234" s="54"/>
      <c r="G8234" s="24"/>
      <c r="H8234" s="19">
        <f>SUM(H8230:H8233)</f>
        <v>159470</v>
      </c>
      <c r="I8234" s="25"/>
    </row>
    <row r="8235" spans="3:11" x14ac:dyDescent="0.25">
      <c r="C8235" s="12" t="s">
        <v>25</v>
      </c>
      <c r="D8235" s="13" t="s">
        <v>26</v>
      </c>
      <c r="E8235" s="14"/>
      <c r="F8235" s="55"/>
      <c r="G8235" s="14"/>
      <c r="H8235" s="14"/>
    </row>
    <row r="8236" spans="3:11" x14ac:dyDescent="0.25">
      <c r="C8236" s="12">
        <v>1</v>
      </c>
      <c r="D8236" s="13" t="s">
        <v>1533</v>
      </c>
      <c r="E8236" s="53" t="s">
        <v>846</v>
      </c>
      <c r="F8236" s="115">
        <v>1.05</v>
      </c>
      <c r="G8236" s="19">
        <f>VLOOKUP(D8236,upahbahan,3,FALSE)</f>
        <v>2550000</v>
      </c>
      <c r="H8236" s="19">
        <f t="shared" ref="H8236" si="865">F8236*G8236</f>
        <v>2677500</v>
      </c>
    </row>
    <row r="8237" spans="3:11" x14ac:dyDescent="0.3">
      <c r="C8237" s="21" t="s">
        <v>29</v>
      </c>
      <c r="D8237" s="22"/>
      <c r="E8237" s="22" t="s">
        <v>1340</v>
      </c>
      <c r="F8237" s="22"/>
      <c r="G8237" s="28"/>
      <c r="H8237" s="19">
        <f>SUM(H8235:H8236)</f>
        <v>2677500</v>
      </c>
    </row>
    <row r="8238" spans="3:11" x14ac:dyDescent="0.25">
      <c r="C8238" s="12" t="s">
        <v>30</v>
      </c>
      <c r="D8238" s="13" t="s">
        <v>31</v>
      </c>
      <c r="E8238" s="14"/>
      <c r="F8238" s="14"/>
      <c r="G8238" s="14"/>
      <c r="H8238" s="14"/>
    </row>
    <row r="8239" spans="3:11" x14ac:dyDescent="0.3">
      <c r="C8239" s="21" t="s">
        <v>32</v>
      </c>
      <c r="D8239" s="77"/>
      <c r="E8239" s="77"/>
      <c r="F8239" s="77"/>
      <c r="G8239" s="28"/>
      <c r="H8239" s="29">
        <f>SUM(H8238:H8238)</f>
        <v>0</v>
      </c>
    </row>
    <row r="8240" spans="3:11" x14ac:dyDescent="0.3">
      <c r="C8240" s="30" t="s">
        <v>33</v>
      </c>
      <c r="D8240" s="31" t="s">
        <v>34</v>
      </c>
      <c r="E8240" s="32"/>
      <c r="F8240" s="32"/>
      <c r="G8240" s="33"/>
      <c r="H8240" s="46">
        <f>H8239+H8237+H8234</f>
        <v>2836970</v>
      </c>
      <c r="I8240" s="47"/>
    </row>
    <row r="8241" spans="3:11" x14ac:dyDescent="0.3">
      <c r="C8241" s="30" t="s">
        <v>35</v>
      </c>
      <c r="D8241" s="31" t="s">
        <v>36</v>
      </c>
      <c r="E8241" s="32"/>
      <c r="F8241" s="33"/>
      <c r="G8241" s="34">
        <f>$M$9</f>
        <v>0.1</v>
      </c>
      <c r="H8241" s="19">
        <f>H8240*G8241</f>
        <v>283697</v>
      </c>
      <c r="I8241" s="47"/>
    </row>
    <row r="8242" spans="3:11" x14ac:dyDescent="0.3">
      <c r="C8242" s="30" t="s">
        <v>37</v>
      </c>
      <c r="D8242" s="31" t="s">
        <v>38</v>
      </c>
      <c r="E8242" s="32"/>
      <c r="F8242" s="32"/>
      <c r="G8242" s="33"/>
      <c r="H8242" s="48">
        <f>SUM(H8240:H8241)</f>
        <v>3120667</v>
      </c>
      <c r="I8242" s="47"/>
    </row>
    <row r="8245" spans="3:11" x14ac:dyDescent="0.3">
      <c r="C8245" s="2" t="s">
        <v>1534</v>
      </c>
      <c r="D8245" s="2" t="s">
        <v>1535</v>
      </c>
    </row>
    <row r="8246" spans="3:11" x14ac:dyDescent="0.3">
      <c r="C8246" s="56" t="s">
        <v>1536</v>
      </c>
      <c r="D8246" s="69" t="s">
        <v>1537</v>
      </c>
      <c r="E8246" s="58"/>
      <c r="F8246" s="58"/>
      <c r="G8246" s="58"/>
      <c r="H8246" s="58"/>
      <c r="I8246" s="10">
        <f>ROUNDDOWN(H8266,0)</f>
        <v>1163462</v>
      </c>
      <c r="J8246" s="15"/>
      <c r="K8246" s="39"/>
    </row>
    <row r="8247" spans="3:11" ht="27.6" x14ac:dyDescent="0.3">
      <c r="C8247" s="11" t="s">
        <v>9</v>
      </c>
      <c r="D8247" s="11" t="s">
        <v>10</v>
      </c>
      <c r="E8247" s="11" t="s">
        <v>11</v>
      </c>
      <c r="F8247" s="11" t="s">
        <v>12</v>
      </c>
      <c r="G8247" s="11" t="s">
        <v>13</v>
      </c>
      <c r="H8247" s="11" t="s">
        <v>14</v>
      </c>
    </row>
    <row r="8248" spans="3:11" x14ac:dyDescent="0.25">
      <c r="C8248" s="12" t="s">
        <v>15</v>
      </c>
      <c r="D8248" s="13" t="s">
        <v>16</v>
      </c>
      <c r="E8248" s="14"/>
      <c r="F8248" s="14"/>
      <c r="G8248" s="14"/>
      <c r="H8248" s="14"/>
    </row>
    <row r="8249" spans="3:11" x14ac:dyDescent="0.3">
      <c r="C8249" s="16">
        <v>1</v>
      </c>
      <c r="D8249" s="13" t="s">
        <v>18</v>
      </c>
      <c r="E8249" s="17" t="s">
        <v>19</v>
      </c>
      <c r="F8249" s="18">
        <v>0.20499999999999999</v>
      </c>
      <c r="G8249" s="19">
        <f>VLOOKUP(D8249,upahbahan,3,FALSE)</f>
        <v>100000</v>
      </c>
      <c r="H8249" s="19">
        <f t="shared" ref="H8249:H8252" si="866">F8249*G8249</f>
        <v>20500</v>
      </c>
    </row>
    <row r="8250" spans="3:11" x14ac:dyDescent="0.3">
      <c r="C8250" s="16">
        <v>2</v>
      </c>
      <c r="D8250" s="13" t="s">
        <v>21</v>
      </c>
      <c r="E8250" s="17" t="s">
        <v>19</v>
      </c>
      <c r="F8250" s="18">
        <v>0.34200000000000003</v>
      </c>
      <c r="G8250" s="19">
        <f>VLOOKUP(D8250,upahbahan,3,FALSE)</f>
        <v>145000</v>
      </c>
      <c r="H8250" s="19">
        <f t="shared" si="866"/>
        <v>49590.000000000007</v>
      </c>
    </row>
    <row r="8251" spans="3:11" x14ac:dyDescent="0.3">
      <c r="C8251" s="16">
        <v>3</v>
      </c>
      <c r="D8251" s="13" t="s">
        <v>1224</v>
      </c>
      <c r="E8251" s="17" t="s">
        <v>19</v>
      </c>
      <c r="F8251" s="18">
        <v>3.4000000000000002E-2</v>
      </c>
      <c r="G8251" s="19">
        <f>VLOOKUP(D8251,upahbahan,3,FALSE)</f>
        <v>175000</v>
      </c>
      <c r="H8251" s="19">
        <f t="shared" si="866"/>
        <v>5950</v>
      </c>
    </row>
    <row r="8252" spans="3:11" x14ac:dyDescent="0.3">
      <c r="C8252" s="16">
        <v>4</v>
      </c>
      <c r="D8252" s="13" t="s">
        <v>23</v>
      </c>
      <c r="E8252" s="17" t="s">
        <v>19</v>
      </c>
      <c r="F8252" s="18">
        <v>1.0999999999999999E-2</v>
      </c>
      <c r="G8252" s="19">
        <f>VLOOKUP(D8252,upahbahan,3,FALSE)</f>
        <v>200000</v>
      </c>
      <c r="H8252" s="19">
        <f t="shared" si="866"/>
        <v>2200</v>
      </c>
    </row>
    <row r="8253" spans="3:11" x14ac:dyDescent="0.3">
      <c r="C8253" s="21" t="s">
        <v>24</v>
      </c>
      <c r="D8253" s="22"/>
      <c r="E8253" s="22"/>
      <c r="F8253" s="54"/>
      <c r="G8253" s="24"/>
      <c r="H8253" s="19">
        <f>SUM(H8249:H8252)</f>
        <v>78240</v>
      </c>
      <c r="I8253" s="25"/>
    </row>
    <row r="8254" spans="3:11" x14ac:dyDescent="0.25">
      <c r="C8254" s="12" t="s">
        <v>25</v>
      </c>
      <c r="D8254" s="13" t="s">
        <v>26</v>
      </c>
      <c r="E8254" s="14"/>
      <c r="F8254" s="55"/>
      <c r="G8254" s="14"/>
      <c r="H8254" s="14"/>
    </row>
    <row r="8255" spans="3:11" x14ac:dyDescent="0.25">
      <c r="C8255" s="12">
        <v>1</v>
      </c>
      <c r="D8255" s="13" t="s">
        <v>465</v>
      </c>
      <c r="E8255" s="53" t="s">
        <v>974</v>
      </c>
      <c r="F8255" s="115">
        <v>27.5</v>
      </c>
      <c r="G8255" s="19">
        <f t="shared" ref="G8255:G8260" si="867">VLOOKUP(D8255,upahbahan,3,FALSE)</f>
        <v>22800</v>
      </c>
      <c r="H8255" s="19">
        <f t="shared" ref="H8255:H8260" si="868">F8255*G8255</f>
        <v>627000</v>
      </c>
    </row>
    <row r="8256" spans="3:11" x14ac:dyDescent="0.25">
      <c r="C8256" s="12">
        <v>2</v>
      </c>
      <c r="D8256" s="13" t="s">
        <v>975</v>
      </c>
      <c r="E8256" s="53" t="s">
        <v>974</v>
      </c>
      <c r="F8256" s="115">
        <v>27.5</v>
      </c>
      <c r="G8256" s="19">
        <f t="shared" si="867"/>
        <v>4000</v>
      </c>
      <c r="H8256" s="19">
        <f t="shared" si="868"/>
        <v>110000</v>
      </c>
    </row>
    <row r="8257" spans="3:11" x14ac:dyDescent="0.25">
      <c r="C8257" s="12">
        <v>3</v>
      </c>
      <c r="D8257" s="13" t="s">
        <v>977</v>
      </c>
      <c r="E8257" s="53" t="s">
        <v>506</v>
      </c>
      <c r="F8257" s="115">
        <v>14</v>
      </c>
      <c r="G8257" s="19">
        <f t="shared" si="867"/>
        <v>700</v>
      </c>
      <c r="H8257" s="19">
        <f t="shared" si="868"/>
        <v>9800</v>
      </c>
    </row>
    <row r="8258" spans="3:11" x14ac:dyDescent="0.25">
      <c r="C8258" s="12">
        <v>4</v>
      </c>
      <c r="D8258" s="13" t="s">
        <v>1103</v>
      </c>
      <c r="E8258" s="53" t="s">
        <v>506</v>
      </c>
      <c r="F8258" s="115">
        <v>28</v>
      </c>
      <c r="G8258" s="19">
        <f t="shared" si="867"/>
        <v>900</v>
      </c>
      <c r="H8258" s="19">
        <f t="shared" si="868"/>
        <v>25200</v>
      </c>
    </row>
    <row r="8259" spans="3:11" x14ac:dyDescent="0.25">
      <c r="C8259" s="12">
        <v>5</v>
      </c>
      <c r="D8259" s="13" t="s">
        <v>979</v>
      </c>
      <c r="E8259" s="53" t="s">
        <v>506</v>
      </c>
      <c r="F8259" s="115">
        <v>42</v>
      </c>
      <c r="G8259" s="19">
        <f t="shared" si="867"/>
        <v>21.5</v>
      </c>
      <c r="H8259" s="19">
        <f t="shared" si="868"/>
        <v>903</v>
      </c>
    </row>
    <row r="8260" spans="3:11" x14ac:dyDescent="0.25">
      <c r="C8260" s="12">
        <v>6</v>
      </c>
      <c r="D8260" s="13" t="s">
        <v>1538</v>
      </c>
      <c r="E8260" s="53" t="s">
        <v>506</v>
      </c>
      <c r="F8260" s="115">
        <v>81</v>
      </c>
      <c r="G8260" s="19">
        <f t="shared" si="867"/>
        <v>2550</v>
      </c>
      <c r="H8260" s="19">
        <f t="shared" si="868"/>
        <v>206550</v>
      </c>
    </row>
    <row r="8261" spans="3:11" x14ac:dyDescent="0.3">
      <c r="C8261" s="21" t="s">
        <v>29</v>
      </c>
      <c r="D8261" s="22"/>
      <c r="E8261" s="22" t="s">
        <v>1340</v>
      </c>
      <c r="F8261" s="22"/>
      <c r="G8261" s="28"/>
      <c r="H8261" s="19">
        <f>SUM(H8254:H8260)</f>
        <v>979453</v>
      </c>
    </row>
    <row r="8262" spans="3:11" x14ac:dyDescent="0.25">
      <c r="C8262" s="12" t="s">
        <v>30</v>
      </c>
      <c r="D8262" s="13" t="s">
        <v>31</v>
      </c>
      <c r="E8262" s="14"/>
      <c r="F8262" s="14"/>
      <c r="G8262" s="14"/>
      <c r="H8262" s="14"/>
    </row>
    <row r="8263" spans="3:11" x14ac:dyDescent="0.3">
      <c r="C8263" s="21" t="s">
        <v>32</v>
      </c>
      <c r="D8263" s="77"/>
      <c r="E8263" s="77"/>
      <c r="F8263" s="77"/>
      <c r="G8263" s="28"/>
      <c r="H8263" s="29">
        <f>SUM(H8262:H8262)</f>
        <v>0</v>
      </c>
    </row>
    <row r="8264" spans="3:11" x14ac:dyDescent="0.3">
      <c r="C8264" s="30" t="s">
        <v>33</v>
      </c>
      <c r="D8264" s="31" t="s">
        <v>34</v>
      </c>
      <c r="E8264" s="32"/>
      <c r="F8264" s="32"/>
      <c r="G8264" s="33"/>
      <c r="H8264" s="46">
        <f>H8263+H8261+H8253</f>
        <v>1057693</v>
      </c>
      <c r="I8264" s="47"/>
    </row>
    <row r="8265" spans="3:11" x14ac:dyDescent="0.3">
      <c r="C8265" s="30" t="s">
        <v>35</v>
      </c>
      <c r="D8265" s="31" t="s">
        <v>36</v>
      </c>
      <c r="E8265" s="32"/>
      <c r="F8265" s="33"/>
      <c r="G8265" s="34">
        <f>$M$9</f>
        <v>0.1</v>
      </c>
      <c r="H8265" s="19">
        <f>H8264*G8265</f>
        <v>105769.3</v>
      </c>
      <c r="I8265" s="47"/>
    </row>
    <row r="8266" spans="3:11" x14ac:dyDescent="0.3">
      <c r="C8266" s="30" t="s">
        <v>37</v>
      </c>
      <c r="D8266" s="31" t="s">
        <v>38</v>
      </c>
      <c r="E8266" s="32"/>
      <c r="F8266" s="32"/>
      <c r="G8266" s="33"/>
      <c r="H8266" s="48">
        <f>SUM(H8264:H8265)</f>
        <v>1163462.3</v>
      </c>
      <c r="I8266" s="47"/>
    </row>
    <row r="8268" spans="3:11" x14ac:dyDescent="0.3">
      <c r="C8268" s="56" t="s">
        <v>1539</v>
      </c>
      <c r="D8268" s="69" t="s">
        <v>1540</v>
      </c>
      <c r="E8268" s="58"/>
      <c r="F8268" s="58"/>
      <c r="G8268" s="58"/>
      <c r="H8268" s="58"/>
      <c r="I8268" s="10">
        <f>ROUNDDOWN(H8283,0)</f>
        <v>142604</v>
      </c>
      <c r="J8268" s="15"/>
      <c r="K8268" s="39"/>
    </row>
    <row r="8269" spans="3:11" ht="27.6" x14ac:dyDescent="0.3">
      <c r="C8269" s="11" t="s">
        <v>9</v>
      </c>
      <c r="D8269" s="11" t="s">
        <v>10</v>
      </c>
      <c r="E8269" s="11" t="s">
        <v>11</v>
      </c>
      <c r="F8269" s="11" t="s">
        <v>12</v>
      </c>
      <c r="G8269" s="11" t="s">
        <v>13</v>
      </c>
      <c r="H8269" s="11" t="s">
        <v>14</v>
      </c>
    </row>
    <row r="8270" spans="3:11" x14ac:dyDescent="0.25">
      <c r="C8270" s="12" t="s">
        <v>15</v>
      </c>
      <c r="D8270" s="13" t="s">
        <v>16</v>
      </c>
      <c r="E8270" s="14"/>
      <c r="F8270" s="14"/>
      <c r="G8270" s="14"/>
      <c r="H8270" s="14"/>
    </row>
    <row r="8271" spans="3:11" x14ac:dyDescent="0.3">
      <c r="C8271" s="16">
        <v>1</v>
      </c>
      <c r="D8271" s="13" t="s">
        <v>18</v>
      </c>
      <c r="E8271" s="17" t="s">
        <v>19</v>
      </c>
      <c r="F8271" s="18">
        <v>6.4000000000000001E-2</v>
      </c>
      <c r="G8271" s="19">
        <f>VLOOKUP(D8271,upahbahan,3,FALSE)</f>
        <v>100000</v>
      </c>
      <c r="H8271" s="19">
        <f t="shared" ref="H8271:H8274" si="869">F8271*G8271</f>
        <v>6400</v>
      </c>
    </row>
    <row r="8272" spans="3:11" x14ac:dyDescent="0.3">
      <c r="C8272" s="16">
        <v>2</v>
      </c>
      <c r="D8272" s="13" t="s">
        <v>21</v>
      </c>
      <c r="E8272" s="17" t="s">
        <v>19</v>
      </c>
      <c r="F8272" s="18">
        <v>0.107</v>
      </c>
      <c r="G8272" s="19">
        <f>VLOOKUP(D8272,upahbahan,3,FALSE)</f>
        <v>145000</v>
      </c>
      <c r="H8272" s="19">
        <f t="shared" si="869"/>
        <v>15515</v>
      </c>
    </row>
    <row r="8273" spans="3:11" x14ac:dyDescent="0.3">
      <c r="C8273" s="16">
        <v>3</v>
      </c>
      <c r="D8273" s="13" t="s">
        <v>1224</v>
      </c>
      <c r="E8273" s="17" t="s">
        <v>19</v>
      </c>
      <c r="F8273" s="18">
        <v>1.0999999999999999E-2</v>
      </c>
      <c r="G8273" s="19">
        <f>VLOOKUP(D8273,upahbahan,3,FALSE)</f>
        <v>175000</v>
      </c>
      <c r="H8273" s="19">
        <f t="shared" si="869"/>
        <v>1925</v>
      </c>
    </row>
    <row r="8274" spans="3:11" x14ac:dyDescent="0.3">
      <c r="C8274" s="16">
        <v>4</v>
      </c>
      <c r="D8274" s="13" t="s">
        <v>23</v>
      </c>
      <c r="E8274" s="17" t="s">
        <v>19</v>
      </c>
      <c r="F8274" s="18">
        <v>4.0000000000000001E-3</v>
      </c>
      <c r="G8274" s="19">
        <f>VLOOKUP(D8274,upahbahan,3,FALSE)</f>
        <v>200000</v>
      </c>
      <c r="H8274" s="19">
        <f t="shared" si="869"/>
        <v>800</v>
      </c>
    </row>
    <row r="8275" spans="3:11" x14ac:dyDescent="0.3">
      <c r="C8275" s="21" t="s">
        <v>24</v>
      </c>
      <c r="D8275" s="22"/>
      <c r="E8275" s="22"/>
      <c r="F8275" s="54"/>
      <c r="G8275" s="24"/>
      <c r="H8275" s="19">
        <f>SUM(H8271:H8274)</f>
        <v>24640</v>
      </c>
      <c r="I8275" s="25"/>
    </row>
    <row r="8276" spans="3:11" x14ac:dyDescent="0.25">
      <c r="C8276" s="12" t="s">
        <v>25</v>
      </c>
      <c r="D8276" s="13" t="s">
        <v>26</v>
      </c>
      <c r="E8276" s="14"/>
      <c r="F8276" s="55"/>
      <c r="G8276" s="14"/>
      <c r="H8276" s="14"/>
    </row>
    <row r="8277" spans="3:11" x14ac:dyDescent="0.25">
      <c r="C8277" s="12">
        <v>1</v>
      </c>
      <c r="D8277" s="13" t="s">
        <v>1541</v>
      </c>
      <c r="E8277" s="53" t="s">
        <v>1542</v>
      </c>
      <c r="F8277" s="115">
        <v>1.05</v>
      </c>
      <c r="G8277" s="19">
        <f>VLOOKUP(D8277,upahbahan,3,FALSE)</f>
        <v>100000</v>
      </c>
      <c r="H8277" s="19">
        <f t="shared" ref="H8277" si="870">F8277*G8277</f>
        <v>105000</v>
      </c>
    </row>
    <row r="8278" spans="3:11" x14ac:dyDescent="0.3">
      <c r="C8278" s="21" t="s">
        <v>29</v>
      </c>
      <c r="D8278" s="22"/>
      <c r="E8278" s="22" t="s">
        <v>1340</v>
      </c>
      <c r="F8278" s="22"/>
      <c r="G8278" s="28"/>
      <c r="H8278" s="19">
        <f>SUM(H8276:H8277)</f>
        <v>105000</v>
      </c>
    </row>
    <row r="8279" spans="3:11" x14ac:dyDescent="0.25">
      <c r="C8279" s="12" t="s">
        <v>30</v>
      </c>
      <c r="D8279" s="13" t="s">
        <v>31</v>
      </c>
      <c r="E8279" s="14"/>
      <c r="F8279" s="14"/>
      <c r="G8279" s="14"/>
      <c r="H8279" s="14"/>
    </row>
    <row r="8280" spans="3:11" x14ac:dyDescent="0.3">
      <c r="C8280" s="21" t="s">
        <v>32</v>
      </c>
      <c r="D8280" s="77"/>
      <c r="E8280" s="77"/>
      <c r="F8280" s="77"/>
      <c r="G8280" s="28"/>
      <c r="H8280" s="29">
        <f>SUM(H8279:H8279)</f>
        <v>0</v>
      </c>
    </row>
    <row r="8281" spans="3:11" x14ac:dyDescent="0.3">
      <c r="C8281" s="30" t="s">
        <v>33</v>
      </c>
      <c r="D8281" s="31" t="s">
        <v>34</v>
      </c>
      <c r="E8281" s="32"/>
      <c r="F8281" s="32"/>
      <c r="G8281" s="33"/>
      <c r="H8281" s="46">
        <f>H8280+H8278+H8275</f>
        <v>129640</v>
      </c>
      <c r="I8281" s="47"/>
    </row>
    <row r="8282" spans="3:11" x14ac:dyDescent="0.3">
      <c r="C8282" s="30" t="s">
        <v>35</v>
      </c>
      <c r="D8282" s="31" t="s">
        <v>36</v>
      </c>
      <c r="E8282" s="32"/>
      <c r="F8282" s="33"/>
      <c r="G8282" s="34">
        <f>$M$9</f>
        <v>0.1</v>
      </c>
      <c r="H8282" s="19">
        <f>H8281*G8282</f>
        <v>12964</v>
      </c>
      <c r="I8282" s="47"/>
    </row>
    <row r="8283" spans="3:11" x14ac:dyDescent="0.3">
      <c r="C8283" s="30" t="s">
        <v>37</v>
      </c>
      <c r="D8283" s="31" t="s">
        <v>38</v>
      </c>
      <c r="E8283" s="32"/>
      <c r="F8283" s="32"/>
      <c r="G8283" s="33"/>
      <c r="H8283" s="48">
        <f>SUM(H8281:H8282)</f>
        <v>142604</v>
      </c>
      <c r="I8283" s="47"/>
    </row>
    <row r="8285" spans="3:11" x14ac:dyDescent="0.3">
      <c r="C8285" s="40" t="s">
        <v>1543</v>
      </c>
      <c r="D8285" s="68" t="s">
        <v>1544</v>
      </c>
      <c r="E8285" s="44"/>
      <c r="F8285" s="44"/>
      <c r="G8285" s="44"/>
      <c r="H8285" s="44"/>
      <c r="I8285" s="10">
        <f>ROUNDDOWN(H8300,0)</f>
        <v>171479</v>
      </c>
      <c r="J8285" s="15"/>
      <c r="K8285" s="39"/>
    </row>
    <row r="8286" spans="3:11" ht="27.6" x14ac:dyDescent="0.3">
      <c r="C8286" s="11" t="s">
        <v>9</v>
      </c>
      <c r="D8286" s="11" t="s">
        <v>10</v>
      </c>
      <c r="E8286" s="11" t="s">
        <v>11</v>
      </c>
      <c r="F8286" s="11" t="s">
        <v>12</v>
      </c>
      <c r="G8286" s="11" t="s">
        <v>13</v>
      </c>
      <c r="H8286" s="11" t="s">
        <v>14</v>
      </c>
    </row>
    <row r="8287" spans="3:11" x14ac:dyDescent="0.25">
      <c r="C8287" s="12" t="s">
        <v>15</v>
      </c>
      <c r="D8287" s="13" t="s">
        <v>16</v>
      </c>
      <c r="E8287" s="14"/>
      <c r="F8287" s="14"/>
      <c r="G8287" s="14"/>
      <c r="H8287" s="14"/>
    </row>
    <row r="8288" spans="3:11" x14ac:dyDescent="0.3">
      <c r="C8288" s="16">
        <v>1</v>
      </c>
      <c r="D8288" s="13" t="s">
        <v>18</v>
      </c>
      <c r="E8288" s="17" t="s">
        <v>19</v>
      </c>
      <c r="F8288" s="18">
        <v>6.4000000000000001E-2</v>
      </c>
      <c r="G8288" s="19">
        <f>VLOOKUP(D8288,upahbahan,3,FALSE)</f>
        <v>100000</v>
      </c>
      <c r="H8288" s="19">
        <f t="shared" ref="H8288:H8291" si="871">F8288*G8288</f>
        <v>6400</v>
      </c>
    </row>
    <row r="8289" spans="3:11" x14ac:dyDescent="0.3">
      <c r="C8289" s="16">
        <v>2</v>
      </c>
      <c r="D8289" s="13" t="s">
        <v>21</v>
      </c>
      <c r="E8289" s="17" t="s">
        <v>19</v>
      </c>
      <c r="F8289" s="18">
        <v>0.107</v>
      </c>
      <c r="G8289" s="19">
        <f>VLOOKUP(D8289,upahbahan,3,FALSE)</f>
        <v>145000</v>
      </c>
      <c r="H8289" s="19">
        <f t="shared" si="871"/>
        <v>15515</v>
      </c>
    </row>
    <row r="8290" spans="3:11" x14ac:dyDescent="0.3">
      <c r="C8290" s="16">
        <v>3</v>
      </c>
      <c r="D8290" s="13" t="s">
        <v>1224</v>
      </c>
      <c r="E8290" s="17" t="s">
        <v>19</v>
      </c>
      <c r="F8290" s="18">
        <v>1.0999999999999999E-2</v>
      </c>
      <c r="G8290" s="19">
        <f>VLOOKUP(D8290,upahbahan,3,FALSE)</f>
        <v>175000</v>
      </c>
      <c r="H8290" s="19">
        <f t="shared" si="871"/>
        <v>1925</v>
      </c>
    </row>
    <row r="8291" spans="3:11" x14ac:dyDescent="0.3">
      <c r="C8291" s="16">
        <v>4</v>
      </c>
      <c r="D8291" s="13" t="s">
        <v>23</v>
      </c>
      <c r="E8291" s="17" t="s">
        <v>19</v>
      </c>
      <c r="F8291" s="18">
        <v>4.0000000000000001E-3</v>
      </c>
      <c r="G8291" s="19">
        <f>VLOOKUP(D8291,upahbahan,3,FALSE)</f>
        <v>200000</v>
      </c>
      <c r="H8291" s="19">
        <f t="shared" si="871"/>
        <v>800</v>
      </c>
    </row>
    <row r="8292" spans="3:11" x14ac:dyDescent="0.3">
      <c r="C8292" s="21" t="s">
        <v>24</v>
      </c>
      <c r="D8292" s="22"/>
      <c r="E8292" s="22"/>
      <c r="F8292" s="54"/>
      <c r="G8292" s="24"/>
      <c r="H8292" s="19">
        <f>SUM(H8288:H8291)</f>
        <v>24640</v>
      </c>
      <c r="I8292" s="25"/>
    </row>
    <row r="8293" spans="3:11" x14ac:dyDescent="0.25">
      <c r="C8293" s="12" t="s">
        <v>25</v>
      </c>
      <c r="D8293" s="13" t="s">
        <v>26</v>
      </c>
      <c r="E8293" s="14"/>
      <c r="F8293" s="55"/>
      <c r="G8293" s="14"/>
      <c r="H8293" s="14"/>
    </row>
    <row r="8294" spans="3:11" x14ac:dyDescent="0.25">
      <c r="C8294" s="12">
        <v>1</v>
      </c>
      <c r="D8294" s="13" t="s">
        <v>1545</v>
      </c>
      <c r="E8294" s="53" t="s">
        <v>1542</v>
      </c>
      <c r="F8294" s="115">
        <v>1.05</v>
      </c>
      <c r="G8294" s="19">
        <f>VLOOKUP(D8294,upahbahan,3,FALSE)</f>
        <v>125000</v>
      </c>
      <c r="H8294" s="19">
        <f t="shared" ref="H8294" si="872">F8294*G8294</f>
        <v>131250</v>
      </c>
    </row>
    <row r="8295" spans="3:11" x14ac:dyDescent="0.3">
      <c r="C8295" s="21" t="s">
        <v>29</v>
      </c>
      <c r="D8295" s="22"/>
      <c r="E8295" s="22" t="s">
        <v>1340</v>
      </c>
      <c r="F8295" s="22"/>
      <c r="G8295" s="28"/>
      <c r="H8295" s="19">
        <f>SUM(H8293:H8294)</f>
        <v>131250</v>
      </c>
    </row>
    <row r="8296" spans="3:11" x14ac:dyDescent="0.25">
      <c r="C8296" s="12" t="s">
        <v>30</v>
      </c>
      <c r="D8296" s="13" t="s">
        <v>31</v>
      </c>
      <c r="E8296" s="14"/>
      <c r="F8296" s="14"/>
      <c r="G8296" s="14"/>
      <c r="H8296" s="14"/>
    </row>
    <row r="8297" spans="3:11" x14ac:dyDescent="0.3">
      <c r="C8297" s="21" t="s">
        <v>32</v>
      </c>
      <c r="D8297" s="77"/>
      <c r="E8297" s="77"/>
      <c r="F8297" s="77"/>
      <c r="G8297" s="28"/>
      <c r="H8297" s="29">
        <f>SUM(H8296:H8296)</f>
        <v>0</v>
      </c>
    </row>
    <row r="8298" spans="3:11" x14ac:dyDescent="0.3">
      <c r="C8298" s="30" t="s">
        <v>33</v>
      </c>
      <c r="D8298" s="31" t="s">
        <v>34</v>
      </c>
      <c r="E8298" s="32"/>
      <c r="F8298" s="32"/>
      <c r="G8298" s="33"/>
      <c r="H8298" s="46">
        <f>H8297+H8295+H8292</f>
        <v>155890</v>
      </c>
      <c r="I8298" s="47"/>
    </row>
    <row r="8299" spans="3:11" x14ac:dyDescent="0.3">
      <c r="C8299" s="30" t="s">
        <v>35</v>
      </c>
      <c r="D8299" s="31" t="s">
        <v>36</v>
      </c>
      <c r="E8299" s="32"/>
      <c r="F8299" s="33"/>
      <c r="G8299" s="34">
        <f>$M$9</f>
        <v>0.1</v>
      </c>
      <c r="H8299" s="19">
        <f>H8298*G8299</f>
        <v>15589</v>
      </c>
      <c r="I8299" s="47"/>
    </row>
    <row r="8300" spans="3:11" x14ac:dyDescent="0.3">
      <c r="C8300" s="30" t="s">
        <v>37</v>
      </c>
      <c r="D8300" s="31" t="s">
        <v>38</v>
      </c>
      <c r="E8300" s="32"/>
      <c r="F8300" s="32"/>
      <c r="G8300" s="33"/>
      <c r="H8300" s="48">
        <f>SUM(H8298:H8299)</f>
        <v>171479</v>
      </c>
      <c r="I8300" s="47"/>
    </row>
    <row r="8303" spans="3:11" x14ac:dyDescent="0.3">
      <c r="C8303" s="56" t="s">
        <v>1546</v>
      </c>
      <c r="D8303" s="69" t="s">
        <v>1547</v>
      </c>
      <c r="E8303" s="58"/>
      <c r="F8303" s="58"/>
      <c r="G8303" s="58"/>
      <c r="H8303" s="58"/>
      <c r="I8303" s="10">
        <f>ROUNDDOWN(H8318,0)</f>
        <v>310739</v>
      </c>
      <c r="J8303" s="15"/>
      <c r="K8303" s="39"/>
    </row>
    <row r="8304" spans="3:11" ht="27.6" x14ac:dyDescent="0.3">
      <c r="C8304" s="11" t="s">
        <v>9</v>
      </c>
      <c r="D8304" s="11" t="s">
        <v>10</v>
      </c>
      <c r="E8304" s="11" t="s">
        <v>11</v>
      </c>
      <c r="F8304" s="11" t="s">
        <v>12</v>
      </c>
      <c r="G8304" s="11" t="s">
        <v>13</v>
      </c>
      <c r="H8304" s="11" t="s">
        <v>14</v>
      </c>
    </row>
    <row r="8305" spans="3:11" x14ac:dyDescent="0.25">
      <c r="C8305" s="12" t="s">
        <v>15</v>
      </c>
      <c r="D8305" s="13" t="s">
        <v>16</v>
      </c>
      <c r="E8305" s="14"/>
      <c r="F8305" s="14"/>
      <c r="G8305" s="14"/>
      <c r="H8305" s="14"/>
    </row>
    <row r="8306" spans="3:11" x14ac:dyDescent="0.3">
      <c r="C8306" s="16">
        <v>1</v>
      </c>
      <c r="D8306" s="13" t="s">
        <v>18</v>
      </c>
      <c r="E8306" s="17" t="s">
        <v>19</v>
      </c>
      <c r="F8306" s="18">
        <v>5.1999999999999998E-2</v>
      </c>
      <c r="G8306" s="19">
        <f>VLOOKUP(D8306,upahbahan,3,FALSE)</f>
        <v>100000</v>
      </c>
      <c r="H8306" s="19">
        <f t="shared" ref="H8306:H8309" si="873">F8306*G8306</f>
        <v>5200</v>
      </c>
    </row>
    <row r="8307" spans="3:11" x14ac:dyDescent="0.3">
      <c r="C8307" s="16">
        <v>2</v>
      </c>
      <c r="D8307" s="13" t="s">
        <v>21</v>
      </c>
      <c r="E8307" s="17" t="s">
        <v>19</v>
      </c>
      <c r="F8307" s="18">
        <v>8.6999999999999994E-2</v>
      </c>
      <c r="G8307" s="19">
        <f>VLOOKUP(D8307,upahbahan,3,FALSE)</f>
        <v>145000</v>
      </c>
      <c r="H8307" s="19">
        <f t="shared" si="873"/>
        <v>12615</v>
      </c>
    </row>
    <row r="8308" spans="3:11" x14ac:dyDescent="0.3">
      <c r="C8308" s="16">
        <v>3</v>
      </c>
      <c r="D8308" s="13" t="s">
        <v>1224</v>
      </c>
      <c r="E8308" s="17" t="s">
        <v>19</v>
      </c>
      <c r="F8308" s="18">
        <v>8.9999999999999993E-3</v>
      </c>
      <c r="G8308" s="19">
        <f>VLOOKUP(D8308,upahbahan,3,FALSE)</f>
        <v>175000</v>
      </c>
      <c r="H8308" s="19">
        <f t="shared" si="873"/>
        <v>1574.9999999999998</v>
      </c>
    </row>
    <row r="8309" spans="3:11" x14ac:dyDescent="0.3">
      <c r="C8309" s="16">
        <v>4</v>
      </c>
      <c r="D8309" s="13" t="s">
        <v>23</v>
      </c>
      <c r="E8309" s="17" t="s">
        <v>19</v>
      </c>
      <c r="F8309" s="18">
        <v>3.0000000000000001E-3</v>
      </c>
      <c r="G8309" s="19">
        <f>VLOOKUP(D8309,upahbahan,3,FALSE)</f>
        <v>200000</v>
      </c>
      <c r="H8309" s="19">
        <f t="shared" si="873"/>
        <v>600</v>
      </c>
    </row>
    <row r="8310" spans="3:11" x14ac:dyDescent="0.3">
      <c r="C8310" s="21" t="s">
        <v>24</v>
      </c>
      <c r="D8310" s="22"/>
      <c r="E8310" s="22"/>
      <c r="F8310" s="54"/>
      <c r="G8310" s="24"/>
      <c r="H8310" s="19">
        <f>SUM(H8306:H8309)</f>
        <v>19990</v>
      </c>
      <c r="I8310" s="25"/>
    </row>
    <row r="8311" spans="3:11" x14ac:dyDescent="0.25">
      <c r="C8311" s="12" t="s">
        <v>25</v>
      </c>
      <c r="D8311" s="13" t="s">
        <v>26</v>
      </c>
      <c r="E8311" s="14"/>
      <c r="F8311" s="55"/>
      <c r="G8311" s="14"/>
      <c r="H8311" s="14"/>
    </row>
    <row r="8312" spans="3:11" x14ac:dyDescent="0.25">
      <c r="C8312" s="12">
        <v>1</v>
      </c>
      <c r="D8312" s="13" t="s">
        <v>1548</v>
      </c>
      <c r="E8312" s="53" t="s">
        <v>1542</v>
      </c>
      <c r="F8312" s="115">
        <v>1.05</v>
      </c>
      <c r="G8312" s="19">
        <f>VLOOKUP(D8312,upahbahan,3,FALSE)</f>
        <v>250000</v>
      </c>
      <c r="H8312" s="19">
        <f t="shared" ref="H8312" si="874">F8312*G8312</f>
        <v>262500</v>
      </c>
    </row>
    <row r="8313" spans="3:11" x14ac:dyDescent="0.3">
      <c r="C8313" s="21" t="s">
        <v>29</v>
      </c>
      <c r="D8313" s="22"/>
      <c r="E8313" s="22" t="s">
        <v>1340</v>
      </c>
      <c r="F8313" s="22"/>
      <c r="G8313" s="28"/>
      <c r="H8313" s="19">
        <f>SUM(H8311:H8312)</f>
        <v>262500</v>
      </c>
    </row>
    <row r="8314" spans="3:11" x14ac:dyDescent="0.25">
      <c r="C8314" s="12" t="s">
        <v>30</v>
      </c>
      <c r="D8314" s="13" t="s">
        <v>31</v>
      </c>
      <c r="E8314" s="14"/>
      <c r="F8314" s="14"/>
      <c r="G8314" s="14"/>
      <c r="H8314" s="14"/>
    </row>
    <row r="8315" spans="3:11" x14ac:dyDescent="0.3">
      <c r="C8315" s="21" t="s">
        <v>32</v>
      </c>
      <c r="D8315" s="77"/>
      <c r="E8315" s="77"/>
      <c r="F8315" s="77"/>
      <c r="G8315" s="28"/>
      <c r="H8315" s="29">
        <f>SUM(H8314:H8314)</f>
        <v>0</v>
      </c>
    </row>
    <row r="8316" spans="3:11" x14ac:dyDescent="0.3">
      <c r="C8316" s="30" t="s">
        <v>33</v>
      </c>
      <c r="D8316" s="31" t="s">
        <v>34</v>
      </c>
      <c r="E8316" s="32"/>
      <c r="F8316" s="32"/>
      <c r="G8316" s="33"/>
      <c r="H8316" s="46">
        <f>H8315+H8313+H8310</f>
        <v>282490</v>
      </c>
      <c r="I8316" s="47"/>
    </row>
    <row r="8317" spans="3:11" x14ac:dyDescent="0.3">
      <c r="C8317" s="30" t="s">
        <v>35</v>
      </c>
      <c r="D8317" s="31" t="s">
        <v>36</v>
      </c>
      <c r="E8317" s="32"/>
      <c r="F8317" s="33"/>
      <c r="G8317" s="34">
        <f>$M$9</f>
        <v>0.1</v>
      </c>
      <c r="H8317" s="19">
        <f>H8316*G8317</f>
        <v>28249</v>
      </c>
      <c r="I8317" s="47"/>
    </row>
    <row r="8318" spans="3:11" x14ac:dyDescent="0.3">
      <c r="C8318" s="30" t="s">
        <v>37</v>
      </c>
      <c r="D8318" s="31" t="s">
        <v>38</v>
      </c>
      <c r="E8318" s="32"/>
      <c r="F8318" s="32"/>
      <c r="G8318" s="33"/>
      <c r="H8318" s="48">
        <f>SUM(H8316:H8317)</f>
        <v>310739</v>
      </c>
      <c r="I8318" s="47"/>
    </row>
    <row r="8320" spans="3:11" x14ac:dyDescent="0.3">
      <c r="C8320" s="56" t="s">
        <v>1549</v>
      </c>
      <c r="D8320" s="69" t="s">
        <v>1550</v>
      </c>
      <c r="E8320" s="58"/>
      <c r="F8320" s="58"/>
      <c r="G8320" s="58"/>
      <c r="H8320" s="58"/>
      <c r="I8320" s="10">
        <f>ROUNDDOWN(H8336,0)</f>
        <v>264297</v>
      </c>
      <c r="J8320" s="15"/>
      <c r="K8320" s="39"/>
    </row>
    <row r="8321" spans="3:9" ht="27.6" x14ac:dyDescent="0.3">
      <c r="C8321" s="11" t="s">
        <v>9</v>
      </c>
      <c r="D8321" s="11" t="s">
        <v>10</v>
      </c>
      <c r="E8321" s="11" t="s">
        <v>11</v>
      </c>
      <c r="F8321" s="11" t="s">
        <v>12</v>
      </c>
      <c r="G8321" s="11" t="s">
        <v>13</v>
      </c>
      <c r="H8321" s="11" t="s">
        <v>14</v>
      </c>
    </row>
    <row r="8322" spans="3:9" x14ac:dyDescent="0.25">
      <c r="C8322" s="12" t="s">
        <v>15</v>
      </c>
      <c r="D8322" s="13" t="s">
        <v>16</v>
      </c>
      <c r="E8322" s="14"/>
      <c r="F8322" s="14"/>
      <c r="G8322" s="14"/>
      <c r="H8322" s="14"/>
    </row>
    <row r="8323" spans="3:9" x14ac:dyDescent="0.3">
      <c r="C8323" s="16">
        <v>1</v>
      </c>
      <c r="D8323" s="13" t="s">
        <v>18</v>
      </c>
      <c r="E8323" s="17" t="s">
        <v>19</v>
      </c>
      <c r="F8323" s="18">
        <v>0.126</v>
      </c>
      <c r="G8323" s="19">
        <f>VLOOKUP(D8323,upahbahan,3,FALSE)</f>
        <v>100000</v>
      </c>
      <c r="H8323" s="19">
        <f t="shared" ref="H8323:H8326" si="875">F8323*G8323</f>
        <v>12600</v>
      </c>
    </row>
    <row r="8324" spans="3:9" x14ac:dyDescent="0.3">
      <c r="C8324" s="16">
        <v>2</v>
      </c>
      <c r="D8324" s="13" t="s">
        <v>21</v>
      </c>
      <c r="E8324" s="17" t="s">
        <v>19</v>
      </c>
      <c r="F8324" s="18">
        <v>0.21099999999999999</v>
      </c>
      <c r="G8324" s="19">
        <f>VLOOKUP(D8324,upahbahan,3,FALSE)</f>
        <v>145000</v>
      </c>
      <c r="H8324" s="19">
        <f t="shared" si="875"/>
        <v>30595</v>
      </c>
    </row>
    <row r="8325" spans="3:9" x14ac:dyDescent="0.3">
      <c r="C8325" s="16">
        <v>3</v>
      </c>
      <c r="D8325" s="13" t="s">
        <v>1224</v>
      </c>
      <c r="E8325" s="17" t="s">
        <v>19</v>
      </c>
      <c r="F8325" s="18">
        <v>2.1000000000000001E-2</v>
      </c>
      <c r="G8325" s="19">
        <f>VLOOKUP(D8325,upahbahan,3,FALSE)</f>
        <v>175000</v>
      </c>
      <c r="H8325" s="19">
        <f t="shared" si="875"/>
        <v>3675.0000000000005</v>
      </c>
    </row>
    <row r="8326" spans="3:9" x14ac:dyDescent="0.3">
      <c r="C8326" s="16">
        <v>4</v>
      </c>
      <c r="D8326" s="13" t="s">
        <v>23</v>
      </c>
      <c r="E8326" s="17" t="s">
        <v>19</v>
      </c>
      <c r="F8326" s="18">
        <v>7.0000000000000001E-3</v>
      </c>
      <c r="G8326" s="19">
        <f>VLOOKUP(D8326,upahbahan,3,FALSE)</f>
        <v>200000</v>
      </c>
      <c r="H8326" s="19">
        <f t="shared" si="875"/>
        <v>1400</v>
      </c>
    </row>
    <row r="8327" spans="3:9" x14ac:dyDescent="0.3">
      <c r="C8327" s="21" t="s">
        <v>24</v>
      </c>
      <c r="D8327" s="22"/>
      <c r="E8327" s="22"/>
      <c r="F8327" s="54"/>
      <c r="G8327" s="24"/>
      <c r="H8327" s="19">
        <f>SUM(H8323:H8326)</f>
        <v>48270</v>
      </c>
      <c r="I8327" s="25"/>
    </row>
    <row r="8328" spans="3:9" x14ac:dyDescent="0.25">
      <c r="C8328" s="12" t="s">
        <v>25</v>
      </c>
      <c r="D8328" s="13" t="s">
        <v>26</v>
      </c>
      <c r="E8328" s="14"/>
      <c r="F8328" s="55"/>
      <c r="G8328" s="14"/>
      <c r="H8328" s="14"/>
    </row>
    <row r="8329" spans="3:9" x14ac:dyDescent="0.25">
      <c r="C8329" s="12">
        <v>1</v>
      </c>
      <c r="D8329" s="13" t="s">
        <v>1551</v>
      </c>
      <c r="E8329" s="53" t="s">
        <v>1542</v>
      </c>
      <c r="F8329" s="115">
        <v>1.05</v>
      </c>
      <c r="G8329" s="19">
        <f>VLOOKUP(D8329,upahbahan,3,FALSE)</f>
        <v>130000</v>
      </c>
      <c r="H8329" s="19">
        <f t="shared" ref="H8329:H8330" si="876">F8329*G8329</f>
        <v>136500</v>
      </c>
    </row>
    <row r="8330" spans="3:9" x14ac:dyDescent="0.25">
      <c r="C8330" s="12">
        <v>2</v>
      </c>
      <c r="D8330" s="13" t="s">
        <v>1451</v>
      </c>
      <c r="E8330" s="53" t="s">
        <v>949</v>
      </c>
      <c r="F8330" s="115">
        <v>1</v>
      </c>
      <c r="G8330" s="19">
        <f>VLOOKUP(D8330,upahbahan,3,FALSE)</f>
        <v>55500</v>
      </c>
      <c r="H8330" s="19">
        <f t="shared" si="876"/>
        <v>55500</v>
      </c>
    </row>
    <row r="8331" spans="3:9" x14ac:dyDescent="0.3">
      <c r="C8331" s="21" t="s">
        <v>29</v>
      </c>
      <c r="D8331" s="22"/>
      <c r="E8331" s="22" t="s">
        <v>1340</v>
      </c>
      <c r="F8331" s="22"/>
      <c r="G8331" s="28"/>
      <c r="H8331" s="19">
        <f>SUM(H8328:H8330)</f>
        <v>192000</v>
      </c>
    </row>
    <row r="8332" spans="3:9" x14ac:dyDescent="0.25">
      <c r="C8332" s="12" t="s">
        <v>30</v>
      </c>
      <c r="D8332" s="13" t="s">
        <v>31</v>
      </c>
      <c r="E8332" s="14"/>
      <c r="F8332" s="14"/>
      <c r="G8332" s="14"/>
      <c r="H8332" s="14"/>
    </row>
    <row r="8333" spans="3:9" x14ac:dyDescent="0.3">
      <c r="C8333" s="21" t="s">
        <v>32</v>
      </c>
      <c r="D8333" s="77"/>
      <c r="E8333" s="77"/>
      <c r="F8333" s="77"/>
      <c r="G8333" s="28"/>
      <c r="H8333" s="29">
        <f>SUM(H8332:H8332)</f>
        <v>0</v>
      </c>
    </row>
    <row r="8334" spans="3:9" x14ac:dyDescent="0.3">
      <c r="C8334" s="30" t="s">
        <v>33</v>
      </c>
      <c r="D8334" s="31" t="s">
        <v>34</v>
      </c>
      <c r="E8334" s="32"/>
      <c r="F8334" s="32"/>
      <c r="G8334" s="33"/>
      <c r="H8334" s="46">
        <f>H8333+H8331+H8327</f>
        <v>240270</v>
      </c>
      <c r="I8334" s="47"/>
    </row>
    <row r="8335" spans="3:9" x14ac:dyDescent="0.3">
      <c r="C8335" s="30" t="s">
        <v>35</v>
      </c>
      <c r="D8335" s="31" t="s">
        <v>36</v>
      </c>
      <c r="E8335" s="32"/>
      <c r="F8335" s="33"/>
      <c r="G8335" s="34">
        <f>$M$9</f>
        <v>0.1</v>
      </c>
      <c r="H8335" s="19">
        <f>H8334*G8335</f>
        <v>24027</v>
      </c>
      <c r="I8335" s="47"/>
    </row>
    <row r="8336" spans="3:9" x14ac:dyDescent="0.3">
      <c r="C8336" s="30" t="s">
        <v>37</v>
      </c>
      <c r="D8336" s="31" t="s">
        <v>38</v>
      </c>
      <c r="E8336" s="32"/>
      <c r="F8336" s="32"/>
      <c r="G8336" s="33"/>
      <c r="H8336" s="48">
        <f>SUM(H8334:H8335)</f>
        <v>264297</v>
      </c>
      <c r="I8336" s="47"/>
    </row>
    <row r="8339" spans="3:11" x14ac:dyDescent="0.3">
      <c r="C8339" s="56" t="s">
        <v>1552</v>
      </c>
      <c r="D8339" s="69" t="s">
        <v>1553</v>
      </c>
      <c r="E8339" s="58"/>
      <c r="F8339" s="58"/>
      <c r="G8339" s="58"/>
      <c r="H8339" s="58"/>
      <c r="I8339" s="10">
        <f>ROUNDDOWN(H8355,0)</f>
        <v>287397</v>
      </c>
      <c r="J8339" s="15"/>
      <c r="K8339" s="39"/>
    </row>
    <row r="8340" spans="3:11" ht="27.6" x14ac:dyDescent="0.3">
      <c r="C8340" s="11" t="s">
        <v>9</v>
      </c>
      <c r="D8340" s="11" t="s">
        <v>10</v>
      </c>
      <c r="E8340" s="11" t="s">
        <v>11</v>
      </c>
      <c r="F8340" s="11" t="s">
        <v>12</v>
      </c>
      <c r="G8340" s="11" t="s">
        <v>13</v>
      </c>
      <c r="H8340" s="11" t="s">
        <v>14</v>
      </c>
    </row>
    <row r="8341" spans="3:11" x14ac:dyDescent="0.25">
      <c r="C8341" s="12" t="s">
        <v>15</v>
      </c>
      <c r="D8341" s="13" t="s">
        <v>16</v>
      </c>
      <c r="E8341" s="14"/>
      <c r="F8341" s="14"/>
      <c r="G8341" s="14"/>
      <c r="H8341" s="14"/>
    </row>
    <row r="8342" spans="3:11" x14ac:dyDescent="0.3">
      <c r="C8342" s="16">
        <v>1</v>
      </c>
      <c r="D8342" s="13" t="s">
        <v>18</v>
      </c>
      <c r="E8342" s="17" t="s">
        <v>19</v>
      </c>
      <c r="F8342" s="18">
        <v>0.126</v>
      </c>
      <c r="G8342" s="19">
        <f>VLOOKUP(D8342,upahbahan,3,FALSE)</f>
        <v>100000</v>
      </c>
      <c r="H8342" s="19">
        <f t="shared" ref="H8342:H8345" si="877">F8342*G8342</f>
        <v>12600</v>
      </c>
    </row>
    <row r="8343" spans="3:11" x14ac:dyDescent="0.3">
      <c r="C8343" s="16">
        <v>2</v>
      </c>
      <c r="D8343" s="13" t="s">
        <v>21</v>
      </c>
      <c r="E8343" s="17" t="s">
        <v>19</v>
      </c>
      <c r="F8343" s="18">
        <v>0.21099999999999999</v>
      </c>
      <c r="G8343" s="19">
        <f>VLOOKUP(D8343,upahbahan,3,FALSE)</f>
        <v>145000</v>
      </c>
      <c r="H8343" s="19">
        <f t="shared" si="877"/>
        <v>30595</v>
      </c>
    </row>
    <row r="8344" spans="3:11" x14ac:dyDescent="0.3">
      <c r="C8344" s="16">
        <v>3</v>
      </c>
      <c r="D8344" s="13" t="s">
        <v>1224</v>
      </c>
      <c r="E8344" s="17" t="s">
        <v>19</v>
      </c>
      <c r="F8344" s="18">
        <v>2.1000000000000001E-2</v>
      </c>
      <c r="G8344" s="19">
        <f>VLOOKUP(D8344,upahbahan,3,FALSE)</f>
        <v>175000</v>
      </c>
      <c r="H8344" s="19">
        <f t="shared" si="877"/>
        <v>3675.0000000000005</v>
      </c>
    </row>
    <row r="8345" spans="3:11" x14ac:dyDescent="0.3">
      <c r="C8345" s="16">
        <v>4</v>
      </c>
      <c r="D8345" s="13" t="s">
        <v>23</v>
      </c>
      <c r="E8345" s="17" t="s">
        <v>19</v>
      </c>
      <c r="F8345" s="18">
        <v>7.0000000000000001E-3</v>
      </c>
      <c r="G8345" s="19">
        <f>VLOOKUP(D8345,upahbahan,3,FALSE)</f>
        <v>200000</v>
      </c>
      <c r="H8345" s="19">
        <f t="shared" si="877"/>
        <v>1400</v>
      </c>
    </row>
    <row r="8346" spans="3:11" x14ac:dyDescent="0.3">
      <c r="C8346" s="21" t="s">
        <v>24</v>
      </c>
      <c r="D8346" s="22"/>
      <c r="E8346" s="22"/>
      <c r="F8346" s="54"/>
      <c r="G8346" s="24"/>
      <c r="H8346" s="19">
        <f>SUM(H8342:H8345)</f>
        <v>48270</v>
      </c>
      <c r="I8346" s="25"/>
    </row>
    <row r="8347" spans="3:11" x14ac:dyDescent="0.25">
      <c r="C8347" s="12" t="s">
        <v>25</v>
      </c>
      <c r="D8347" s="13" t="s">
        <v>26</v>
      </c>
      <c r="E8347" s="14"/>
      <c r="F8347" s="55"/>
      <c r="G8347" s="14"/>
      <c r="H8347" s="14"/>
    </row>
    <row r="8348" spans="3:11" x14ac:dyDescent="0.25">
      <c r="C8348" s="12">
        <v>1</v>
      </c>
      <c r="D8348" s="13" t="s">
        <v>1554</v>
      </c>
      <c r="E8348" s="53" t="s">
        <v>1542</v>
      </c>
      <c r="F8348" s="115">
        <v>1.05</v>
      </c>
      <c r="G8348" s="19">
        <f>VLOOKUP(D8348,upahbahan,3,FALSE)</f>
        <v>150000</v>
      </c>
      <c r="H8348" s="19">
        <f t="shared" ref="H8348:H8349" si="878">F8348*G8348</f>
        <v>157500</v>
      </c>
    </row>
    <row r="8349" spans="3:11" x14ac:dyDescent="0.25">
      <c r="C8349" s="12">
        <v>2</v>
      </c>
      <c r="D8349" s="13" t="s">
        <v>1451</v>
      </c>
      <c r="E8349" s="53" t="s">
        <v>949</v>
      </c>
      <c r="F8349" s="115">
        <v>1</v>
      </c>
      <c r="G8349" s="19">
        <f>VLOOKUP(D8349,upahbahan,3,FALSE)</f>
        <v>55500</v>
      </c>
      <c r="H8349" s="19">
        <f t="shared" si="878"/>
        <v>55500</v>
      </c>
    </row>
    <row r="8350" spans="3:11" x14ac:dyDescent="0.3">
      <c r="C8350" s="21" t="s">
        <v>29</v>
      </c>
      <c r="D8350" s="22"/>
      <c r="E8350" s="22" t="s">
        <v>1340</v>
      </c>
      <c r="F8350" s="22"/>
      <c r="G8350" s="28"/>
      <c r="H8350" s="19">
        <f>SUM(H8347:H8349)</f>
        <v>213000</v>
      </c>
    </row>
    <row r="8351" spans="3:11" x14ac:dyDescent="0.25">
      <c r="C8351" s="12" t="s">
        <v>30</v>
      </c>
      <c r="D8351" s="13" t="s">
        <v>31</v>
      </c>
      <c r="E8351" s="14"/>
      <c r="F8351" s="14"/>
      <c r="G8351" s="14"/>
      <c r="H8351" s="14"/>
    </row>
    <row r="8352" spans="3:11" x14ac:dyDescent="0.3">
      <c r="C8352" s="21" t="s">
        <v>32</v>
      </c>
      <c r="D8352" s="77"/>
      <c r="E8352" s="77"/>
      <c r="F8352" s="77"/>
      <c r="G8352" s="28"/>
      <c r="H8352" s="29">
        <f>SUM(H8351:H8351)</f>
        <v>0</v>
      </c>
    </row>
    <row r="8353" spans="3:11" x14ac:dyDescent="0.3">
      <c r="C8353" s="30" t="s">
        <v>33</v>
      </c>
      <c r="D8353" s="31" t="s">
        <v>34</v>
      </c>
      <c r="E8353" s="32"/>
      <c r="F8353" s="32"/>
      <c r="G8353" s="33"/>
      <c r="H8353" s="46">
        <f>H8352+H8350+H8346</f>
        <v>261270</v>
      </c>
      <c r="I8353" s="47"/>
    </row>
    <row r="8354" spans="3:11" x14ac:dyDescent="0.3">
      <c r="C8354" s="30" t="s">
        <v>35</v>
      </c>
      <c r="D8354" s="31" t="s">
        <v>36</v>
      </c>
      <c r="E8354" s="32"/>
      <c r="F8354" s="33"/>
      <c r="G8354" s="34">
        <f>$M$9</f>
        <v>0.1</v>
      </c>
      <c r="H8354" s="19">
        <f>H8353*G8354</f>
        <v>26127</v>
      </c>
      <c r="I8354" s="47"/>
    </row>
    <row r="8355" spans="3:11" x14ac:dyDescent="0.3">
      <c r="C8355" s="30" t="s">
        <v>37</v>
      </c>
      <c r="D8355" s="31" t="s">
        <v>38</v>
      </c>
      <c r="E8355" s="32"/>
      <c r="F8355" s="32"/>
      <c r="G8355" s="33"/>
      <c r="H8355" s="48">
        <f>SUM(H8353:H8354)</f>
        <v>287397</v>
      </c>
      <c r="I8355" s="47"/>
    </row>
    <row r="8358" spans="3:11" x14ac:dyDescent="0.3">
      <c r="C8358" s="2" t="s">
        <v>1555</v>
      </c>
      <c r="D8358" s="2" t="s">
        <v>1556</v>
      </c>
      <c r="E8358" s="2"/>
      <c r="F8358" s="2"/>
    </row>
    <row r="8359" spans="3:11" x14ac:dyDescent="0.3">
      <c r="C8359" s="2" t="s">
        <v>1557</v>
      </c>
      <c r="D8359" s="2" t="s">
        <v>1558</v>
      </c>
      <c r="E8359" s="2"/>
      <c r="F8359" s="2"/>
    </row>
    <row r="8360" spans="3:11" x14ac:dyDescent="0.3">
      <c r="C8360" s="40" t="s">
        <v>1559</v>
      </c>
      <c r="D8360" s="68" t="s">
        <v>1560</v>
      </c>
      <c r="E8360" s="44"/>
      <c r="F8360" s="44"/>
      <c r="G8360" s="44"/>
      <c r="H8360" s="44"/>
      <c r="I8360" s="10">
        <f>ROUNDDOWN(H8375,0)</f>
        <v>4192391</v>
      </c>
      <c r="J8360" s="15"/>
      <c r="K8360" s="39"/>
    </row>
    <row r="8361" spans="3:11" ht="27.6" x14ac:dyDescent="0.3">
      <c r="C8361" s="11" t="s">
        <v>9</v>
      </c>
      <c r="D8361" s="11" t="s">
        <v>10</v>
      </c>
      <c r="E8361" s="11" t="s">
        <v>11</v>
      </c>
      <c r="F8361" s="11" t="s">
        <v>12</v>
      </c>
      <c r="G8361" s="11" t="s">
        <v>13</v>
      </c>
      <c r="H8361" s="11" t="s">
        <v>14</v>
      </c>
    </row>
    <row r="8362" spans="3:11" x14ac:dyDescent="0.25">
      <c r="C8362" s="12" t="s">
        <v>15</v>
      </c>
      <c r="D8362" s="13" t="s">
        <v>16</v>
      </c>
      <c r="E8362" s="14"/>
      <c r="F8362" s="14"/>
      <c r="G8362" s="14"/>
      <c r="H8362" s="14"/>
    </row>
    <row r="8363" spans="3:11" x14ac:dyDescent="0.3">
      <c r="C8363" s="16">
        <v>1</v>
      </c>
      <c r="D8363" s="13" t="s">
        <v>18</v>
      </c>
      <c r="E8363" s="17" t="s">
        <v>19</v>
      </c>
      <c r="F8363" s="18">
        <v>0.76200000000000001</v>
      </c>
      <c r="G8363" s="19">
        <f>VLOOKUP(D8363,upahbahan,3,FALSE)</f>
        <v>100000</v>
      </c>
      <c r="H8363" s="19">
        <f t="shared" ref="H8363:H8366" si="879">F8363*G8363</f>
        <v>76200</v>
      </c>
    </row>
    <row r="8364" spans="3:11" x14ac:dyDescent="0.3">
      <c r="C8364" s="16">
        <v>2</v>
      </c>
      <c r="D8364" s="13" t="s">
        <v>21</v>
      </c>
      <c r="E8364" s="17" t="s">
        <v>19</v>
      </c>
      <c r="F8364" s="18">
        <v>1.272</v>
      </c>
      <c r="G8364" s="19">
        <f>VLOOKUP(D8364,upahbahan,3,FALSE)</f>
        <v>145000</v>
      </c>
      <c r="H8364" s="19">
        <f t="shared" si="879"/>
        <v>184440</v>
      </c>
    </row>
    <row r="8365" spans="3:11" x14ac:dyDescent="0.3">
      <c r="C8365" s="16">
        <v>3</v>
      </c>
      <c r="D8365" s="13" t="s">
        <v>1224</v>
      </c>
      <c r="E8365" s="17" t="s">
        <v>19</v>
      </c>
      <c r="F8365" s="18">
        <v>0.127</v>
      </c>
      <c r="G8365" s="19">
        <f>VLOOKUP(D8365,upahbahan,3,FALSE)</f>
        <v>175000</v>
      </c>
      <c r="H8365" s="19">
        <f t="shared" si="879"/>
        <v>22225</v>
      </c>
    </row>
    <row r="8366" spans="3:11" x14ac:dyDescent="0.3">
      <c r="C8366" s="16">
        <v>4</v>
      </c>
      <c r="D8366" s="13" t="s">
        <v>23</v>
      </c>
      <c r="E8366" s="17" t="s">
        <v>19</v>
      </c>
      <c r="F8366" s="18">
        <v>4.2000000000000003E-2</v>
      </c>
      <c r="G8366" s="19">
        <f>VLOOKUP(D8366,upahbahan,3,FALSE)</f>
        <v>200000</v>
      </c>
      <c r="H8366" s="19">
        <f t="shared" si="879"/>
        <v>8400</v>
      </c>
    </row>
    <row r="8367" spans="3:11" x14ac:dyDescent="0.3">
      <c r="C8367" s="21" t="s">
        <v>24</v>
      </c>
      <c r="D8367" s="22"/>
      <c r="E8367" s="22"/>
      <c r="F8367" s="54"/>
      <c r="G8367" s="24"/>
      <c r="H8367" s="19">
        <f>SUM(H8363:H8366)</f>
        <v>291265</v>
      </c>
      <c r="I8367" s="25"/>
    </row>
    <row r="8368" spans="3:11" x14ac:dyDescent="0.25">
      <c r="C8368" s="12" t="s">
        <v>25</v>
      </c>
      <c r="D8368" s="13" t="s">
        <v>26</v>
      </c>
      <c r="E8368" s="14"/>
      <c r="F8368" s="55"/>
      <c r="G8368" s="14"/>
      <c r="H8368" s="14"/>
    </row>
    <row r="8369" spans="3:11" x14ac:dyDescent="0.25">
      <c r="C8369" s="12">
        <v>1</v>
      </c>
      <c r="D8369" s="13" t="s">
        <v>1561</v>
      </c>
      <c r="E8369" s="53" t="s">
        <v>1542</v>
      </c>
      <c r="F8369" s="115">
        <v>1.1000000000000001</v>
      </c>
      <c r="G8369" s="19">
        <f>VLOOKUP(D8369,upahbahan,3,FALSE)</f>
        <v>3200000</v>
      </c>
      <c r="H8369" s="19">
        <f t="shared" ref="H8369" si="880">F8369*G8369</f>
        <v>3520000.0000000005</v>
      </c>
    </row>
    <row r="8370" spans="3:11" x14ac:dyDescent="0.3">
      <c r="C8370" s="21" t="s">
        <v>29</v>
      </c>
      <c r="D8370" s="22"/>
      <c r="E8370" s="22" t="s">
        <v>1340</v>
      </c>
      <c r="F8370" s="22"/>
      <c r="G8370" s="28"/>
      <c r="H8370" s="19">
        <f>SUM(H8368:H8369)</f>
        <v>3520000.0000000005</v>
      </c>
    </row>
    <row r="8371" spans="3:11" x14ac:dyDescent="0.25">
      <c r="C8371" s="12" t="s">
        <v>30</v>
      </c>
      <c r="D8371" s="13" t="s">
        <v>31</v>
      </c>
      <c r="E8371" s="14"/>
      <c r="F8371" s="14"/>
      <c r="G8371" s="14"/>
      <c r="H8371" s="14"/>
    </row>
    <row r="8372" spans="3:11" x14ac:dyDescent="0.3">
      <c r="C8372" s="21" t="s">
        <v>32</v>
      </c>
      <c r="D8372" s="77"/>
      <c r="E8372" s="77"/>
      <c r="F8372" s="77"/>
      <c r="G8372" s="28"/>
      <c r="H8372" s="29">
        <f>SUM(H8371:H8371)</f>
        <v>0</v>
      </c>
    </row>
    <row r="8373" spans="3:11" x14ac:dyDescent="0.3">
      <c r="C8373" s="30" t="s">
        <v>33</v>
      </c>
      <c r="D8373" s="31" t="s">
        <v>34</v>
      </c>
      <c r="E8373" s="32"/>
      <c r="F8373" s="32"/>
      <c r="G8373" s="33"/>
      <c r="H8373" s="46">
        <f>H8372+H8370+H8367</f>
        <v>3811265.0000000005</v>
      </c>
      <c r="I8373" s="47"/>
    </row>
    <row r="8374" spans="3:11" x14ac:dyDescent="0.3">
      <c r="C8374" s="30" t="s">
        <v>35</v>
      </c>
      <c r="D8374" s="31" t="s">
        <v>36</v>
      </c>
      <c r="E8374" s="32"/>
      <c r="F8374" s="33"/>
      <c r="G8374" s="34">
        <f>$M$9</f>
        <v>0.1</v>
      </c>
      <c r="H8374" s="19">
        <f>H8373*G8374</f>
        <v>381126.50000000006</v>
      </c>
      <c r="I8374" s="47"/>
    </row>
    <row r="8375" spans="3:11" x14ac:dyDescent="0.3">
      <c r="C8375" s="30" t="s">
        <v>37</v>
      </c>
      <c r="D8375" s="31" t="s">
        <v>38</v>
      </c>
      <c r="E8375" s="32"/>
      <c r="F8375" s="32"/>
      <c r="G8375" s="33"/>
      <c r="H8375" s="48">
        <f>SUM(H8373:H8374)</f>
        <v>4192391.5000000005</v>
      </c>
      <c r="I8375" s="47"/>
    </row>
    <row r="8377" spans="3:11" x14ac:dyDescent="0.3">
      <c r="C8377" s="40" t="s">
        <v>1562</v>
      </c>
      <c r="D8377" s="68" t="s">
        <v>1563</v>
      </c>
      <c r="E8377" s="44"/>
      <c r="F8377" s="44"/>
      <c r="G8377" s="44"/>
      <c r="H8377" s="44"/>
      <c r="I8377" s="10">
        <f>ROUNDDOWN(H8392,0)</f>
        <v>4973727</v>
      </c>
      <c r="J8377" s="15"/>
      <c r="K8377" s="39"/>
    </row>
    <row r="8378" spans="3:11" ht="27.6" x14ac:dyDescent="0.3">
      <c r="C8378" s="11" t="s">
        <v>9</v>
      </c>
      <c r="D8378" s="11" t="s">
        <v>10</v>
      </c>
      <c r="E8378" s="11" t="s">
        <v>11</v>
      </c>
      <c r="F8378" s="11" t="s">
        <v>12</v>
      </c>
      <c r="G8378" s="11" t="s">
        <v>13</v>
      </c>
      <c r="H8378" s="11" t="s">
        <v>14</v>
      </c>
    </row>
    <row r="8379" spans="3:11" x14ac:dyDescent="0.25">
      <c r="C8379" s="12" t="s">
        <v>15</v>
      </c>
      <c r="D8379" s="13" t="s">
        <v>16</v>
      </c>
      <c r="E8379" s="14"/>
      <c r="F8379" s="14"/>
      <c r="G8379" s="14"/>
      <c r="H8379" s="14"/>
    </row>
    <row r="8380" spans="3:11" x14ac:dyDescent="0.3">
      <c r="C8380" s="16">
        <v>1</v>
      </c>
      <c r="D8380" s="13" t="s">
        <v>18</v>
      </c>
      <c r="E8380" s="17" t="s">
        <v>19</v>
      </c>
      <c r="F8380" s="18">
        <v>0.89300000000000002</v>
      </c>
      <c r="G8380" s="19">
        <f>VLOOKUP(D8380,upahbahan,3,FALSE)</f>
        <v>100000</v>
      </c>
      <c r="H8380" s="19">
        <f t="shared" ref="H8380:H8383" si="881">F8380*G8380</f>
        <v>89300</v>
      </c>
    </row>
    <row r="8381" spans="3:11" x14ac:dyDescent="0.3">
      <c r="C8381" s="16">
        <v>2</v>
      </c>
      <c r="D8381" s="13" t="s">
        <v>21</v>
      </c>
      <c r="E8381" s="17" t="s">
        <v>19</v>
      </c>
      <c r="F8381" s="18">
        <v>1.4910000000000001</v>
      </c>
      <c r="G8381" s="19">
        <f>VLOOKUP(D8381,upahbahan,3,FALSE)</f>
        <v>145000</v>
      </c>
      <c r="H8381" s="19">
        <f t="shared" si="881"/>
        <v>216195.00000000003</v>
      </c>
    </row>
    <row r="8382" spans="3:11" x14ac:dyDescent="0.3">
      <c r="C8382" s="16">
        <v>3</v>
      </c>
      <c r="D8382" s="13" t="s">
        <v>1224</v>
      </c>
      <c r="E8382" s="17" t="s">
        <v>19</v>
      </c>
      <c r="F8382" s="18">
        <v>0.14899999999999999</v>
      </c>
      <c r="G8382" s="19">
        <f>VLOOKUP(D8382,upahbahan,3,FALSE)</f>
        <v>175000</v>
      </c>
      <c r="H8382" s="19">
        <f t="shared" si="881"/>
        <v>26075</v>
      </c>
    </row>
    <row r="8383" spans="3:11" x14ac:dyDescent="0.3">
      <c r="C8383" s="16">
        <v>4</v>
      </c>
      <c r="D8383" s="13" t="s">
        <v>23</v>
      </c>
      <c r="E8383" s="17" t="s">
        <v>19</v>
      </c>
      <c r="F8383" s="18">
        <v>0.05</v>
      </c>
      <c r="G8383" s="19">
        <f>VLOOKUP(D8383,upahbahan,3,FALSE)</f>
        <v>200000</v>
      </c>
      <c r="H8383" s="19">
        <f t="shared" si="881"/>
        <v>10000</v>
      </c>
    </row>
    <row r="8384" spans="3:11" x14ac:dyDescent="0.3">
      <c r="C8384" s="21" t="s">
        <v>24</v>
      </c>
      <c r="D8384" s="22"/>
      <c r="E8384" s="22"/>
      <c r="F8384" s="54"/>
      <c r="G8384" s="24"/>
      <c r="H8384" s="19">
        <f>SUM(H8380:H8383)</f>
        <v>341570</v>
      </c>
      <c r="I8384" s="25"/>
    </row>
    <row r="8385" spans="3:11" x14ac:dyDescent="0.25">
      <c r="C8385" s="12" t="s">
        <v>25</v>
      </c>
      <c r="D8385" s="13" t="s">
        <v>26</v>
      </c>
      <c r="E8385" s="14"/>
      <c r="F8385" s="55"/>
      <c r="G8385" s="14"/>
      <c r="H8385" s="14"/>
    </row>
    <row r="8386" spans="3:11" x14ac:dyDescent="0.25">
      <c r="C8386" s="12">
        <v>1</v>
      </c>
      <c r="D8386" s="13" t="s">
        <v>1564</v>
      </c>
      <c r="E8386" s="53" t="s">
        <v>1542</v>
      </c>
      <c r="F8386" s="115">
        <v>1.1000000000000001</v>
      </c>
      <c r="G8386" s="19">
        <f>VLOOKUP(D8386,upahbahan,3,FALSE)</f>
        <v>3800000</v>
      </c>
      <c r="H8386" s="19">
        <f t="shared" ref="H8386" si="882">F8386*G8386</f>
        <v>4180000.0000000005</v>
      </c>
    </row>
    <row r="8387" spans="3:11" x14ac:dyDescent="0.3">
      <c r="C8387" s="21" t="s">
        <v>29</v>
      </c>
      <c r="D8387" s="22"/>
      <c r="E8387" s="22" t="s">
        <v>1340</v>
      </c>
      <c r="F8387" s="22"/>
      <c r="G8387" s="28"/>
      <c r="H8387" s="19">
        <f>SUM(H8385:H8386)</f>
        <v>4180000.0000000005</v>
      </c>
    </row>
    <row r="8388" spans="3:11" x14ac:dyDescent="0.25">
      <c r="C8388" s="12" t="s">
        <v>30</v>
      </c>
      <c r="D8388" s="13" t="s">
        <v>31</v>
      </c>
      <c r="E8388" s="14"/>
      <c r="F8388" s="14"/>
      <c r="G8388" s="14"/>
      <c r="H8388" s="14"/>
    </row>
    <row r="8389" spans="3:11" x14ac:dyDescent="0.3">
      <c r="C8389" s="21" t="s">
        <v>32</v>
      </c>
      <c r="D8389" s="77"/>
      <c r="E8389" s="77"/>
      <c r="F8389" s="77"/>
      <c r="G8389" s="28"/>
      <c r="H8389" s="29">
        <f>SUM(H8388:H8388)</f>
        <v>0</v>
      </c>
    </row>
    <row r="8390" spans="3:11" x14ac:dyDescent="0.3">
      <c r="C8390" s="30" t="s">
        <v>33</v>
      </c>
      <c r="D8390" s="31" t="s">
        <v>34</v>
      </c>
      <c r="E8390" s="32"/>
      <c r="F8390" s="32"/>
      <c r="G8390" s="33"/>
      <c r="H8390" s="46">
        <f>H8389+H8387+H8384</f>
        <v>4521570</v>
      </c>
      <c r="I8390" s="47"/>
    </row>
    <row r="8391" spans="3:11" x14ac:dyDescent="0.3">
      <c r="C8391" s="30" t="s">
        <v>35</v>
      </c>
      <c r="D8391" s="31" t="s">
        <v>36</v>
      </c>
      <c r="E8391" s="32"/>
      <c r="F8391" s="33"/>
      <c r="G8391" s="34">
        <f>$M$9</f>
        <v>0.1</v>
      </c>
      <c r="H8391" s="19">
        <f>H8390*G8391</f>
        <v>452157</v>
      </c>
      <c r="I8391" s="47"/>
    </row>
    <row r="8392" spans="3:11" x14ac:dyDescent="0.3">
      <c r="C8392" s="30" t="s">
        <v>37</v>
      </c>
      <c r="D8392" s="31" t="s">
        <v>38</v>
      </c>
      <c r="E8392" s="32"/>
      <c r="F8392" s="32"/>
      <c r="G8392" s="33"/>
      <c r="H8392" s="48">
        <f>SUM(H8390:H8391)</f>
        <v>4973727</v>
      </c>
      <c r="I8392" s="47"/>
    </row>
    <row r="8394" spans="3:11" x14ac:dyDescent="0.3">
      <c r="C8394" s="40" t="s">
        <v>1565</v>
      </c>
      <c r="D8394" s="68" t="s">
        <v>1566</v>
      </c>
      <c r="E8394" s="44"/>
      <c r="F8394" s="44"/>
      <c r="G8394" s="44"/>
      <c r="H8394" s="44"/>
      <c r="I8394" s="10">
        <f>ROUNDDOWN(H8409,0)</f>
        <v>5457727</v>
      </c>
      <c r="J8394" s="15"/>
      <c r="K8394" s="39"/>
    </row>
    <row r="8395" spans="3:11" ht="27.6" x14ac:dyDescent="0.3">
      <c r="C8395" s="11" t="s">
        <v>9</v>
      </c>
      <c r="D8395" s="11" t="s">
        <v>10</v>
      </c>
      <c r="E8395" s="11" t="s">
        <v>11</v>
      </c>
      <c r="F8395" s="11" t="s">
        <v>12</v>
      </c>
      <c r="G8395" s="11" t="s">
        <v>13</v>
      </c>
      <c r="H8395" s="11" t="s">
        <v>14</v>
      </c>
    </row>
    <row r="8396" spans="3:11" x14ac:dyDescent="0.25">
      <c r="C8396" s="12" t="s">
        <v>15</v>
      </c>
      <c r="D8396" s="13" t="s">
        <v>16</v>
      </c>
      <c r="E8396" s="14"/>
      <c r="F8396" s="14"/>
      <c r="G8396" s="14"/>
      <c r="H8396" s="14"/>
    </row>
    <row r="8397" spans="3:11" x14ac:dyDescent="0.3">
      <c r="C8397" s="16">
        <v>1</v>
      </c>
      <c r="D8397" s="13" t="s">
        <v>18</v>
      </c>
      <c r="E8397" s="17" t="s">
        <v>19</v>
      </c>
      <c r="F8397" s="18">
        <v>0.89300000000000002</v>
      </c>
      <c r="G8397" s="19">
        <f>VLOOKUP(D8397,upahbahan,3,FALSE)</f>
        <v>100000</v>
      </c>
      <c r="H8397" s="19">
        <f t="shared" ref="H8397:H8400" si="883">F8397*G8397</f>
        <v>89300</v>
      </c>
    </row>
    <row r="8398" spans="3:11" x14ac:dyDescent="0.3">
      <c r="C8398" s="16">
        <v>2</v>
      </c>
      <c r="D8398" s="13" t="s">
        <v>21</v>
      </c>
      <c r="E8398" s="17" t="s">
        <v>19</v>
      </c>
      <c r="F8398" s="18">
        <v>1.4910000000000001</v>
      </c>
      <c r="G8398" s="19">
        <f>VLOOKUP(D8398,upahbahan,3,FALSE)</f>
        <v>145000</v>
      </c>
      <c r="H8398" s="19">
        <f t="shared" si="883"/>
        <v>216195.00000000003</v>
      </c>
    </row>
    <row r="8399" spans="3:11" x14ac:dyDescent="0.3">
      <c r="C8399" s="16">
        <v>3</v>
      </c>
      <c r="D8399" s="13" t="s">
        <v>1224</v>
      </c>
      <c r="E8399" s="17" t="s">
        <v>19</v>
      </c>
      <c r="F8399" s="18">
        <v>0.14899999999999999</v>
      </c>
      <c r="G8399" s="19">
        <f>VLOOKUP(D8399,upahbahan,3,FALSE)</f>
        <v>175000</v>
      </c>
      <c r="H8399" s="19">
        <f t="shared" si="883"/>
        <v>26075</v>
      </c>
    </row>
    <row r="8400" spans="3:11" x14ac:dyDescent="0.3">
      <c r="C8400" s="16">
        <v>4</v>
      </c>
      <c r="D8400" s="13" t="s">
        <v>23</v>
      </c>
      <c r="E8400" s="17" t="s">
        <v>19</v>
      </c>
      <c r="F8400" s="18">
        <v>0.05</v>
      </c>
      <c r="G8400" s="19">
        <f>VLOOKUP(D8400,upahbahan,3,FALSE)</f>
        <v>200000</v>
      </c>
      <c r="H8400" s="19">
        <f t="shared" si="883"/>
        <v>10000</v>
      </c>
    </row>
    <row r="8401" spans="3:11" x14ac:dyDescent="0.3">
      <c r="C8401" s="21" t="s">
        <v>24</v>
      </c>
      <c r="D8401" s="22"/>
      <c r="E8401" s="22"/>
      <c r="F8401" s="54"/>
      <c r="G8401" s="24"/>
      <c r="H8401" s="19">
        <f>SUM(H8397:H8400)</f>
        <v>341570</v>
      </c>
      <c r="I8401" s="25"/>
    </row>
    <row r="8402" spans="3:11" x14ac:dyDescent="0.25">
      <c r="C8402" s="12" t="s">
        <v>25</v>
      </c>
      <c r="D8402" s="13" t="s">
        <v>26</v>
      </c>
      <c r="E8402" s="14"/>
      <c r="F8402" s="55"/>
      <c r="G8402" s="14"/>
      <c r="H8402" s="14"/>
    </row>
    <row r="8403" spans="3:11" x14ac:dyDescent="0.25">
      <c r="C8403" s="12">
        <v>1</v>
      </c>
      <c r="D8403" s="13" t="s">
        <v>1567</v>
      </c>
      <c r="E8403" s="53" t="s">
        <v>1542</v>
      </c>
      <c r="F8403" s="115">
        <v>1.1000000000000001</v>
      </c>
      <c r="G8403" s="19">
        <f>VLOOKUP(D8403,upahbahan,3,FALSE)</f>
        <v>4200000</v>
      </c>
      <c r="H8403" s="19">
        <f t="shared" ref="H8403" si="884">F8403*G8403</f>
        <v>4620000</v>
      </c>
    </row>
    <row r="8404" spans="3:11" x14ac:dyDescent="0.3">
      <c r="C8404" s="21" t="s">
        <v>29</v>
      </c>
      <c r="D8404" s="22"/>
      <c r="E8404" s="22" t="s">
        <v>1340</v>
      </c>
      <c r="F8404" s="22"/>
      <c r="G8404" s="28"/>
      <c r="H8404" s="19">
        <f>SUM(H8402:H8403)</f>
        <v>4620000</v>
      </c>
    </row>
    <row r="8405" spans="3:11" x14ac:dyDescent="0.25">
      <c r="C8405" s="12" t="s">
        <v>30</v>
      </c>
      <c r="D8405" s="13" t="s">
        <v>31</v>
      </c>
      <c r="E8405" s="14"/>
      <c r="F8405" s="14"/>
      <c r="G8405" s="14"/>
      <c r="H8405" s="14"/>
    </row>
    <row r="8406" spans="3:11" x14ac:dyDescent="0.3">
      <c r="C8406" s="21" t="s">
        <v>32</v>
      </c>
      <c r="D8406" s="77"/>
      <c r="E8406" s="77"/>
      <c r="F8406" s="77"/>
      <c r="G8406" s="28"/>
      <c r="H8406" s="29">
        <f>SUM(H8405:H8405)</f>
        <v>0</v>
      </c>
    </row>
    <row r="8407" spans="3:11" x14ac:dyDescent="0.3">
      <c r="C8407" s="30" t="s">
        <v>33</v>
      </c>
      <c r="D8407" s="31" t="s">
        <v>34</v>
      </c>
      <c r="E8407" s="32"/>
      <c r="F8407" s="32"/>
      <c r="G8407" s="33"/>
      <c r="H8407" s="46">
        <f>H8406+H8404+H8401</f>
        <v>4961570</v>
      </c>
      <c r="I8407" s="47"/>
    </row>
    <row r="8408" spans="3:11" x14ac:dyDescent="0.3">
      <c r="C8408" s="30" t="s">
        <v>35</v>
      </c>
      <c r="D8408" s="31" t="s">
        <v>36</v>
      </c>
      <c r="E8408" s="32"/>
      <c r="F8408" s="33"/>
      <c r="G8408" s="34">
        <f>$M$9</f>
        <v>0.1</v>
      </c>
      <c r="H8408" s="19">
        <f>H8407*G8408</f>
        <v>496157</v>
      </c>
      <c r="I8408" s="47"/>
    </row>
    <row r="8409" spans="3:11" x14ac:dyDescent="0.3">
      <c r="C8409" s="30" t="s">
        <v>37</v>
      </c>
      <c r="D8409" s="31" t="s">
        <v>38</v>
      </c>
      <c r="E8409" s="32"/>
      <c r="F8409" s="32"/>
      <c r="G8409" s="33"/>
      <c r="H8409" s="48">
        <f>SUM(H8407:H8408)</f>
        <v>5457727</v>
      </c>
      <c r="I8409" s="47"/>
    </row>
    <row r="8411" spans="3:11" x14ac:dyDescent="0.3">
      <c r="C8411" s="56" t="s">
        <v>1568</v>
      </c>
      <c r="D8411" s="69" t="s">
        <v>1569</v>
      </c>
      <c r="E8411" s="58"/>
      <c r="F8411" s="58"/>
      <c r="G8411" s="58"/>
      <c r="H8411" s="58"/>
      <c r="I8411" s="10">
        <f>ROUNDDOWN(H8426,0)</f>
        <v>5820727</v>
      </c>
      <c r="J8411" s="15"/>
      <c r="K8411" s="39"/>
    </row>
    <row r="8412" spans="3:11" ht="27.6" x14ac:dyDescent="0.3">
      <c r="C8412" s="11" t="s">
        <v>9</v>
      </c>
      <c r="D8412" s="11" t="s">
        <v>10</v>
      </c>
      <c r="E8412" s="11" t="s">
        <v>11</v>
      </c>
      <c r="F8412" s="11" t="s">
        <v>12</v>
      </c>
      <c r="G8412" s="11" t="s">
        <v>13</v>
      </c>
      <c r="H8412" s="11" t="s">
        <v>14</v>
      </c>
    </row>
    <row r="8413" spans="3:11" x14ac:dyDescent="0.25">
      <c r="C8413" s="12" t="s">
        <v>15</v>
      </c>
      <c r="D8413" s="13" t="s">
        <v>16</v>
      </c>
      <c r="E8413" s="14"/>
      <c r="F8413" s="14"/>
      <c r="G8413" s="14"/>
      <c r="H8413" s="14"/>
    </row>
    <row r="8414" spans="3:11" x14ac:dyDescent="0.3">
      <c r="C8414" s="16">
        <v>1</v>
      </c>
      <c r="D8414" s="13" t="s">
        <v>18</v>
      </c>
      <c r="E8414" s="17" t="s">
        <v>19</v>
      </c>
      <c r="F8414" s="18">
        <v>0.89300000000000002</v>
      </c>
      <c r="G8414" s="19">
        <f>VLOOKUP(D8414,upahbahan,3,FALSE)</f>
        <v>100000</v>
      </c>
      <c r="H8414" s="19">
        <f t="shared" ref="H8414:H8417" si="885">F8414*G8414</f>
        <v>89300</v>
      </c>
    </row>
    <row r="8415" spans="3:11" x14ac:dyDescent="0.3">
      <c r="C8415" s="16">
        <v>2</v>
      </c>
      <c r="D8415" s="13" t="s">
        <v>21</v>
      </c>
      <c r="E8415" s="17" t="s">
        <v>19</v>
      </c>
      <c r="F8415" s="18">
        <v>1.4910000000000001</v>
      </c>
      <c r="G8415" s="19">
        <f>VLOOKUP(D8415,upahbahan,3,FALSE)</f>
        <v>145000</v>
      </c>
      <c r="H8415" s="19">
        <f t="shared" si="885"/>
        <v>216195.00000000003</v>
      </c>
    </row>
    <row r="8416" spans="3:11" x14ac:dyDescent="0.3">
      <c r="C8416" s="16">
        <v>3</v>
      </c>
      <c r="D8416" s="13" t="s">
        <v>1224</v>
      </c>
      <c r="E8416" s="17" t="s">
        <v>19</v>
      </c>
      <c r="F8416" s="18">
        <v>0.14899999999999999</v>
      </c>
      <c r="G8416" s="19">
        <f>VLOOKUP(D8416,upahbahan,3,FALSE)</f>
        <v>175000</v>
      </c>
      <c r="H8416" s="19">
        <f t="shared" si="885"/>
        <v>26075</v>
      </c>
    </row>
    <row r="8417" spans="3:11" x14ac:dyDescent="0.3">
      <c r="C8417" s="16">
        <v>4</v>
      </c>
      <c r="D8417" s="13" t="s">
        <v>23</v>
      </c>
      <c r="E8417" s="17" t="s">
        <v>19</v>
      </c>
      <c r="F8417" s="18">
        <v>0.05</v>
      </c>
      <c r="G8417" s="19">
        <f>VLOOKUP(D8417,upahbahan,3,FALSE)</f>
        <v>200000</v>
      </c>
      <c r="H8417" s="19">
        <f t="shared" si="885"/>
        <v>10000</v>
      </c>
    </row>
    <row r="8418" spans="3:11" x14ac:dyDescent="0.3">
      <c r="C8418" s="21" t="s">
        <v>24</v>
      </c>
      <c r="D8418" s="22"/>
      <c r="E8418" s="22"/>
      <c r="F8418" s="54"/>
      <c r="G8418" s="24"/>
      <c r="H8418" s="19">
        <f>SUM(H8414:H8417)</f>
        <v>341570</v>
      </c>
      <c r="I8418" s="25"/>
    </row>
    <row r="8419" spans="3:11" x14ac:dyDescent="0.25">
      <c r="C8419" s="12" t="s">
        <v>25</v>
      </c>
      <c r="D8419" s="13" t="s">
        <v>26</v>
      </c>
      <c r="E8419" s="14"/>
      <c r="F8419" s="55"/>
      <c r="G8419" s="14"/>
      <c r="H8419" s="14"/>
    </row>
    <row r="8420" spans="3:11" x14ac:dyDescent="0.25">
      <c r="C8420" s="12">
        <v>1</v>
      </c>
      <c r="D8420" s="13" t="s">
        <v>1570</v>
      </c>
      <c r="E8420" s="53" t="s">
        <v>1542</v>
      </c>
      <c r="F8420" s="115">
        <v>1.1000000000000001</v>
      </c>
      <c r="G8420" s="19">
        <f>VLOOKUP(D8420,upahbahan,3,FALSE)</f>
        <v>4500000</v>
      </c>
      <c r="H8420" s="19">
        <f t="shared" ref="H8420" si="886">F8420*G8420</f>
        <v>4950000</v>
      </c>
    </row>
    <row r="8421" spans="3:11" x14ac:dyDescent="0.3">
      <c r="C8421" s="21" t="s">
        <v>29</v>
      </c>
      <c r="D8421" s="22"/>
      <c r="E8421" s="22" t="s">
        <v>1340</v>
      </c>
      <c r="F8421" s="22"/>
      <c r="G8421" s="28"/>
      <c r="H8421" s="19">
        <f>SUM(H8419:H8420)</f>
        <v>4950000</v>
      </c>
    </row>
    <row r="8422" spans="3:11" x14ac:dyDescent="0.25">
      <c r="C8422" s="12" t="s">
        <v>30</v>
      </c>
      <c r="D8422" s="13" t="s">
        <v>31</v>
      </c>
      <c r="E8422" s="14"/>
      <c r="F8422" s="14"/>
      <c r="G8422" s="14"/>
      <c r="H8422" s="14"/>
    </row>
    <row r="8423" spans="3:11" x14ac:dyDescent="0.3">
      <c r="C8423" s="21" t="s">
        <v>32</v>
      </c>
      <c r="D8423" s="77"/>
      <c r="E8423" s="77"/>
      <c r="F8423" s="77"/>
      <c r="G8423" s="28"/>
      <c r="H8423" s="29">
        <f>SUM(H8422:H8422)</f>
        <v>0</v>
      </c>
    </row>
    <row r="8424" spans="3:11" x14ac:dyDescent="0.3">
      <c r="C8424" s="30" t="s">
        <v>33</v>
      </c>
      <c r="D8424" s="31" t="s">
        <v>34</v>
      </c>
      <c r="E8424" s="32"/>
      <c r="F8424" s="32"/>
      <c r="G8424" s="33"/>
      <c r="H8424" s="46">
        <f>H8423+H8421+H8418</f>
        <v>5291570</v>
      </c>
      <c r="I8424" s="47"/>
    </row>
    <row r="8425" spans="3:11" x14ac:dyDescent="0.3">
      <c r="C8425" s="30" t="s">
        <v>35</v>
      </c>
      <c r="D8425" s="31" t="s">
        <v>36</v>
      </c>
      <c r="E8425" s="32"/>
      <c r="F8425" s="33"/>
      <c r="G8425" s="34">
        <f>$M$9</f>
        <v>0.1</v>
      </c>
      <c r="H8425" s="19">
        <f>H8424*G8425</f>
        <v>529157</v>
      </c>
      <c r="I8425" s="47"/>
    </row>
    <row r="8426" spans="3:11" x14ac:dyDescent="0.3">
      <c r="C8426" s="30" t="s">
        <v>37</v>
      </c>
      <c r="D8426" s="31" t="s">
        <v>38</v>
      </c>
      <c r="E8426" s="32"/>
      <c r="F8426" s="32"/>
      <c r="G8426" s="33"/>
      <c r="H8426" s="48">
        <f>SUM(H8424:H8425)</f>
        <v>5820727</v>
      </c>
      <c r="I8426" s="47"/>
    </row>
    <row r="8429" spans="3:11" x14ac:dyDescent="0.3">
      <c r="C8429" s="40" t="s">
        <v>1571</v>
      </c>
      <c r="D8429" s="68" t="s">
        <v>1572</v>
      </c>
      <c r="E8429" s="44"/>
      <c r="F8429" s="44"/>
      <c r="G8429" s="44"/>
      <c r="H8429" s="44"/>
      <c r="I8429" s="10">
        <f>ROUNDDOWN(H8444,0)</f>
        <v>6788727</v>
      </c>
      <c r="J8429" s="15"/>
      <c r="K8429" s="39"/>
    </row>
    <row r="8430" spans="3:11" ht="27.6" x14ac:dyDescent="0.3">
      <c r="C8430" s="11" t="s">
        <v>9</v>
      </c>
      <c r="D8430" s="11" t="s">
        <v>10</v>
      </c>
      <c r="E8430" s="11" t="s">
        <v>11</v>
      </c>
      <c r="F8430" s="11" t="s">
        <v>12</v>
      </c>
      <c r="G8430" s="11" t="s">
        <v>13</v>
      </c>
      <c r="H8430" s="11" t="s">
        <v>14</v>
      </c>
    </row>
    <row r="8431" spans="3:11" x14ac:dyDescent="0.25">
      <c r="C8431" s="12" t="s">
        <v>15</v>
      </c>
      <c r="D8431" s="13" t="s">
        <v>16</v>
      </c>
      <c r="E8431" s="14"/>
      <c r="F8431" s="14"/>
      <c r="G8431" s="14"/>
      <c r="H8431" s="14"/>
    </row>
    <row r="8432" spans="3:11" x14ac:dyDescent="0.3">
      <c r="C8432" s="16">
        <v>1</v>
      </c>
      <c r="D8432" s="13" t="s">
        <v>18</v>
      </c>
      <c r="E8432" s="17" t="s">
        <v>19</v>
      </c>
      <c r="F8432" s="18">
        <v>0.89300000000000002</v>
      </c>
      <c r="G8432" s="19">
        <f>VLOOKUP(D8432,upahbahan,3,FALSE)</f>
        <v>100000</v>
      </c>
      <c r="H8432" s="19">
        <f t="shared" ref="H8432:H8435" si="887">F8432*G8432</f>
        <v>89300</v>
      </c>
    </row>
    <row r="8433" spans="3:11" x14ac:dyDescent="0.3">
      <c r="C8433" s="16">
        <v>2</v>
      </c>
      <c r="D8433" s="13" t="s">
        <v>21</v>
      </c>
      <c r="E8433" s="17" t="s">
        <v>19</v>
      </c>
      <c r="F8433" s="18">
        <v>1.4910000000000001</v>
      </c>
      <c r="G8433" s="19">
        <f>VLOOKUP(D8433,upahbahan,3,FALSE)</f>
        <v>145000</v>
      </c>
      <c r="H8433" s="19">
        <f t="shared" si="887"/>
        <v>216195.00000000003</v>
      </c>
    </row>
    <row r="8434" spans="3:11" x14ac:dyDescent="0.3">
      <c r="C8434" s="16">
        <v>3</v>
      </c>
      <c r="D8434" s="13" t="s">
        <v>1224</v>
      </c>
      <c r="E8434" s="17" t="s">
        <v>19</v>
      </c>
      <c r="F8434" s="18">
        <v>0.14899999999999999</v>
      </c>
      <c r="G8434" s="19">
        <f>VLOOKUP(D8434,upahbahan,3,FALSE)</f>
        <v>175000</v>
      </c>
      <c r="H8434" s="19">
        <f t="shared" si="887"/>
        <v>26075</v>
      </c>
    </row>
    <row r="8435" spans="3:11" x14ac:dyDescent="0.3">
      <c r="C8435" s="16">
        <v>4</v>
      </c>
      <c r="D8435" s="13" t="s">
        <v>23</v>
      </c>
      <c r="E8435" s="17" t="s">
        <v>19</v>
      </c>
      <c r="F8435" s="18">
        <v>0.05</v>
      </c>
      <c r="G8435" s="19">
        <f>VLOOKUP(D8435,upahbahan,3,FALSE)</f>
        <v>200000</v>
      </c>
      <c r="H8435" s="19">
        <f t="shared" si="887"/>
        <v>10000</v>
      </c>
    </row>
    <row r="8436" spans="3:11" x14ac:dyDescent="0.3">
      <c r="C8436" s="21" t="s">
        <v>24</v>
      </c>
      <c r="D8436" s="22"/>
      <c r="E8436" s="22"/>
      <c r="F8436" s="54"/>
      <c r="G8436" s="24"/>
      <c r="H8436" s="19">
        <f>SUM(H8432:H8435)</f>
        <v>341570</v>
      </c>
      <c r="I8436" s="25"/>
    </row>
    <row r="8437" spans="3:11" x14ac:dyDescent="0.25">
      <c r="C8437" s="12" t="s">
        <v>25</v>
      </c>
      <c r="D8437" s="13" t="s">
        <v>26</v>
      </c>
      <c r="E8437" s="14"/>
      <c r="F8437" s="55"/>
      <c r="G8437" s="14"/>
      <c r="H8437" s="14"/>
    </row>
    <row r="8438" spans="3:11" x14ac:dyDescent="0.25">
      <c r="C8438" s="12">
        <v>1</v>
      </c>
      <c r="D8438" s="13" t="s">
        <v>1573</v>
      </c>
      <c r="E8438" s="53" t="s">
        <v>1542</v>
      </c>
      <c r="F8438" s="115">
        <v>1.1000000000000001</v>
      </c>
      <c r="G8438" s="19">
        <f>VLOOKUP(D8438,upahbahan,3,FALSE)</f>
        <v>5300000</v>
      </c>
      <c r="H8438" s="19">
        <f t="shared" ref="H8438" si="888">F8438*G8438</f>
        <v>5830000.0000000009</v>
      </c>
    </row>
    <row r="8439" spans="3:11" x14ac:dyDescent="0.3">
      <c r="C8439" s="21" t="s">
        <v>29</v>
      </c>
      <c r="D8439" s="22"/>
      <c r="E8439" s="22" t="s">
        <v>1340</v>
      </c>
      <c r="F8439" s="22"/>
      <c r="G8439" s="28"/>
      <c r="H8439" s="19">
        <f>SUM(H8437:H8438)</f>
        <v>5830000.0000000009</v>
      </c>
    </row>
    <row r="8440" spans="3:11" x14ac:dyDescent="0.25">
      <c r="C8440" s="12" t="s">
        <v>30</v>
      </c>
      <c r="D8440" s="13" t="s">
        <v>31</v>
      </c>
      <c r="E8440" s="14"/>
      <c r="F8440" s="14"/>
      <c r="G8440" s="14"/>
      <c r="H8440" s="14"/>
    </row>
    <row r="8441" spans="3:11" x14ac:dyDescent="0.3">
      <c r="C8441" s="21" t="s">
        <v>32</v>
      </c>
      <c r="D8441" s="77"/>
      <c r="E8441" s="77"/>
      <c r="F8441" s="77"/>
      <c r="G8441" s="28"/>
      <c r="H8441" s="29">
        <f>SUM(H8440:H8440)</f>
        <v>0</v>
      </c>
    </row>
    <row r="8442" spans="3:11" x14ac:dyDescent="0.3">
      <c r="C8442" s="30" t="s">
        <v>33</v>
      </c>
      <c r="D8442" s="31" t="s">
        <v>34</v>
      </c>
      <c r="E8442" s="32"/>
      <c r="F8442" s="32"/>
      <c r="G8442" s="33"/>
      <c r="H8442" s="46">
        <f>H8441+H8439+H8436</f>
        <v>6171570.0000000009</v>
      </c>
      <c r="I8442" s="47"/>
    </row>
    <row r="8443" spans="3:11" x14ac:dyDescent="0.3">
      <c r="C8443" s="30" t="s">
        <v>35</v>
      </c>
      <c r="D8443" s="31" t="s">
        <v>36</v>
      </c>
      <c r="E8443" s="32"/>
      <c r="F8443" s="33"/>
      <c r="G8443" s="34">
        <f>$M$9</f>
        <v>0.1</v>
      </c>
      <c r="H8443" s="19">
        <f>H8442*G8443</f>
        <v>617157.00000000012</v>
      </c>
      <c r="I8443" s="47"/>
    </row>
    <row r="8444" spans="3:11" x14ac:dyDescent="0.3">
      <c r="C8444" s="30" t="s">
        <v>37</v>
      </c>
      <c r="D8444" s="31" t="s">
        <v>38</v>
      </c>
      <c r="E8444" s="32"/>
      <c r="F8444" s="32"/>
      <c r="G8444" s="33"/>
      <c r="H8444" s="48">
        <f>SUM(H8442:H8443)</f>
        <v>6788727.0000000009</v>
      </c>
      <c r="I8444" s="47"/>
    </row>
    <row r="8446" spans="3:11" x14ac:dyDescent="0.3">
      <c r="C8446" s="40" t="s">
        <v>1574</v>
      </c>
      <c r="D8446" s="68" t="s">
        <v>1575</v>
      </c>
      <c r="E8446" s="44"/>
      <c r="F8446" s="44"/>
      <c r="G8446" s="44"/>
      <c r="H8446" s="44"/>
      <c r="I8446" s="10">
        <f>ROUNDDOWN(H8461,0)</f>
        <v>9727762</v>
      </c>
      <c r="J8446" s="15"/>
      <c r="K8446" s="39"/>
    </row>
    <row r="8447" spans="3:11" ht="27.6" x14ac:dyDescent="0.3">
      <c r="C8447" s="11" t="s">
        <v>9</v>
      </c>
      <c r="D8447" s="11" t="s">
        <v>10</v>
      </c>
      <c r="E8447" s="11" t="s">
        <v>11</v>
      </c>
      <c r="F8447" s="11" t="s">
        <v>12</v>
      </c>
      <c r="G8447" s="11" t="s">
        <v>13</v>
      </c>
      <c r="H8447" s="11" t="s">
        <v>14</v>
      </c>
    </row>
    <row r="8448" spans="3:11" x14ac:dyDescent="0.25">
      <c r="C8448" s="12" t="s">
        <v>15</v>
      </c>
      <c r="D8448" s="13" t="s">
        <v>16</v>
      </c>
      <c r="E8448" s="14"/>
      <c r="F8448" s="14"/>
      <c r="G8448" s="14"/>
      <c r="H8448" s="14"/>
    </row>
    <row r="8449" spans="3:11" x14ac:dyDescent="0.3">
      <c r="C8449" s="16">
        <v>1</v>
      </c>
      <c r="D8449" s="13" t="s">
        <v>18</v>
      </c>
      <c r="E8449" s="17" t="s">
        <v>19</v>
      </c>
      <c r="F8449" s="18">
        <v>1.264</v>
      </c>
      <c r="G8449" s="19">
        <f>VLOOKUP(D8449,upahbahan,3,FALSE)</f>
        <v>100000</v>
      </c>
      <c r="H8449" s="19">
        <f t="shared" ref="H8449:H8452" si="889">F8449*G8449</f>
        <v>126400</v>
      </c>
    </row>
    <row r="8450" spans="3:11" x14ac:dyDescent="0.3">
      <c r="C8450" s="16">
        <v>2</v>
      </c>
      <c r="D8450" s="13" t="s">
        <v>21</v>
      </c>
      <c r="E8450" s="17" t="s">
        <v>19</v>
      </c>
      <c r="F8450" s="18">
        <v>2.1110000000000002</v>
      </c>
      <c r="G8450" s="19">
        <f>VLOOKUP(D8450,upahbahan,3,FALSE)</f>
        <v>145000</v>
      </c>
      <c r="H8450" s="19">
        <f t="shared" si="889"/>
        <v>306095.00000000006</v>
      </c>
    </row>
    <row r="8451" spans="3:11" x14ac:dyDescent="0.3">
      <c r="C8451" s="16">
        <v>3</v>
      </c>
      <c r="D8451" s="13" t="s">
        <v>1224</v>
      </c>
      <c r="E8451" s="17" t="s">
        <v>19</v>
      </c>
      <c r="F8451" s="18">
        <v>0.21099999999999999</v>
      </c>
      <c r="G8451" s="19">
        <f>VLOOKUP(D8451,upahbahan,3,FALSE)</f>
        <v>175000</v>
      </c>
      <c r="H8451" s="19">
        <f t="shared" si="889"/>
        <v>36925</v>
      </c>
    </row>
    <row r="8452" spans="3:11" x14ac:dyDescent="0.3">
      <c r="C8452" s="16">
        <v>4</v>
      </c>
      <c r="D8452" s="13" t="s">
        <v>23</v>
      </c>
      <c r="E8452" s="17" t="s">
        <v>19</v>
      </c>
      <c r="F8452" s="18">
        <v>7.0000000000000007E-2</v>
      </c>
      <c r="G8452" s="19">
        <f>VLOOKUP(D8452,upahbahan,3,FALSE)</f>
        <v>200000</v>
      </c>
      <c r="H8452" s="19">
        <f t="shared" si="889"/>
        <v>14000.000000000002</v>
      </c>
    </row>
    <row r="8453" spans="3:11" x14ac:dyDescent="0.3">
      <c r="C8453" s="21" t="s">
        <v>24</v>
      </c>
      <c r="D8453" s="22"/>
      <c r="E8453" s="22"/>
      <c r="F8453" s="54"/>
      <c r="G8453" s="24"/>
      <c r="H8453" s="19">
        <f>SUM(H8449:H8452)</f>
        <v>483420.00000000006</v>
      </c>
      <c r="I8453" s="25"/>
    </row>
    <row r="8454" spans="3:11" x14ac:dyDescent="0.25">
      <c r="C8454" s="12" t="s">
        <v>25</v>
      </c>
      <c r="D8454" s="13" t="s">
        <v>26</v>
      </c>
      <c r="E8454" s="14"/>
      <c r="F8454" s="55"/>
      <c r="G8454" s="14"/>
      <c r="H8454" s="14"/>
    </row>
    <row r="8455" spans="3:11" x14ac:dyDescent="0.25">
      <c r="C8455" s="12">
        <v>1</v>
      </c>
      <c r="D8455" s="13" t="s">
        <v>1576</v>
      </c>
      <c r="E8455" s="53" t="s">
        <v>1542</v>
      </c>
      <c r="F8455" s="115">
        <v>1.1000000000000001</v>
      </c>
      <c r="G8455" s="19">
        <f>VLOOKUP(D8455,upahbahan,3,FALSE)</f>
        <v>7600000</v>
      </c>
      <c r="H8455" s="19">
        <f t="shared" ref="H8455" si="890">F8455*G8455</f>
        <v>8360000.0000000009</v>
      </c>
    </row>
    <row r="8456" spans="3:11" x14ac:dyDescent="0.3">
      <c r="C8456" s="21" t="s">
        <v>29</v>
      </c>
      <c r="D8456" s="22"/>
      <c r="E8456" s="22" t="s">
        <v>1340</v>
      </c>
      <c r="F8456" s="22"/>
      <c r="G8456" s="28"/>
      <c r="H8456" s="19">
        <f>SUM(H8454:H8455)</f>
        <v>8360000.0000000009</v>
      </c>
    </row>
    <row r="8457" spans="3:11" x14ac:dyDescent="0.25">
      <c r="C8457" s="12" t="s">
        <v>30</v>
      </c>
      <c r="D8457" s="13" t="s">
        <v>31</v>
      </c>
      <c r="E8457" s="14"/>
      <c r="F8457" s="14"/>
      <c r="G8457" s="14"/>
      <c r="H8457" s="14"/>
    </row>
    <row r="8458" spans="3:11" x14ac:dyDescent="0.3">
      <c r="C8458" s="21" t="s">
        <v>32</v>
      </c>
      <c r="D8458" s="77"/>
      <c r="E8458" s="77"/>
      <c r="F8458" s="77"/>
      <c r="G8458" s="28"/>
      <c r="H8458" s="29">
        <f>SUM(H8457:H8457)</f>
        <v>0</v>
      </c>
    </row>
    <row r="8459" spans="3:11" x14ac:dyDescent="0.3">
      <c r="C8459" s="30" t="s">
        <v>33</v>
      </c>
      <c r="D8459" s="31" t="s">
        <v>34</v>
      </c>
      <c r="E8459" s="32"/>
      <c r="F8459" s="32"/>
      <c r="G8459" s="33"/>
      <c r="H8459" s="46">
        <f>H8458+H8456+H8453</f>
        <v>8843420.0000000019</v>
      </c>
      <c r="I8459" s="47"/>
    </row>
    <row r="8460" spans="3:11" x14ac:dyDescent="0.3">
      <c r="C8460" s="30" t="s">
        <v>35</v>
      </c>
      <c r="D8460" s="31" t="s">
        <v>36</v>
      </c>
      <c r="E8460" s="32"/>
      <c r="F8460" s="33"/>
      <c r="G8460" s="34">
        <f>$M$9</f>
        <v>0.1</v>
      </c>
      <c r="H8460" s="19">
        <f>H8459*G8460</f>
        <v>884342.00000000023</v>
      </c>
      <c r="I8460" s="47"/>
    </row>
    <row r="8461" spans="3:11" x14ac:dyDescent="0.3">
      <c r="C8461" s="30" t="s">
        <v>37</v>
      </c>
      <c r="D8461" s="31" t="s">
        <v>38</v>
      </c>
      <c r="E8461" s="32"/>
      <c r="F8461" s="32"/>
      <c r="G8461" s="33"/>
      <c r="H8461" s="48">
        <f>SUM(H8459:H8460)</f>
        <v>9727762.0000000019</v>
      </c>
      <c r="I8461" s="47"/>
    </row>
    <row r="8464" spans="3:11" x14ac:dyDescent="0.3">
      <c r="C8464" s="40" t="s">
        <v>1577</v>
      </c>
      <c r="D8464" s="68" t="s">
        <v>1578</v>
      </c>
      <c r="E8464" s="44"/>
      <c r="F8464" s="44"/>
      <c r="G8464" s="44"/>
      <c r="H8464" s="44"/>
      <c r="I8464" s="10">
        <f>ROUNDDOWN(H8479,0)</f>
        <v>12951675</v>
      </c>
      <c r="J8464" s="15"/>
      <c r="K8464" s="39"/>
    </row>
    <row r="8465" spans="3:9" ht="27.6" x14ac:dyDescent="0.3">
      <c r="C8465" s="11" t="s">
        <v>9</v>
      </c>
      <c r="D8465" s="11" t="s">
        <v>10</v>
      </c>
      <c r="E8465" s="11" t="s">
        <v>11</v>
      </c>
      <c r="F8465" s="11" t="s">
        <v>12</v>
      </c>
      <c r="G8465" s="11" t="s">
        <v>13</v>
      </c>
      <c r="H8465" s="11" t="s">
        <v>14</v>
      </c>
    </row>
    <row r="8466" spans="3:9" x14ac:dyDescent="0.25">
      <c r="C8466" s="12" t="s">
        <v>15</v>
      </c>
      <c r="D8466" s="13" t="s">
        <v>16</v>
      </c>
      <c r="E8466" s="14"/>
      <c r="F8466" s="14"/>
      <c r="G8466" s="14"/>
      <c r="H8466" s="14"/>
    </row>
    <row r="8467" spans="3:9" x14ac:dyDescent="0.3">
      <c r="C8467" s="16">
        <v>1</v>
      </c>
      <c r="D8467" s="13" t="s">
        <v>18</v>
      </c>
      <c r="E8467" s="17" t="s">
        <v>19</v>
      </c>
      <c r="F8467" s="18">
        <v>2.024</v>
      </c>
      <c r="G8467" s="19">
        <f>VLOOKUP(D8467,upahbahan,3,FALSE)</f>
        <v>100000</v>
      </c>
      <c r="H8467" s="19">
        <f t="shared" ref="H8467:H8470" si="891">F8467*G8467</f>
        <v>202400</v>
      </c>
    </row>
    <row r="8468" spans="3:9" x14ac:dyDescent="0.3">
      <c r="C8468" s="16">
        <v>2</v>
      </c>
      <c r="D8468" s="13" t="s">
        <v>21</v>
      </c>
      <c r="E8468" s="17" t="s">
        <v>19</v>
      </c>
      <c r="F8468" s="18">
        <v>3.38</v>
      </c>
      <c r="G8468" s="19">
        <f>VLOOKUP(D8468,upahbahan,3,FALSE)</f>
        <v>145000</v>
      </c>
      <c r="H8468" s="19">
        <f t="shared" si="891"/>
        <v>490100</v>
      </c>
    </row>
    <row r="8469" spans="3:9" x14ac:dyDescent="0.3">
      <c r="C8469" s="16">
        <v>3</v>
      </c>
      <c r="D8469" s="13" t="s">
        <v>1224</v>
      </c>
      <c r="E8469" s="17" t="s">
        <v>19</v>
      </c>
      <c r="F8469" s="18">
        <v>0.33800000000000002</v>
      </c>
      <c r="G8469" s="19">
        <f>VLOOKUP(D8469,upahbahan,3,FALSE)</f>
        <v>175000</v>
      </c>
      <c r="H8469" s="19">
        <f t="shared" si="891"/>
        <v>59150.000000000007</v>
      </c>
    </row>
    <row r="8470" spans="3:9" x14ac:dyDescent="0.3">
      <c r="C8470" s="16">
        <v>4</v>
      </c>
      <c r="D8470" s="13" t="s">
        <v>23</v>
      </c>
      <c r="E8470" s="17" t="s">
        <v>19</v>
      </c>
      <c r="F8470" s="18">
        <v>0.113</v>
      </c>
      <c r="G8470" s="19">
        <f>VLOOKUP(D8470,upahbahan,3,FALSE)</f>
        <v>200000</v>
      </c>
      <c r="H8470" s="19">
        <f t="shared" si="891"/>
        <v>22600</v>
      </c>
    </row>
    <row r="8471" spans="3:9" x14ac:dyDescent="0.3">
      <c r="C8471" s="21" t="s">
        <v>24</v>
      </c>
      <c r="D8471" s="22"/>
      <c r="E8471" s="22"/>
      <c r="F8471" s="54"/>
      <c r="G8471" s="24"/>
      <c r="H8471" s="19">
        <f>SUM(H8467:H8470)</f>
        <v>774250</v>
      </c>
      <c r="I8471" s="25"/>
    </row>
    <row r="8472" spans="3:9" x14ac:dyDescent="0.25">
      <c r="C8472" s="12" t="s">
        <v>25</v>
      </c>
      <c r="D8472" s="13" t="s">
        <v>26</v>
      </c>
      <c r="E8472" s="14"/>
      <c r="F8472" s="55"/>
      <c r="G8472" s="14"/>
      <c r="H8472" s="14"/>
    </row>
    <row r="8473" spans="3:9" x14ac:dyDescent="0.25">
      <c r="C8473" s="12">
        <v>1</v>
      </c>
      <c r="D8473" s="13" t="s">
        <v>1579</v>
      </c>
      <c r="E8473" s="53" t="s">
        <v>1542</v>
      </c>
      <c r="F8473" s="115">
        <v>1.1000000000000001</v>
      </c>
      <c r="G8473" s="19">
        <f>VLOOKUP(D8473,upahbahan,3,FALSE)</f>
        <v>10000000</v>
      </c>
      <c r="H8473" s="19">
        <f t="shared" ref="H8473" si="892">F8473*G8473</f>
        <v>11000000</v>
      </c>
    </row>
    <row r="8474" spans="3:9" x14ac:dyDescent="0.3">
      <c r="C8474" s="21" t="s">
        <v>29</v>
      </c>
      <c r="D8474" s="22"/>
      <c r="E8474" s="22" t="s">
        <v>1340</v>
      </c>
      <c r="F8474" s="22"/>
      <c r="G8474" s="28"/>
      <c r="H8474" s="19">
        <f>SUM(H8472:H8473)</f>
        <v>11000000</v>
      </c>
    </row>
    <row r="8475" spans="3:9" x14ac:dyDescent="0.25">
      <c r="C8475" s="12" t="s">
        <v>30</v>
      </c>
      <c r="D8475" s="13" t="s">
        <v>31</v>
      </c>
      <c r="E8475" s="14"/>
      <c r="F8475" s="14"/>
      <c r="G8475" s="14"/>
      <c r="H8475" s="14"/>
    </row>
    <row r="8476" spans="3:9" x14ac:dyDescent="0.3">
      <c r="C8476" s="21" t="s">
        <v>32</v>
      </c>
      <c r="D8476" s="77"/>
      <c r="E8476" s="77"/>
      <c r="F8476" s="77"/>
      <c r="G8476" s="28"/>
      <c r="H8476" s="29">
        <f>SUM(H8475:H8475)</f>
        <v>0</v>
      </c>
    </row>
    <row r="8477" spans="3:9" x14ac:dyDescent="0.3">
      <c r="C8477" s="30" t="s">
        <v>33</v>
      </c>
      <c r="D8477" s="31" t="s">
        <v>34</v>
      </c>
      <c r="E8477" s="32"/>
      <c r="F8477" s="32"/>
      <c r="G8477" s="33"/>
      <c r="H8477" s="46">
        <f>H8476+H8474+H8471</f>
        <v>11774250</v>
      </c>
      <c r="I8477" s="47"/>
    </row>
    <row r="8478" spans="3:9" x14ac:dyDescent="0.3">
      <c r="C8478" s="30" t="s">
        <v>35</v>
      </c>
      <c r="D8478" s="31" t="s">
        <v>36</v>
      </c>
      <c r="E8478" s="32"/>
      <c r="F8478" s="33"/>
      <c r="G8478" s="34">
        <f>$M$9</f>
        <v>0.1</v>
      </c>
      <c r="H8478" s="19">
        <f>H8477*G8478</f>
        <v>1177425</v>
      </c>
      <c r="I8478" s="47"/>
    </row>
    <row r="8479" spans="3:9" x14ac:dyDescent="0.3">
      <c r="C8479" s="30" t="s">
        <v>37</v>
      </c>
      <c r="D8479" s="31" t="s">
        <v>38</v>
      </c>
      <c r="E8479" s="32"/>
      <c r="F8479" s="32"/>
      <c r="G8479" s="33"/>
      <c r="H8479" s="48">
        <f>SUM(H8477:H8478)</f>
        <v>12951675</v>
      </c>
      <c r="I8479" s="47"/>
    </row>
    <row r="8481" spans="3:11" x14ac:dyDescent="0.3">
      <c r="C8481" s="56" t="s">
        <v>1580</v>
      </c>
      <c r="D8481" s="69" t="s">
        <v>1581</v>
      </c>
      <c r="E8481" s="58"/>
      <c r="F8481" s="58"/>
      <c r="G8481" s="58"/>
      <c r="H8481" s="58"/>
      <c r="I8481" s="10">
        <f>ROUNDDOWN(H8497,0)</f>
        <v>40744</v>
      </c>
      <c r="J8481" s="15"/>
      <c r="K8481" s="39"/>
    </row>
    <row r="8482" spans="3:11" ht="27.6" x14ac:dyDescent="0.3">
      <c r="C8482" s="11" t="s">
        <v>9</v>
      </c>
      <c r="D8482" s="11" t="s">
        <v>10</v>
      </c>
      <c r="E8482" s="11" t="s">
        <v>11</v>
      </c>
      <c r="F8482" s="11" t="s">
        <v>12</v>
      </c>
      <c r="G8482" s="11" t="s">
        <v>13</v>
      </c>
      <c r="H8482" s="11" t="s">
        <v>14</v>
      </c>
    </row>
    <row r="8483" spans="3:11" x14ac:dyDescent="0.25">
      <c r="C8483" s="12" t="s">
        <v>15</v>
      </c>
      <c r="D8483" s="13" t="s">
        <v>16</v>
      </c>
      <c r="E8483" s="14"/>
      <c r="F8483" s="14"/>
      <c r="G8483" s="14"/>
      <c r="H8483" s="14"/>
    </row>
    <row r="8484" spans="3:11" x14ac:dyDescent="0.3">
      <c r="C8484" s="16">
        <v>1</v>
      </c>
      <c r="D8484" s="13" t="s">
        <v>18</v>
      </c>
      <c r="E8484" s="17" t="s">
        <v>19</v>
      </c>
      <c r="F8484" s="18">
        <v>2.4E-2</v>
      </c>
      <c r="G8484" s="19">
        <f>VLOOKUP(D8484,upahbahan,3,FALSE)</f>
        <v>100000</v>
      </c>
      <c r="H8484" s="19">
        <f t="shared" ref="H8484:H8487" si="893">F8484*G8484</f>
        <v>2400</v>
      </c>
    </row>
    <row r="8485" spans="3:11" x14ac:dyDescent="0.3">
      <c r="C8485" s="16">
        <v>2</v>
      </c>
      <c r="D8485" s="13" t="s">
        <v>21</v>
      </c>
      <c r="E8485" s="17" t="s">
        <v>19</v>
      </c>
      <c r="F8485" s="18">
        <v>0.04</v>
      </c>
      <c r="G8485" s="19">
        <f>VLOOKUP(D8485,upahbahan,3,FALSE)</f>
        <v>145000</v>
      </c>
      <c r="H8485" s="19">
        <f t="shared" si="893"/>
        <v>5800</v>
      </c>
    </row>
    <row r="8486" spans="3:11" x14ac:dyDescent="0.3">
      <c r="C8486" s="16">
        <v>3</v>
      </c>
      <c r="D8486" s="13" t="s">
        <v>1224</v>
      </c>
      <c r="E8486" s="17" t="s">
        <v>19</v>
      </c>
      <c r="F8486" s="18">
        <v>4.0000000000000001E-3</v>
      </c>
      <c r="G8486" s="19">
        <f>VLOOKUP(D8486,upahbahan,3,FALSE)</f>
        <v>175000</v>
      </c>
      <c r="H8486" s="19">
        <f t="shared" si="893"/>
        <v>700</v>
      </c>
    </row>
    <row r="8487" spans="3:11" x14ac:dyDescent="0.3">
      <c r="C8487" s="16">
        <v>4</v>
      </c>
      <c r="D8487" s="13" t="s">
        <v>23</v>
      </c>
      <c r="E8487" s="17" t="s">
        <v>19</v>
      </c>
      <c r="F8487" s="18">
        <v>1E-3</v>
      </c>
      <c r="G8487" s="19">
        <f>VLOOKUP(D8487,upahbahan,3,FALSE)</f>
        <v>200000</v>
      </c>
      <c r="H8487" s="19">
        <f t="shared" si="893"/>
        <v>200</v>
      </c>
    </row>
    <row r="8488" spans="3:11" x14ac:dyDescent="0.3">
      <c r="C8488" s="21" t="s">
        <v>24</v>
      </c>
      <c r="D8488" s="22"/>
      <c r="E8488" s="22"/>
      <c r="F8488" s="54"/>
      <c r="G8488" s="24"/>
      <c r="H8488" s="19">
        <f>SUM(H8484:H8487)</f>
        <v>9100</v>
      </c>
      <c r="I8488" s="25"/>
    </row>
    <row r="8489" spans="3:11" x14ac:dyDescent="0.25">
      <c r="C8489" s="12" t="s">
        <v>25</v>
      </c>
      <c r="D8489" s="13" t="s">
        <v>26</v>
      </c>
      <c r="E8489" s="14"/>
      <c r="F8489" s="55"/>
      <c r="G8489" s="14"/>
      <c r="H8489" s="14"/>
    </row>
    <row r="8490" spans="3:11" x14ac:dyDescent="0.25">
      <c r="C8490" s="12">
        <v>1</v>
      </c>
      <c r="D8490" s="13" t="s">
        <v>249</v>
      </c>
      <c r="E8490" s="53" t="s">
        <v>1542</v>
      </c>
      <c r="F8490" s="115">
        <v>1.1000000000000001</v>
      </c>
      <c r="G8490" s="19">
        <f>VLOOKUP(D8490,upahbahan,3,FALSE)</f>
        <v>21300</v>
      </c>
      <c r="H8490" s="19">
        <f t="shared" ref="H8490:H8491" si="894">F8490*G8490</f>
        <v>23430.000000000004</v>
      </c>
    </row>
    <row r="8491" spans="3:11" x14ac:dyDescent="0.25">
      <c r="C8491" s="12">
        <v>2</v>
      </c>
      <c r="D8491" s="13" t="s">
        <v>205</v>
      </c>
      <c r="E8491" s="53" t="s">
        <v>1542</v>
      </c>
      <c r="F8491" s="115">
        <v>1.1000000000000001</v>
      </c>
      <c r="G8491" s="19">
        <f>VLOOKUP(D8491,upahbahan,3,FALSE)</f>
        <v>4100</v>
      </c>
      <c r="H8491" s="19">
        <f t="shared" si="894"/>
        <v>4510</v>
      </c>
    </row>
    <row r="8492" spans="3:11" x14ac:dyDescent="0.3">
      <c r="C8492" s="21" t="s">
        <v>29</v>
      </c>
      <c r="D8492" s="22"/>
      <c r="E8492" s="22" t="s">
        <v>1340</v>
      </c>
      <c r="F8492" s="22"/>
      <c r="G8492" s="28"/>
      <c r="H8492" s="19">
        <f>SUM(H8489:H8491)</f>
        <v>27940.000000000004</v>
      </c>
    </row>
    <row r="8493" spans="3:11" x14ac:dyDescent="0.25">
      <c r="C8493" s="12" t="s">
        <v>30</v>
      </c>
      <c r="D8493" s="13" t="s">
        <v>31</v>
      </c>
      <c r="E8493" s="14"/>
      <c r="F8493" s="14"/>
      <c r="G8493" s="14"/>
      <c r="H8493" s="14"/>
    </row>
    <row r="8494" spans="3:11" x14ac:dyDescent="0.3">
      <c r="C8494" s="21" t="s">
        <v>32</v>
      </c>
      <c r="D8494" s="77"/>
      <c r="E8494" s="77"/>
      <c r="F8494" s="77"/>
      <c r="G8494" s="28"/>
      <c r="H8494" s="29">
        <f>SUM(H8493:H8493)</f>
        <v>0</v>
      </c>
    </row>
    <row r="8495" spans="3:11" x14ac:dyDescent="0.3">
      <c r="C8495" s="30" t="s">
        <v>33</v>
      </c>
      <c r="D8495" s="31" t="s">
        <v>34</v>
      </c>
      <c r="E8495" s="32"/>
      <c r="F8495" s="32"/>
      <c r="G8495" s="33"/>
      <c r="H8495" s="46">
        <f>H8494+H8492+H8488</f>
        <v>37040</v>
      </c>
      <c r="I8495" s="47"/>
    </row>
    <row r="8496" spans="3:11" x14ac:dyDescent="0.3">
      <c r="C8496" s="30" t="s">
        <v>35</v>
      </c>
      <c r="D8496" s="31" t="s">
        <v>36</v>
      </c>
      <c r="E8496" s="32"/>
      <c r="F8496" s="33"/>
      <c r="G8496" s="34">
        <f>$M$9</f>
        <v>0.1</v>
      </c>
      <c r="H8496" s="19">
        <f>H8495*G8496</f>
        <v>3704</v>
      </c>
      <c r="I8496" s="47"/>
    </row>
    <row r="8497" spans="3:11" x14ac:dyDescent="0.3">
      <c r="C8497" s="30" t="s">
        <v>37</v>
      </c>
      <c r="D8497" s="31" t="s">
        <v>38</v>
      </c>
      <c r="E8497" s="32"/>
      <c r="F8497" s="32"/>
      <c r="G8497" s="33"/>
      <c r="H8497" s="48">
        <f>SUM(H8495:H8496)</f>
        <v>40744</v>
      </c>
      <c r="I8497" s="47"/>
    </row>
    <row r="8500" spans="3:11" x14ac:dyDescent="0.3">
      <c r="C8500" s="40" t="s">
        <v>1582</v>
      </c>
      <c r="D8500" s="68" t="s">
        <v>1583</v>
      </c>
      <c r="E8500" s="44"/>
      <c r="F8500" s="44"/>
      <c r="G8500" s="44"/>
      <c r="H8500" s="44"/>
      <c r="I8500" s="10">
        <f>ROUNDDOWN(H8515,0)</f>
        <v>274769</v>
      </c>
      <c r="J8500" s="15"/>
      <c r="K8500" s="39"/>
    </row>
    <row r="8501" spans="3:11" ht="27.6" x14ac:dyDescent="0.3">
      <c r="C8501" s="11" t="s">
        <v>9</v>
      </c>
      <c r="D8501" s="11" t="s">
        <v>10</v>
      </c>
      <c r="E8501" s="11" t="s">
        <v>11</v>
      </c>
      <c r="F8501" s="11" t="s">
        <v>12</v>
      </c>
      <c r="G8501" s="11" t="s">
        <v>13</v>
      </c>
      <c r="H8501" s="11" t="s">
        <v>14</v>
      </c>
    </row>
    <row r="8502" spans="3:11" x14ac:dyDescent="0.25">
      <c r="C8502" s="12" t="s">
        <v>15</v>
      </c>
      <c r="D8502" s="13" t="s">
        <v>16</v>
      </c>
      <c r="E8502" s="14"/>
      <c r="F8502" s="14"/>
      <c r="G8502" s="14"/>
      <c r="H8502" s="14"/>
    </row>
    <row r="8503" spans="3:11" x14ac:dyDescent="0.3">
      <c r="C8503" s="16">
        <v>1</v>
      </c>
      <c r="D8503" s="13" t="s">
        <v>18</v>
      </c>
      <c r="E8503" s="17" t="s">
        <v>19</v>
      </c>
      <c r="F8503" s="18">
        <v>2.4E-2</v>
      </c>
      <c r="G8503" s="19">
        <f>VLOOKUP(D8503,upahbahan,3,FALSE)</f>
        <v>100000</v>
      </c>
      <c r="H8503" s="19">
        <f t="shared" ref="H8503:H8506" si="895">F8503*G8503</f>
        <v>2400</v>
      </c>
    </row>
    <row r="8504" spans="3:11" x14ac:dyDescent="0.3">
      <c r="C8504" s="16">
        <v>2</v>
      </c>
      <c r="D8504" s="13" t="s">
        <v>21</v>
      </c>
      <c r="E8504" s="17" t="s">
        <v>19</v>
      </c>
      <c r="F8504" s="18">
        <v>0.04</v>
      </c>
      <c r="G8504" s="19">
        <f>VLOOKUP(D8504,upahbahan,3,FALSE)</f>
        <v>145000</v>
      </c>
      <c r="H8504" s="19">
        <f t="shared" si="895"/>
        <v>5800</v>
      </c>
    </row>
    <row r="8505" spans="3:11" x14ac:dyDescent="0.3">
      <c r="C8505" s="16">
        <v>3</v>
      </c>
      <c r="D8505" s="13" t="s">
        <v>1224</v>
      </c>
      <c r="E8505" s="17" t="s">
        <v>19</v>
      </c>
      <c r="F8505" s="18">
        <v>4.0000000000000001E-3</v>
      </c>
      <c r="G8505" s="19">
        <f>VLOOKUP(D8505,upahbahan,3,FALSE)</f>
        <v>175000</v>
      </c>
      <c r="H8505" s="19">
        <f t="shared" si="895"/>
        <v>700</v>
      </c>
    </row>
    <row r="8506" spans="3:11" x14ac:dyDescent="0.3">
      <c r="C8506" s="16">
        <v>4</v>
      </c>
      <c r="D8506" s="13" t="s">
        <v>23</v>
      </c>
      <c r="E8506" s="17" t="s">
        <v>19</v>
      </c>
      <c r="F8506" s="18">
        <v>1E-3</v>
      </c>
      <c r="G8506" s="19">
        <f>VLOOKUP(D8506,upahbahan,3,FALSE)</f>
        <v>200000</v>
      </c>
      <c r="H8506" s="19">
        <f t="shared" si="895"/>
        <v>200</v>
      </c>
    </row>
    <row r="8507" spans="3:11" x14ac:dyDescent="0.3">
      <c r="C8507" s="21" t="s">
        <v>24</v>
      </c>
      <c r="D8507" s="22"/>
      <c r="E8507" s="22"/>
      <c r="F8507" s="54"/>
      <c r="G8507" s="24"/>
      <c r="H8507" s="19">
        <f>SUM(H8503:H8506)</f>
        <v>9100</v>
      </c>
      <c r="I8507" s="25"/>
    </row>
    <row r="8508" spans="3:11" x14ac:dyDescent="0.25">
      <c r="C8508" s="12" t="s">
        <v>25</v>
      </c>
      <c r="D8508" s="13" t="s">
        <v>26</v>
      </c>
      <c r="E8508" s="14"/>
      <c r="F8508" s="55"/>
      <c r="G8508" s="14"/>
      <c r="H8508" s="14"/>
    </row>
    <row r="8509" spans="3:11" x14ac:dyDescent="0.25">
      <c r="C8509" s="12">
        <v>1</v>
      </c>
      <c r="D8509" s="13" t="s">
        <v>249</v>
      </c>
      <c r="E8509" s="53" t="s">
        <v>1542</v>
      </c>
      <c r="F8509" s="115">
        <v>11.3</v>
      </c>
      <c r="G8509" s="19">
        <f>VLOOKUP(D8509,upahbahan,3,FALSE)</f>
        <v>21300</v>
      </c>
      <c r="H8509" s="19">
        <f t="shared" ref="H8509" si="896">F8509*G8509</f>
        <v>240690.00000000003</v>
      </c>
    </row>
    <row r="8510" spans="3:11" x14ac:dyDescent="0.3">
      <c r="C8510" s="21" t="s">
        <v>29</v>
      </c>
      <c r="D8510" s="22"/>
      <c r="E8510" s="22" t="s">
        <v>1340</v>
      </c>
      <c r="F8510" s="22"/>
      <c r="G8510" s="28"/>
      <c r="H8510" s="19">
        <f>SUM(H8508:H8509)</f>
        <v>240690.00000000003</v>
      </c>
    </row>
    <row r="8511" spans="3:11" x14ac:dyDescent="0.25">
      <c r="C8511" s="12" t="s">
        <v>30</v>
      </c>
      <c r="D8511" s="13" t="s">
        <v>31</v>
      </c>
      <c r="E8511" s="14"/>
      <c r="F8511" s="14"/>
      <c r="G8511" s="14"/>
      <c r="H8511" s="14"/>
    </row>
    <row r="8512" spans="3:11" x14ac:dyDescent="0.3">
      <c r="C8512" s="21" t="s">
        <v>32</v>
      </c>
      <c r="D8512" s="77"/>
      <c r="E8512" s="77"/>
      <c r="F8512" s="77"/>
      <c r="G8512" s="28"/>
      <c r="H8512" s="29">
        <f>SUM(H8511:H8511)</f>
        <v>0</v>
      </c>
    </row>
    <row r="8513" spans="3:11" x14ac:dyDescent="0.3">
      <c r="C8513" s="30" t="s">
        <v>33</v>
      </c>
      <c r="D8513" s="31" t="s">
        <v>34</v>
      </c>
      <c r="E8513" s="32"/>
      <c r="F8513" s="32"/>
      <c r="G8513" s="33"/>
      <c r="H8513" s="46">
        <f>H8512+H8510+H8507</f>
        <v>249790.00000000003</v>
      </c>
      <c r="I8513" s="47"/>
    </row>
    <row r="8514" spans="3:11" x14ac:dyDescent="0.3">
      <c r="C8514" s="30" t="s">
        <v>35</v>
      </c>
      <c r="D8514" s="31" t="s">
        <v>36</v>
      </c>
      <c r="E8514" s="32"/>
      <c r="F8514" s="33"/>
      <c r="G8514" s="34">
        <f>$M$9</f>
        <v>0.1</v>
      </c>
      <c r="H8514" s="19">
        <f>H8513*G8514</f>
        <v>24979.000000000004</v>
      </c>
      <c r="I8514" s="47"/>
    </row>
    <row r="8515" spans="3:11" x14ac:dyDescent="0.3">
      <c r="C8515" s="30" t="s">
        <v>37</v>
      </c>
      <c r="D8515" s="31" t="s">
        <v>38</v>
      </c>
      <c r="E8515" s="32"/>
      <c r="F8515" s="32"/>
      <c r="G8515" s="33"/>
      <c r="H8515" s="48">
        <f>SUM(H8513:H8514)</f>
        <v>274769.00000000006</v>
      </c>
      <c r="I8515" s="47"/>
    </row>
    <row r="8517" spans="3:11" x14ac:dyDescent="0.3">
      <c r="C8517" s="2" t="s">
        <v>1584</v>
      </c>
      <c r="D8517" s="2" t="s">
        <v>1585</v>
      </c>
    </row>
    <row r="8518" spans="3:11" x14ac:dyDescent="0.3">
      <c r="C8518" s="56" t="s">
        <v>1586</v>
      </c>
      <c r="D8518" s="69" t="s">
        <v>1587</v>
      </c>
      <c r="E8518" s="58"/>
      <c r="F8518" s="58"/>
      <c r="G8518" s="58"/>
      <c r="H8518" s="58"/>
      <c r="I8518" s="10">
        <f>ROUNDDOWN(H8533,0)</f>
        <v>1196195</v>
      </c>
      <c r="J8518" s="15"/>
      <c r="K8518" s="39"/>
    </row>
    <row r="8519" spans="3:11" ht="27.6" x14ac:dyDescent="0.3">
      <c r="C8519" s="11" t="s">
        <v>9</v>
      </c>
      <c r="D8519" s="11" t="s">
        <v>10</v>
      </c>
      <c r="E8519" s="11" t="s">
        <v>11</v>
      </c>
      <c r="F8519" s="11" t="s">
        <v>12</v>
      </c>
      <c r="G8519" s="11" t="s">
        <v>13</v>
      </c>
      <c r="H8519" s="11" t="s">
        <v>14</v>
      </c>
    </row>
    <row r="8520" spans="3:11" x14ac:dyDescent="0.25">
      <c r="C8520" s="12" t="s">
        <v>15</v>
      </c>
      <c r="D8520" s="13" t="s">
        <v>16</v>
      </c>
      <c r="E8520" s="14"/>
      <c r="F8520" s="14"/>
      <c r="G8520" s="14"/>
      <c r="H8520" s="14"/>
    </row>
    <row r="8521" spans="3:11" x14ac:dyDescent="0.3">
      <c r="C8521" s="16">
        <v>1</v>
      </c>
      <c r="D8521" s="13" t="s">
        <v>18</v>
      </c>
      <c r="E8521" s="17" t="s">
        <v>19</v>
      </c>
      <c r="F8521" s="18">
        <v>0.255</v>
      </c>
      <c r="G8521" s="19">
        <f>VLOOKUP(D8521,upahbahan,3,FALSE)</f>
        <v>100000</v>
      </c>
      <c r="H8521" s="19">
        <f t="shared" ref="H8521:H8524" si="897">F8521*G8521</f>
        <v>25500</v>
      </c>
    </row>
    <row r="8522" spans="3:11" x14ac:dyDescent="0.3">
      <c r="C8522" s="16">
        <v>2</v>
      </c>
      <c r="D8522" s="13" t="s">
        <v>21</v>
      </c>
      <c r="E8522" s="17" t="s">
        <v>19</v>
      </c>
      <c r="F8522" s="18">
        <v>0.42499999999999999</v>
      </c>
      <c r="G8522" s="19">
        <f>VLOOKUP(D8522,upahbahan,3,FALSE)</f>
        <v>145000</v>
      </c>
      <c r="H8522" s="19">
        <f t="shared" si="897"/>
        <v>61625</v>
      </c>
    </row>
    <row r="8523" spans="3:11" x14ac:dyDescent="0.3">
      <c r="C8523" s="16">
        <v>3</v>
      </c>
      <c r="D8523" s="13" t="s">
        <v>1224</v>
      </c>
      <c r="E8523" s="17" t="s">
        <v>19</v>
      </c>
      <c r="F8523" s="18">
        <v>4.2999999999999997E-2</v>
      </c>
      <c r="G8523" s="19">
        <f>VLOOKUP(D8523,upahbahan,3,FALSE)</f>
        <v>175000</v>
      </c>
      <c r="H8523" s="19">
        <f t="shared" si="897"/>
        <v>7524.9999999999991</v>
      </c>
    </row>
    <row r="8524" spans="3:11" x14ac:dyDescent="0.3">
      <c r="C8524" s="16">
        <v>4</v>
      </c>
      <c r="D8524" s="13" t="s">
        <v>23</v>
      </c>
      <c r="E8524" s="17" t="s">
        <v>19</v>
      </c>
      <c r="F8524" s="18">
        <v>1.4E-2</v>
      </c>
      <c r="G8524" s="19">
        <f>VLOOKUP(D8524,upahbahan,3,FALSE)</f>
        <v>200000</v>
      </c>
      <c r="H8524" s="19">
        <f t="shared" si="897"/>
        <v>2800</v>
      </c>
    </row>
    <row r="8525" spans="3:11" x14ac:dyDescent="0.3">
      <c r="C8525" s="21" t="s">
        <v>24</v>
      </c>
      <c r="D8525" s="22"/>
      <c r="E8525" s="22"/>
      <c r="F8525" s="54"/>
      <c r="G8525" s="24"/>
      <c r="H8525" s="19">
        <f>SUM(H8521:H8524)</f>
        <v>97450</v>
      </c>
      <c r="I8525" s="25"/>
    </row>
    <row r="8526" spans="3:11" x14ac:dyDescent="0.25">
      <c r="C8526" s="12" t="s">
        <v>25</v>
      </c>
      <c r="D8526" s="13" t="s">
        <v>26</v>
      </c>
      <c r="E8526" s="14"/>
      <c r="F8526" s="55"/>
      <c r="G8526" s="14"/>
      <c r="H8526" s="14"/>
    </row>
    <row r="8527" spans="3:11" x14ac:dyDescent="0.25">
      <c r="C8527" s="12">
        <v>1</v>
      </c>
      <c r="D8527" s="13" t="s">
        <v>1588</v>
      </c>
      <c r="E8527" s="53" t="s">
        <v>1542</v>
      </c>
      <c r="F8527" s="115">
        <v>1.1000000000000001</v>
      </c>
      <c r="G8527" s="19">
        <f>VLOOKUP(D8527,upahbahan,3,FALSE)</f>
        <v>900000</v>
      </c>
      <c r="H8527" s="19">
        <f t="shared" ref="H8527" si="898">F8527*G8527</f>
        <v>990000.00000000012</v>
      </c>
    </row>
    <row r="8528" spans="3:11" x14ac:dyDescent="0.3">
      <c r="C8528" s="21" t="s">
        <v>29</v>
      </c>
      <c r="D8528" s="22"/>
      <c r="E8528" s="22" t="s">
        <v>1340</v>
      </c>
      <c r="F8528" s="22"/>
      <c r="G8528" s="28"/>
      <c r="H8528" s="19">
        <f>SUM(H8526:H8527)</f>
        <v>990000.00000000012</v>
      </c>
    </row>
    <row r="8529" spans="3:11" x14ac:dyDescent="0.25">
      <c r="C8529" s="12" t="s">
        <v>30</v>
      </c>
      <c r="D8529" s="13" t="s">
        <v>31</v>
      </c>
      <c r="E8529" s="14"/>
      <c r="F8529" s="14"/>
      <c r="G8529" s="14"/>
      <c r="H8529" s="14"/>
    </row>
    <row r="8530" spans="3:11" x14ac:dyDescent="0.3">
      <c r="C8530" s="21" t="s">
        <v>32</v>
      </c>
      <c r="D8530" s="77"/>
      <c r="E8530" s="77"/>
      <c r="F8530" s="77"/>
      <c r="G8530" s="28"/>
      <c r="H8530" s="29">
        <f>SUM(H8529:H8529)</f>
        <v>0</v>
      </c>
    </row>
    <row r="8531" spans="3:11" x14ac:dyDescent="0.3">
      <c r="C8531" s="30" t="s">
        <v>33</v>
      </c>
      <c r="D8531" s="31" t="s">
        <v>34</v>
      </c>
      <c r="E8531" s="32"/>
      <c r="F8531" s="32"/>
      <c r="G8531" s="33"/>
      <c r="H8531" s="46">
        <f>H8530+H8528+H8525</f>
        <v>1087450</v>
      </c>
      <c r="I8531" s="47"/>
    </row>
    <row r="8532" spans="3:11" x14ac:dyDescent="0.3">
      <c r="C8532" s="30" t="s">
        <v>35</v>
      </c>
      <c r="D8532" s="31" t="s">
        <v>36</v>
      </c>
      <c r="E8532" s="32"/>
      <c r="F8532" s="33"/>
      <c r="G8532" s="34">
        <f>$M$9</f>
        <v>0.1</v>
      </c>
      <c r="H8532" s="19">
        <f>H8531*G8532</f>
        <v>108745</v>
      </c>
      <c r="I8532" s="47"/>
    </row>
    <row r="8533" spans="3:11" x14ac:dyDescent="0.3">
      <c r="C8533" s="30" t="s">
        <v>37</v>
      </c>
      <c r="D8533" s="31" t="s">
        <v>38</v>
      </c>
      <c r="E8533" s="32"/>
      <c r="F8533" s="32"/>
      <c r="G8533" s="33"/>
      <c r="H8533" s="48">
        <f>SUM(H8531:H8532)</f>
        <v>1196195</v>
      </c>
      <c r="I8533" s="47"/>
    </row>
    <row r="8536" spans="3:11" x14ac:dyDescent="0.3">
      <c r="C8536" s="40" t="s">
        <v>1589</v>
      </c>
      <c r="D8536" s="68" t="s">
        <v>1590</v>
      </c>
      <c r="E8536" s="44"/>
      <c r="F8536" s="44"/>
      <c r="G8536" s="44"/>
      <c r="H8536" s="44"/>
      <c r="I8536" s="10">
        <f>ROUNDDOWN(H8551,0)</f>
        <v>1559195</v>
      </c>
      <c r="J8536" s="15"/>
      <c r="K8536" s="39"/>
    </row>
    <row r="8537" spans="3:11" ht="27.6" x14ac:dyDescent="0.3">
      <c r="C8537" s="11" t="s">
        <v>9</v>
      </c>
      <c r="D8537" s="11" t="s">
        <v>10</v>
      </c>
      <c r="E8537" s="11" t="s">
        <v>11</v>
      </c>
      <c r="F8537" s="11" t="s">
        <v>12</v>
      </c>
      <c r="G8537" s="11" t="s">
        <v>13</v>
      </c>
      <c r="H8537" s="11" t="s">
        <v>14</v>
      </c>
    </row>
    <row r="8538" spans="3:11" x14ac:dyDescent="0.25">
      <c r="C8538" s="12" t="s">
        <v>15</v>
      </c>
      <c r="D8538" s="13" t="s">
        <v>16</v>
      </c>
      <c r="E8538" s="14"/>
      <c r="F8538" s="14"/>
      <c r="G8538" s="14"/>
      <c r="H8538" s="14"/>
    </row>
    <row r="8539" spans="3:11" x14ac:dyDescent="0.3">
      <c r="C8539" s="16">
        <v>1</v>
      </c>
      <c r="D8539" s="13" t="s">
        <v>18</v>
      </c>
      <c r="E8539" s="17" t="s">
        <v>19</v>
      </c>
      <c r="F8539" s="18">
        <v>0.255</v>
      </c>
      <c r="G8539" s="19">
        <f>VLOOKUP(D8539,upahbahan,3,FALSE)</f>
        <v>100000</v>
      </c>
      <c r="H8539" s="19">
        <f t="shared" ref="H8539:H8542" si="899">F8539*G8539</f>
        <v>25500</v>
      </c>
    </row>
    <row r="8540" spans="3:11" x14ac:dyDescent="0.3">
      <c r="C8540" s="16">
        <v>2</v>
      </c>
      <c r="D8540" s="13" t="s">
        <v>21</v>
      </c>
      <c r="E8540" s="17" t="s">
        <v>19</v>
      </c>
      <c r="F8540" s="18">
        <v>0.42499999999999999</v>
      </c>
      <c r="G8540" s="19">
        <f>VLOOKUP(D8540,upahbahan,3,FALSE)</f>
        <v>145000</v>
      </c>
      <c r="H8540" s="19">
        <f t="shared" si="899"/>
        <v>61625</v>
      </c>
    </row>
    <row r="8541" spans="3:11" x14ac:dyDescent="0.3">
      <c r="C8541" s="16">
        <v>3</v>
      </c>
      <c r="D8541" s="13" t="s">
        <v>1224</v>
      </c>
      <c r="E8541" s="17" t="s">
        <v>19</v>
      </c>
      <c r="F8541" s="18">
        <v>4.2999999999999997E-2</v>
      </c>
      <c r="G8541" s="19">
        <f>VLOOKUP(D8541,upahbahan,3,FALSE)</f>
        <v>175000</v>
      </c>
      <c r="H8541" s="19">
        <f t="shared" si="899"/>
        <v>7524.9999999999991</v>
      </c>
    </row>
    <row r="8542" spans="3:11" x14ac:dyDescent="0.3">
      <c r="C8542" s="16">
        <v>4</v>
      </c>
      <c r="D8542" s="13" t="s">
        <v>23</v>
      </c>
      <c r="E8542" s="17" t="s">
        <v>19</v>
      </c>
      <c r="F8542" s="18">
        <v>1.4E-2</v>
      </c>
      <c r="G8542" s="19">
        <f>VLOOKUP(D8542,upahbahan,3,FALSE)</f>
        <v>200000</v>
      </c>
      <c r="H8542" s="19">
        <f t="shared" si="899"/>
        <v>2800</v>
      </c>
    </row>
    <row r="8543" spans="3:11" x14ac:dyDescent="0.3">
      <c r="C8543" s="21" t="s">
        <v>24</v>
      </c>
      <c r="D8543" s="22"/>
      <c r="E8543" s="22"/>
      <c r="F8543" s="54"/>
      <c r="G8543" s="24"/>
      <c r="H8543" s="19">
        <f>SUM(H8539:H8542)</f>
        <v>97450</v>
      </c>
      <c r="I8543" s="25"/>
    </row>
    <row r="8544" spans="3:11" x14ac:dyDescent="0.25">
      <c r="C8544" s="12" t="s">
        <v>25</v>
      </c>
      <c r="D8544" s="13" t="s">
        <v>26</v>
      </c>
      <c r="E8544" s="14"/>
      <c r="F8544" s="55"/>
      <c r="G8544" s="14"/>
      <c r="H8544" s="14"/>
    </row>
    <row r="8545" spans="3:11" x14ac:dyDescent="0.25">
      <c r="C8545" s="12">
        <v>1</v>
      </c>
      <c r="D8545" s="13" t="s">
        <v>1591</v>
      </c>
      <c r="E8545" s="53" t="s">
        <v>1542</v>
      </c>
      <c r="F8545" s="115">
        <v>1.1000000000000001</v>
      </c>
      <c r="G8545" s="19">
        <f>VLOOKUP(D8545,upahbahan,3,FALSE)</f>
        <v>1200000</v>
      </c>
      <c r="H8545" s="19">
        <f t="shared" ref="H8545" si="900">F8545*G8545</f>
        <v>1320000</v>
      </c>
    </row>
    <row r="8546" spans="3:11" x14ac:dyDescent="0.3">
      <c r="C8546" s="21" t="s">
        <v>29</v>
      </c>
      <c r="D8546" s="22"/>
      <c r="E8546" s="22" t="s">
        <v>1340</v>
      </c>
      <c r="F8546" s="22"/>
      <c r="G8546" s="28"/>
      <c r="H8546" s="19">
        <f>SUM(H8544:H8545)</f>
        <v>1320000</v>
      </c>
    </row>
    <row r="8547" spans="3:11" x14ac:dyDescent="0.25">
      <c r="C8547" s="12" t="s">
        <v>30</v>
      </c>
      <c r="D8547" s="13" t="s">
        <v>31</v>
      </c>
      <c r="E8547" s="14"/>
      <c r="F8547" s="14"/>
      <c r="G8547" s="14"/>
      <c r="H8547" s="14"/>
    </row>
    <row r="8548" spans="3:11" x14ac:dyDescent="0.3">
      <c r="C8548" s="21" t="s">
        <v>32</v>
      </c>
      <c r="D8548" s="77"/>
      <c r="E8548" s="77"/>
      <c r="F8548" s="77"/>
      <c r="G8548" s="28"/>
      <c r="H8548" s="29">
        <f>SUM(H8547:H8547)</f>
        <v>0</v>
      </c>
    </row>
    <row r="8549" spans="3:11" x14ac:dyDescent="0.3">
      <c r="C8549" s="30" t="s">
        <v>33</v>
      </c>
      <c r="D8549" s="31" t="s">
        <v>34</v>
      </c>
      <c r="E8549" s="32"/>
      <c r="F8549" s="32"/>
      <c r="G8549" s="33"/>
      <c r="H8549" s="46">
        <f>H8548+H8546+H8543</f>
        <v>1417450</v>
      </c>
      <c r="I8549" s="47"/>
    </row>
    <row r="8550" spans="3:11" x14ac:dyDescent="0.3">
      <c r="C8550" s="30" t="s">
        <v>35</v>
      </c>
      <c r="D8550" s="31" t="s">
        <v>36</v>
      </c>
      <c r="E8550" s="32"/>
      <c r="F8550" s="33"/>
      <c r="G8550" s="34">
        <f>$M$9</f>
        <v>0.1</v>
      </c>
      <c r="H8550" s="19">
        <f>H8549*G8550</f>
        <v>141745</v>
      </c>
      <c r="I8550" s="47"/>
    </row>
    <row r="8551" spans="3:11" x14ac:dyDescent="0.3">
      <c r="C8551" s="30" t="s">
        <v>37</v>
      </c>
      <c r="D8551" s="31" t="s">
        <v>38</v>
      </c>
      <c r="E8551" s="32"/>
      <c r="F8551" s="32"/>
      <c r="G8551" s="33"/>
      <c r="H8551" s="48">
        <f>SUM(H8549:H8550)</f>
        <v>1559195</v>
      </c>
      <c r="I8551" s="47"/>
    </row>
    <row r="8553" spans="3:11" x14ac:dyDescent="0.3">
      <c r="C8553" s="40" t="s">
        <v>1592</v>
      </c>
      <c r="D8553" s="68" t="s">
        <v>1593</v>
      </c>
      <c r="E8553" s="44"/>
      <c r="F8553" s="44"/>
      <c r="G8553" s="44"/>
      <c r="H8553" s="44"/>
      <c r="I8553" s="10">
        <f>ROUNDDOWN(H8568,0)</f>
        <v>1740695</v>
      </c>
      <c r="J8553" s="15"/>
      <c r="K8553" s="39"/>
    </row>
    <row r="8554" spans="3:11" ht="27.6" x14ac:dyDescent="0.3">
      <c r="C8554" s="11" t="s">
        <v>9</v>
      </c>
      <c r="D8554" s="11" t="s">
        <v>10</v>
      </c>
      <c r="E8554" s="11" t="s">
        <v>11</v>
      </c>
      <c r="F8554" s="11" t="s">
        <v>12</v>
      </c>
      <c r="G8554" s="11" t="s">
        <v>13</v>
      </c>
      <c r="H8554" s="11" t="s">
        <v>14</v>
      </c>
    </row>
    <row r="8555" spans="3:11" x14ac:dyDescent="0.25">
      <c r="C8555" s="12" t="s">
        <v>15</v>
      </c>
      <c r="D8555" s="13" t="s">
        <v>16</v>
      </c>
      <c r="E8555" s="14"/>
      <c r="F8555" s="14"/>
      <c r="G8555" s="14"/>
      <c r="H8555" s="14"/>
    </row>
    <row r="8556" spans="3:11" x14ac:dyDescent="0.3">
      <c r="C8556" s="16">
        <v>1</v>
      </c>
      <c r="D8556" s="13" t="s">
        <v>18</v>
      </c>
      <c r="E8556" s="17" t="s">
        <v>19</v>
      </c>
      <c r="F8556" s="18">
        <v>0.255</v>
      </c>
      <c r="G8556" s="19">
        <f>VLOOKUP(D8556,upahbahan,3,FALSE)</f>
        <v>100000</v>
      </c>
      <c r="H8556" s="19">
        <f t="shared" ref="H8556:H8559" si="901">F8556*G8556</f>
        <v>25500</v>
      </c>
    </row>
    <row r="8557" spans="3:11" x14ac:dyDescent="0.3">
      <c r="C8557" s="16">
        <v>2</v>
      </c>
      <c r="D8557" s="13" t="s">
        <v>21</v>
      </c>
      <c r="E8557" s="17" t="s">
        <v>19</v>
      </c>
      <c r="F8557" s="18">
        <v>0.42499999999999999</v>
      </c>
      <c r="G8557" s="19">
        <f>VLOOKUP(D8557,upahbahan,3,FALSE)</f>
        <v>145000</v>
      </c>
      <c r="H8557" s="19">
        <f t="shared" si="901"/>
        <v>61625</v>
      </c>
    </row>
    <row r="8558" spans="3:11" x14ac:dyDescent="0.3">
      <c r="C8558" s="16">
        <v>3</v>
      </c>
      <c r="D8558" s="13" t="s">
        <v>1224</v>
      </c>
      <c r="E8558" s="17" t="s">
        <v>19</v>
      </c>
      <c r="F8558" s="18">
        <v>4.2999999999999997E-2</v>
      </c>
      <c r="G8558" s="19">
        <f>VLOOKUP(D8558,upahbahan,3,FALSE)</f>
        <v>175000</v>
      </c>
      <c r="H8558" s="19">
        <f t="shared" si="901"/>
        <v>7524.9999999999991</v>
      </c>
    </row>
    <row r="8559" spans="3:11" x14ac:dyDescent="0.3">
      <c r="C8559" s="16">
        <v>4</v>
      </c>
      <c r="D8559" s="13" t="s">
        <v>23</v>
      </c>
      <c r="E8559" s="17" t="s">
        <v>19</v>
      </c>
      <c r="F8559" s="18">
        <v>1.4E-2</v>
      </c>
      <c r="G8559" s="19">
        <f>VLOOKUP(D8559,upahbahan,3,FALSE)</f>
        <v>200000</v>
      </c>
      <c r="H8559" s="19">
        <f t="shared" si="901"/>
        <v>2800</v>
      </c>
    </row>
    <row r="8560" spans="3:11" x14ac:dyDescent="0.3">
      <c r="C8560" s="21" t="s">
        <v>24</v>
      </c>
      <c r="D8560" s="22"/>
      <c r="E8560" s="22"/>
      <c r="F8560" s="54"/>
      <c r="G8560" s="24"/>
      <c r="H8560" s="19">
        <f>SUM(H8556:H8559)</f>
        <v>97450</v>
      </c>
      <c r="I8560" s="25"/>
    </row>
    <row r="8561" spans="3:11" x14ac:dyDescent="0.25">
      <c r="C8561" s="12" t="s">
        <v>25</v>
      </c>
      <c r="D8561" s="13" t="s">
        <v>26</v>
      </c>
      <c r="E8561" s="14"/>
      <c r="F8561" s="55"/>
      <c r="G8561" s="14"/>
      <c r="H8561" s="14"/>
    </row>
    <row r="8562" spans="3:11" x14ac:dyDescent="0.25">
      <c r="C8562" s="12">
        <v>1</v>
      </c>
      <c r="D8562" s="13" t="s">
        <v>1594</v>
      </c>
      <c r="E8562" s="53" t="s">
        <v>1542</v>
      </c>
      <c r="F8562" s="115">
        <v>1.1000000000000001</v>
      </c>
      <c r="G8562" s="19">
        <f>VLOOKUP(D8562,upahbahan,3,FALSE)</f>
        <v>1350000</v>
      </c>
      <c r="H8562" s="19">
        <f t="shared" ref="H8562" si="902">F8562*G8562</f>
        <v>1485000.0000000002</v>
      </c>
    </row>
    <row r="8563" spans="3:11" x14ac:dyDescent="0.3">
      <c r="C8563" s="21" t="s">
        <v>29</v>
      </c>
      <c r="D8563" s="22"/>
      <c r="E8563" s="22" t="s">
        <v>1340</v>
      </c>
      <c r="F8563" s="22"/>
      <c r="G8563" s="28"/>
      <c r="H8563" s="19">
        <f>SUM(H8561:H8562)</f>
        <v>1485000.0000000002</v>
      </c>
    </row>
    <row r="8564" spans="3:11" x14ac:dyDescent="0.25">
      <c r="C8564" s="12" t="s">
        <v>30</v>
      </c>
      <c r="D8564" s="13" t="s">
        <v>31</v>
      </c>
      <c r="E8564" s="14"/>
      <c r="F8564" s="14"/>
      <c r="G8564" s="14"/>
      <c r="H8564" s="14"/>
    </row>
    <row r="8565" spans="3:11" x14ac:dyDescent="0.3">
      <c r="C8565" s="21" t="s">
        <v>32</v>
      </c>
      <c r="D8565" s="77"/>
      <c r="E8565" s="77"/>
      <c r="F8565" s="77"/>
      <c r="G8565" s="28"/>
      <c r="H8565" s="29">
        <f>SUM(H8564:H8564)</f>
        <v>0</v>
      </c>
    </row>
    <row r="8566" spans="3:11" x14ac:dyDescent="0.3">
      <c r="C8566" s="30" t="s">
        <v>33</v>
      </c>
      <c r="D8566" s="31" t="s">
        <v>34</v>
      </c>
      <c r="E8566" s="32"/>
      <c r="F8566" s="32"/>
      <c r="G8566" s="33"/>
      <c r="H8566" s="46">
        <f>H8565+H8563+H8560</f>
        <v>1582450.0000000002</v>
      </c>
      <c r="I8566" s="47"/>
    </row>
    <row r="8567" spans="3:11" x14ac:dyDescent="0.3">
      <c r="C8567" s="30" t="s">
        <v>35</v>
      </c>
      <c r="D8567" s="31" t="s">
        <v>36</v>
      </c>
      <c r="E8567" s="32"/>
      <c r="F8567" s="33"/>
      <c r="G8567" s="34">
        <f>$M$9</f>
        <v>0.1</v>
      </c>
      <c r="H8567" s="19">
        <f>H8566*G8567</f>
        <v>158245.00000000003</v>
      </c>
      <c r="I8567" s="47"/>
    </row>
    <row r="8568" spans="3:11" x14ac:dyDescent="0.3">
      <c r="C8568" s="30" t="s">
        <v>37</v>
      </c>
      <c r="D8568" s="31" t="s">
        <v>38</v>
      </c>
      <c r="E8568" s="32"/>
      <c r="F8568" s="32"/>
      <c r="G8568" s="33"/>
      <c r="H8568" s="48">
        <f>SUM(H8566:H8567)</f>
        <v>1740695.0000000002</v>
      </c>
      <c r="I8568" s="47"/>
    </row>
    <row r="8571" spans="3:11" x14ac:dyDescent="0.3">
      <c r="C8571" s="40" t="s">
        <v>1595</v>
      </c>
      <c r="D8571" s="68" t="s">
        <v>1596</v>
      </c>
      <c r="E8571" s="44"/>
      <c r="F8571" s="44"/>
      <c r="G8571" s="44"/>
      <c r="H8571" s="44"/>
      <c r="I8571" s="10">
        <f>ROUNDDOWN(H8586,0)</f>
        <v>1922195</v>
      </c>
      <c r="J8571" s="15"/>
      <c r="K8571" s="39"/>
    </row>
    <row r="8572" spans="3:11" ht="27.6" x14ac:dyDescent="0.3">
      <c r="C8572" s="11" t="s">
        <v>9</v>
      </c>
      <c r="D8572" s="11" t="s">
        <v>10</v>
      </c>
      <c r="E8572" s="11" t="s">
        <v>11</v>
      </c>
      <c r="F8572" s="11" t="s">
        <v>12</v>
      </c>
      <c r="G8572" s="11" t="s">
        <v>13</v>
      </c>
      <c r="H8572" s="11" t="s">
        <v>14</v>
      </c>
    </row>
    <row r="8573" spans="3:11" x14ac:dyDescent="0.25">
      <c r="C8573" s="12" t="s">
        <v>15</v>
      </c>
      <c r="D8573" s="13" t="s">
        <v>16</v>
      </c>
      <c r="E8573" s="14"/>
      <c r="F8573" s="14"/>
      <c r="G8573" s="14"/>
      <c r="H8573" s="14"/>
    </row>
    <row r="8574" spans="3:11" x14ac:dyDescent="0.3">
      <c r="C8574" s="16">
        <v>1</v>
      </c>
      <c r="D8574" s="13" t="s">
        <v>18</v>
      </c>
      <c r="E8574" s="17" t="s">
        <v>19</v>
      </c>
      <c r="F8574" s="18">
        <v>0.255</v>
      </c>
      <c r="G8574" s="19">
        <f>VLOOKUP(D8574,upahbahan,3,FALSE)</f>
        <v>100000</v>
      </c>
      <c r="H8574" s="19">
        <f t="shared" ref="H8574:H8577" si="903">F8574*G8574</f>
        <v>25500</v>
      </c>
    </row>
    <row r="8575" spans="3:11" x14ac:dyDescent="0.3">
      <c r="C8575" s="16">
        <v>2</v>
      </c>
      <c r="D8575" s="13" t="s">
        <v>21</v>
      </c>
      <c r="E8575" s="17" t="s">
        <v>19</v>
      </c>
      <c r="F8575" s="18">
        <v>0.42499999999999999</v>
      </c>
      <c r="G8575" s="19">
        <f>VLOOKUP(D8575,upahbahan,3,FALSE)</f>
        <v>145000</v>
      </c>
      <c r="H8575" s="19">
        <f t="shared" si="903"/>
        <v>61625</v>
      </c>
    </row>
    <row r="8576" spans="3:11" x14ac:dyDescent="0.3">
      <c r="C8576" s="16">
        <v>3</v>
      </c>
      <c r="D8576" s="13" t="s">
        <v>1224</v>
      </c>
      <c r="E8576" s="17" t="s">
        <v>19</v>
      </c>
      <c r="F8576" s="18">
        <v>4.2999999999999997E-2</v>
      </c>
      <c r="G8576" s="19">
        <f>VLOOKUP(D8576,upahbahan,3,FALSE)</f>
        <v>175000</v>
      </c>
      <c r="H8576" s="19">
        <f t="shared" si="903"/>
        <v>7524.9999999999991</v>
      </c>
    </row>
    <row r="8577" spans="3:11" x14ac:dyDescent="0.3">
      <c r="C8577" s="16">
        <v>4</v>
      </c>
      <c r="D8577" s="13" t="s">
        <v>23</v>
      </c>
      <c r="E8577" s="17" t="s">
        <v>19</v>
      </c>
      <c r="F8577" s="18">
        <v>1.4E-2</v>
      </c>
      <c r="G8577" s="19">
        <f>VLOOKUP(D8577,upahbahan,3,FALSE)</f>
        <v>200000</v>
      </c>
      <c r="H8577" s="19">
        <f t="shared" si="903"/>
        <v>2800</v>
      </c>
    </row>
    <row r="8578" spans="3:11" x14ac:dyDescent="0.3">
      <c r="C8578" s="21" t="s">
        <v>24</v>
      </c>
      <c r="D8578" s="22"/>
      <c r="E8578" s="22"/>
      <c r="F8578" s="54"/>
      <c r="G8578" s="24"/>
      <c r="H8578" s="19">
        <f>SUM(H8574:H8577)</f>
        <v>97450</v>
      </c>
      <c r="I8578" s="25"/>
    </row>
    <row r="8579" spans="3:11" x14ac:dyDescent="0.25">
      <c r="C8579" s="12" t="s">
        <v>25</v>
      </c>
      <c r="D8579" s="13" t="s">
        <v>26</v>
      </c>
      <c r="E8579" s="14"/>
      <c r="F8579" s="55"/>
      <c r="G8579" s="14"/>
      <c r="H8579" s="14"/>
    </row>
    <row r="8580" spans="3:11" x14ac:dyDescent="0.25">
      <c r="C8580" s="12">
        <v>1</v>
      </c>
      <c r="D8580" s="13" t="s">
        <v>1597</v>
      </c>
      <c r="E8580" s="53" t="s">
        <v>1542</v>
      </c>
      <c r="F8580" s="115">
        <v>1.1000000000000001</v>
      </c>
      <c r="G8580" s="19">
        <f>VLOOKUP(D8580,upahbahan,3,FALSE)</f>
        <v>1500000</v>
      </c>
      <c r="H8580" s="19">
        <f t="shared" ref="H8580" si="904">F8580*G8580</f>
        <v>1650000.0000000002</v>
      </c>
    </row>
    <row r="8581" spans="3:11" x14ac:dyDescent="0.3">
      <c r="C8581" s="21" t="s">
        <v>29</v>
      </c>
      <c r="D8581" s="22"/>
      <c r="E8581" s="22" t="s">
        <v>1340</v>
      </c>
      <c r="F8581" s="22"/>
      <c r="G8581" s="28"/>
      <c r="H8581" s="19">
        <f>SUM(H8579:H8580)</f>
        <v>1650000.0000000002</v>
      </c>
    </row>
    <row r="8582" spans="3:11" x14ac:dyDescent="0.25">
      <c r="C8582" s="12" t="s">
        <v>30</v>
      </c>
      <c r="D8582" s="13" t="s">
        <v>31</v>
      </c>
      <c r="E8582" s="14"/>
      <c r="F8582" s="14"/>
      <c r="G8582" s="14"/>
      <c r="H8582" s="14"/>
    </row>
    <row r="8583" spans="3:11" x14ac:dyDescent="0.3">
      <c r="C8583" s="21" t="s">
        <v>32</v>
      </c>
      <c r="D8583" s="77"/>
      <c r="E8583" s="77"/>
      <c r="F8583" s="77"/>
      <c r="G8583" s="28"/>
      <c r="H8583" s="29">
        <f>SUM(H8582:H8582)</f>
        <v>0</v>
      </c>
    </row>
    <row r="8584" spans="3:11" x14ac:dyDescent="0.3">
      <c r="C8584" s="30" t="s">
        <v>33</v>
      </c>
      <c r="D8584" s="31" t="s">
        <v>34</v>
      </c>
      <c r="E8584" s="32"/>
      <c r="F8584" s="32"/>
      <c r="G8584" s="33"/>
      <c r="H8584" s="46">
        <f>H8583+H8581+H8578</f>
        <v>1747450.0000000002</v>
      </c>
      <c r="I8584" s="47"/>
    </row>
    <row r="8585" spans="3:11" x14ac:dyDescent="0.3">
      <c r="C8585" s="30" t="s">
        <v>35</v>
      </c>
      <c r="D8585" s="31" t="s">
        <v>36</v>
      </c>
      <c r="E8585" s="32"/>
      <c r="F8585" s="33"/>
      <c r="G8585" s="34">
        <f>$M$9</f>
        <v>0.1</v>
      </c>
      <c r="H8585" s="19">
        <f>H8584*G8585</f>
        <v>174745.00000000003</v>
      </c>
      <c r="I8585" s="47"/>
    </row>
    <row r="8586" spans="3:11" x14ac:dyDescent="0.3">
      <c r="C8586" s="30" t="s">
        <v>37</v>
      </c>
      <c r="D8586" s="31" t="s">
        <v>38</v>
      </c>
      <c r="E8586" s="32"/>
      <c r="F8586" s="32"/>
      <c r="G8586" s="33"/>
      <c r="H8586" s="48">
        <f>SUM(H8584:H8585)</f>
        <v>1922195.0000000002</v>
      </c>
      <c r="I8586" s="47"/>
    </row>
    <row r="8588" spans="3:11" x14ac:dyDescent="0.3">
      <c r="C8588" s="40" t="s">
        <v>1598</v>
      </c>
      <c r="D8588" s="68" t="s">
        <v>1599</v>
      </c>
      <c r="E8588" s="44"/>
      <c r="F8588" s="44"/>
      <c r="G8588" s="44"/>
      <c r="H8588" s="44"/>
      <c r="I8588" s="10">
        <f>ROUNDDOWN(H8603,0)</f>
        <v>2035533</v>
      </c>
      <c r="J8588" s="15"/>
      <c r="K8588" s="39"/>
    </row>
    <row r="8589" spans="3:11" ht="27.6" x14ac:dyDescent="0.3">
      <c r="C8589" s="11" t="s">
        <v>9</v>
      </c>
      <c r="D8589" s="11" t="s">
        <v>10</v>
      </c>
      <c r="E8589" s="11" t="s">
        <v>11</v>
      </c>
      <c r="F8589" s="11" t="s">
        <v>12</v>
      </c>
      <c r="G8589" s="11" t="s">
        <v>13</v>
      </c>
      <c r="H8589" s="11" t="s">
        <v>14</v>
      </c>
    </row>
    <row r="8590" spans="3:11" x14ac:dyDescent="0.25">
      <c r="C8590" s="12" t="s">
        <v>15</v>
      </c>
      <c r="D8590" s="13" t="s">
        <v>16</v>
      </c>
      <c r="E8590" s="14"/>
      <c r="F8590" s="14"/>
      <c r="G8590" s="14"/>
      <c r="H8590" s="14"/>
    </row>
    <row r="8591" spans="3:11" x14ac:dyDescent="0.3">
      <c r="C8591" s="16">
        <v>1</v>
      </c>
      <c r="D8591" s="13" t="s">
        <v>18</v>
      </c>
      <c r="E8591" s="17" t="s">
        <v>19</v>
      </c>
      <c r="F8591" s="18">
        <v>0.76</v>
      </c>
      <c r="G8591" s="19">
        <f>VLOOKUP(D8591,upahbahan,3,FALSE)</f>
        <v>100000</v>
      </c>
      <c r="H8591" s="19">
        <f t="shared" ref="H8591:H8594" si="905">F8591*G8591</f>
        <v>76000</v>
      </c>
    </row>
    <row r="8592" spans="3:11" x14ac:dyDescent="0.3">
      <c r="C8592" s="16">
        <v>2</v>
      </c>
      <c r="D8592" s="13" t="s">
        <v>21</v>
      </c>
      <c r="E8592" s="17" t="s">
        <v>19</v>
      </c>
      <c r="F8592" s="18">
        <v>1.268</v>
      </c>
      <c r="G8592" s="19">
        <f>VLOOKUP(D8592,upahbahan,3,FALSE)</f>
        <v>145000</v>
      </c>
      <c r="H8592" s="19">
        <f t="shared" si="905"/>
        <v>183860</v>
      </c>
    </row>
    <row r="8593" spans="3:11" x14ac:dyDescent="0.3">
      <c r="C8593" s="16">
        <v>3</v>
      </c>
      <c r="D8593" s="13" t="s">
        <v>1224</v>
      </c>
      <c r="E8593" s="17" t="s">
        <v>19</v>
      </c>
      <c r="F8593" s="18">
        <v>0.127</v>
      </c>
      <c r="G8593" s="19">
        <f>VLOOKUP(D8593,upahbahan,3,FALSE)</f>
        <v>175000</v>
      </c>
      <c r="H8593" s="19">
        <f t="shared" si="905"/>
        <v>22225</v>
      </c>
    </row>
    <row r="8594" spans="3:11" x14ac:dyDescent="0.3">
      <c r="C8594" s="16">
        <v>4</v>
      </c>
      <c r="D8594" s="13" t="s">
        <v>23</v>
      </c>
      <c r="E8594" s="17" t="s">
        <v>19</v>
      </c>
      <c r="F8594" s="18">
        <v>4.2000000000000003E-2</v>
      </c>
      <c r="G8594" s="19">
        <f>VLOOKUP(D8594,upahbahan,3,FALSE)</f>
        <v>200000</v>
      </c>
      <c r="H8594" s="19">
        <f t="shared" si="905"/>
        <v>8400</v>
      </c>
    </row>
    <row r="8595" spans="3:11" x14ac:dyDescent="0.3">
      <c r="C8595" s="21" t="s">
        <v>24</v>
      </c>
      <c r="D8595" s="22"/>
      <c r="E8595" s="22"/>
      <c r="F8595" s="54"/>
      <c r="G8595" s="24"/>
      <c r="H8595" s="19">
        <f>SUM(H8591:H8594)</f>
        <v>290485</v>
      </c>
      <c r="I8595" s="25"/>
    </row>
    <row r="8596" spans="3:11" x14ac:dyDescent="0.25">
      <c r="C8596" s="12" t="s">
        <v>25</v>
      </c>
      <c r="D8596" s="13" t="s">
        <v>26</v>
      </c>
      <c r="E8596" s="14"/>
      <c r="F8596" s="55"/>
      <c r="G8596" s="14"/>
      <c r="H8596" s="14"/>
    </row>
    <row r="8597" spans="3:11" x14ac:dyDescent="0.25">
      <c r="C8597" s="12">
        <v>1</v>
      </c>
      <c r="D8597" s="13" t="s">
        <v>1600</v>
      </c>
      <c r="E8597" s="53" t="s">
        <v>1542</v>
      </c>
      <c r="F8597" s="115">
        <v>1.2</v>
      </c>
      <c r="G8597" s="19">
        <f>VLOOKUP(D8597,upahbahan,3,FALSE)</f>
        <v>1300000</v>
      </c>
      <c r="H8597" s="19">
        <f t="shared" ref="H8597" si="906">F8597*G8597</f>
        <v>1560000</v>
      </c>
    </row>
    <row r="8598" spans="3:11" x14ac:dyDescent="0.3">
      <c r="C8598" s="21" t="s">
        <v>29</v>
      </c>
      <c r="D8598" s="22"/>
      <c r="E8598" s="22" t="s">
        <v>1340</v>
      </c>
      <c r="F8598" s="22"/>
      <c r="G8598" s="28"/>
      <c r="H8598" s="19">
        <f>SUM(H8596:H8597)</f>
        <v>1560000</v>
      </c>
    </row>
    <row r="8599" spans="3:11" x14ac:dyDescent="0.25">
      <c r="C8599" s="12" t="s">
        <v>30</v>
      </c>
      <c r="D8599" s="13" t="s">
        <v>31</v>
      </c>
      <c r="E8599" s="14"/>
      <c r="F8599" s="14"/>
      <c r="G8599" s="14"/>
      <c r="H8599" s="14"/>
    </row>
    <row r="8600" spans="3:11" x14ac:dyDescent="0.3">
      <c r="C8600" s="21" t="s">
        <v>32</v>
      </c>
      <c r="D8600" s="77"/>
      <c r="E8600" s="77"/>
      <c r="F8600" s="77"/>
      <c r="G8600" s="28"/>
      <c r="H8600" s="29">
        <f>SUM(H8599:H8599)</f>
        <v>0</v>
      </c>
    </row>
    <row r="8601" spans="3:11" x14ac:dyDescent="0.3">
      <c r="C8601" s="30" t="s">
        <v>33</v>
      </c>
      <c r="D8601" s="31" t="s">
        <v>34</v>
      </c>
      <c r="E8601" s="32"/>
      <c r="F8601" s="32"/>
      <c r="G8601" s="33"/>
      <c r="H8601" s="46">
        <f>H8600+H8598+H8595</f>
        <v>1850485</v>
      </c>
      <c r="I8601" s="47"/>
    </row>
    <row r="8602" spans="3:11" x14ac:dyDescent="0.3">
      <c r="C8602" s="30" t="s">
        <v>35</v>
      </c>
      <c r="D8602" s="31" t="s">
        <v>36</v>
      </c>
      <c r="E8602" s="32"/>
      <c r="F8602" s="33"/>
      <c r="G8602" s="34">
        <f>$M$9</f>
        <v>0.1</v>
      </c>
      <c r="H8602" s="19">
        <f>H8601*G8602</f>
        <v>185048.5</v>
      </c>
      <c r="I8602" s="47"/>
    </row>
    <row r="8603" spans="3:11" x14ac:dyDescent="0.3">
      <c r="C8603" s="30" t="s">
        <v>37</v>
      </c>
      <c r="D8603" s="31" t="s">
        <v>38</v>
      </c>
      <c r="E8603" s="32"/>
      <c r="F8603" s="32"/>
      <c r="G8603" s="33"/>
      <c r="H8603" s="48">
        <f>SUM(H8601:H8602)</f>
        <v>2035533.5</v>
      </c>
      <c r="I8603" s="47"/>
    </row>
    <row r="8605" spans="3:11" x14ac:dyDescent="0.3">
      <c r="C8605" s="40" t="s">
        <v>1601</v>
      </c>
      <c r="D8605" s="68" t="s">
        <v>1602</v>
      </c>
      <c r="E8605" s="44"/>
      <c r="F8605" s="44"/>
      <c r="G8605" s="44"/>
      <c r="H8605" s="44"/>
      <c r="I8605" s="10">
        <f>ROUNDDOWN(H8620,0)</f>
        <v>2563533</v>
      </c>
      <c r="J8605" s="15"/>
      <c r="K8605" s="39"/>
    </row>
    <row r="8606" spans="3:11" ht="27.6" x14ac:dyDescent="0.3">
      <c r="C8606" s="11" t="s">
        <v>9</v>
      </c>
      <c r="D8606" s="11" t="s">
        <v>10</v>
      </c>
      <c r="E8606" s="11" t="s">
        <v>11</v>
      </c>
      <c r="F8606" s="11" t="s">
        <v>12</v>
      </c>
      <c r="G8606" s="11" t="s">
        <v>13</v>
      </c>
      <c r="H8606" s="11" t="s">
        <v>14</v>
      </c>
    </row>
    <row r="8607" spans="3:11" x14ac:dyDescent="0.25">
      <c r="C8607" s="12" t="s">
        <v>15</v>
      </c>
      <c r="D8607" s="13" t="s">
        <v>16</v>
      </c>
      <c r="E8607" s="14"/>
      <c r="F8607" s="14"/>
      <c r="G8607" s="14"/>
      <c r="H8607" s="14"/>
    </row>
    <row r="8608" spans="3:11" x14ac:dyDescent="0.3">
      <c r="C8608" s="16">
        <v>1</v>
      </c>
      <c r="D8608" s="13" t="s">
        <v>18</v>
      </c>
      <c r="E8608" s="17" t="s">
        <v>19</v>
      </c>
      <c r="F8608" s="18">
        <v>0.76</v>
      </c>
      <c r="G8608" s="19">
        <f>VLOOKUP(D8608,upahbahan,3,FALSE)</f>
        <v>100000</v>
      </c>
      <c r="H8608" s="19">
        <f t="shared" ref="H8608:H8611" si="907">F8608*G8608</f>
        <v>76000</v>
      </c>
    </row>
    <row r="8609" spans="3:11" x14ac:dyDescent="0.3">
      <c r="C8609" s="16">
        <v>2</v>
      </c>
      <c r="D8609" s="13" t="s">
        <v>21</v>
      </c>
      <c r="E8609" s="17" t="s">
        <v>19</v>
      </c>
      <c r="F8609" s="18">
        <v>1.268</v>
      </c>
      <c r="G8609" s="19">
        <f>VLOOKUP(D8609,upahbahan,3,FALSE)</f>
        <v>145000</v>
      </c>
      <c r="H8609" s="19">
        <f t="shared" si="907"/>
        <v>183860</v>
      </c>
    </row>
    <row r="8610" spans="3:11" x14ac:dyDescent="0.3">
      <c r="C8610" s="16">
        <v>3</v>
      </c>
      <c r="D8610" s="13" t="s">
        <v>1224</v>
      </c>
      <c r="E8610" s="17" t="s">
        <v>19</v>
      </c>
      <c r="F8610" s="18">
        <v>0.127</v>
      </c>
      <c r="G8610" s="19">
        <f>VLOOKUP(D8610,upahbahan,3,FALSE)</f>
        <v>175000</v>
      </c>
      <c r="H8610" s="19">
        <f t="shared" si="907"/>
        <v>22225</v>
      </c>
    </row>
    <row r="8611" spans="3:11" x14ac:dyDescent="0.3">
      <c r="C8611" s="16">
        <v>4</v>
      </c>
      <c r="D8611" s="13" t="s">
        <v>23</v>
      </c>
      <c r="E8611" s="17" t="s">
        <v>19</v>
      </c>
      <c r="F8611" s="18">
        <v>4.2000000000000003E-2</v>
      </c>
      <c r="G8611" s="19">
        <f>VLOOKUP(D8611,upahbahan,3,FALSE)</f>
        <v>200000</v>
      </c>
      <c r="H8611" s="19">
        <f t="shared" si="907"/>
        <v>8400</v>
      </c>
    </row>
    <row r="8612" spans="3:11" x14ac:dyDescent="0.3">
      <c r="C8612" s="21" t="s">
        <v>24</v>
      </c>
      <c r="D8612" s="22"/>
      <c r="E8612" s="22"/>
      <c r="F8612" s="54"/>
      <c r="G8612" s="24"/>
      <c r="H8612" s="19">
        <f>SUM(H8608:H8611)</f>
        <v>290485</v>
      </c>
      <c r="I8612" s="25"/>
    </row>
    <row r="8613" spans="3:11" x14ac:dyDescent="0.25">
      <c r="C8613" s="12" t="s">
        <v>25</v>
      </c>
      <c r="D8613" s="13" t="s">
        <v>26</v>
      </c>
      <c r="E8613" s="14"/>
      <c r="F8613" s="55"/>
      <c r="G8613" s="14"/>
      <c r="H8613" s="14"/>
    </row>
    <row r="8614" spans="3:11" x14ac:dyDescent="0.25">
      <c r="C8614" s="12">
        <v>1</v>
      </c>
      <c r="D8614" s="13" t="s">
        <v>1603</v>
      </c>
      <c r="E8614" s="53" t="s">
        <v>1542</v>
      </c>
      <c r="F8614" s="115">
        <v>1.2</v>
      </c>
      <c r="G8614" s="19">
        <f>VLOOKUP(D8614,upahbahan,3,FALSE)</f>
        <v>1700000</v>
      </c>
      <c r="H8614" s="19">
        <f t="shared" ref="H8614" si="908">F8614*G8614</f>
        <v>2040000</v>
      </c>
    </row>
    <row r="8615" spans="3:11" x14ac:dyDescent="0.3">
      <c r="C8615" s="21" t="s">
        <v>29</v>
      </c>
      <c r="D8615" s="22"/>
      <c r="E8615" s="22" t="s">
        <v>1340</v>
      </c>
      <c r="F8615" s="22"/>
      <c r="G8615" s="28"/>
      <c r="H8615" s="19">
        <f>SUM(H8613:H8614)</f>
        <v>2040000</v>
      </c>
    </row>
    <row r="8616" spans="3:11" x14ac:dyDescent="0.25">
      <c r="C8616" s="12" t="s">
        <v>30</v>
      </c>
      <c r="D8616" s="13" t="s">
        <v>31</v>
      </c>
      <c r="E8616" s="14"/>
      <c r="F8616" s="14"/>
      <c r="G8616" s="14"/>
      <c r="H8616" s="14"/>
    </row>
    <row r="8617" spans="3:11" x14ac:dyDescent="0.3">
      <c r="C8617" s="21" t="s">
        <v>32</v>
      </c>
      <c r="D8617" s="77"/>
      <c r="E8617" s="77"/>
      <c r="F8617" s="77"/>
      <c r="G8617" s="28"/>
      <c r="H8617" s="29">
        <f>SUM(H8616:H8616)</f>
        <v>0</v>
      </c>
    </row>
    <row r="8618" spans="3:11" x14ac:dyDescent="0.3">
      <c r="C8618" s="30" t="s">
        <v>33</v>
      </c>
      <c r="D8618" s="31" t="s">
        <v>34</v>
      </c>
      <c r="E8618" s="32"/>
      <c r="F8618" s="32"/>
      <c r="G8618" s="33"/>
      <c r="H8618" s="46">
        <f>H8617+H8615+H8612</f>
        <v>2330485</v>
      </c>
      <c r="I8618" s="47"/>
    </row>
    <row r="8619" spans="3:11" x14ac:dyDescent="0.3">
      <c r="C8619" s="30" t="s">
        <v>35</v>
      </c>
      <c r="D8619" s="31" t="s">
        <v>36</v>
      </c>
      <c r="E8619" s="32"/>
      <c r="F8619" s="33"/>
      <c r="G8619" s="34">
        <f>$M$9</f>
        <v>0.1</v>
      </c>
      <c r="H8619" s="19">
        <f>H8618*G8619</f>
        <v>233048.5</v>
      </c>
      <c r="I8619" s="47"/>
    </row>
    <row r="8620" spans="3:11" x14ac:dyDescent="0.3">
      <c r="C8620" s="30" t="s">
        <v>37</v>
      </c>
      <c r="D8620" s="31" t="s">
        <v>38</v>
      </c>
      <c r="E8620" s="32"/>
      <c r="F8620" s="32"/>
      <c r="G8620" s="33"/>
      <c r="H8620" s="48">
        <f>SUM(H8618:H8619)</f>
        <v>2563533.5</v>
      </c>
      <c r="I8620" s="47"/>
    </row>
    <row r="8622" spans="3:11" x14ac:dyDescent="0.3">
      <c r="C8622" s="56" t="s">
        <v>1604</v>
      </c>
      <c r="D8622" s="69" t="s">
        <v>1605</v>
      </c>
      <c r="E8622" s="58"/>
      <c r="F8622" s="58"/>
      <c r="G8622" s="58"/>
      <c r="H8622" s="58"/>
      <c r="I8622" s="10">
        <f>ROUNDDOWN(H8637,0)</f>
        <v>1987309</v>
      </c>
      <c r="J8622" s="15"/>
      <c r="K8622" s="39"/>
    </row>
    <row r="8623" spans="3:11" ht="27.6" x14ac:dyDescent="0.3">
      <c r="C8623" s="11" t="s">
        <v>9</v>
      </c>
      <c r="D8623" s="11" t="s">
        <v>10</v>
      </c>
      <c r="E8623" s="11" t="s">
        <v>11</v>
      </c>
      <c r="F8623" s="11" t="s">
        <v>12</v>
      </c>
      <c r="G8623" s="11" t="s">
        <v>13</v>
      </c>
      <c r="H8623" s="11" t="s">
        <v>14</v>
      </c>
    </row>
    <row r="8624" spans="3:11" x14ac:dyDescent="0.25">
      <c r="C8624" s="12" t="s">
        <v>15</v>
      </c>
      <c r="D8624" s="13" t="s">
        <v>16</v>
      </c>
      <c r="E8624" s="14"/>
      <c r="F8624" s="14"/>
      <c r="G8624" s="14"/>
      <c r="H8624" s="14"/>
    </row>
    <row r="8625" spans="3:11" x14ac:dyDescent="0.3">
      <c r="C8625" s="16">
        <v>1</v>
      </c>
      <c r="D8625" s="13" t="s">
        <v>18</v>
      </c>
      <c r="E8625" s="17" t="s">
        <v>19</v>
      </c>
      <c r="F8625" s="18">
        <v>2.2759999999999998</v>
      </c>
      <c r="G8625" s="19">
        <f>VLOOKUP(D8625,upahbahan,3,FALSE)</f>
        <v>100000</v>
      </c>
      <c r="H8625" s="19">
        <f t="shared" ref="H8625:H8628" si="909">F8625*G8625</f>
        <v>227599.99999999997</v>
      </c>
    </row>
    <row r="8626" spans="3:11" x14ac:dyDescent="0.3">
      <c r="C8626" s="16">
        <v>2</v>
      </c>
      <c r="D8626" s="13" t="s">
        <v>21</v>
      </c>
      <c r="E8626" s="17" t="s">
        <v>19</v>
      </c>
      <c r="F8626" s="18">
        <v>3.8010000000000002</v>
      </c>
      <c r="G8626" s="19">
        <f>VLOOKUP(D8626,upahbahan,3,FALSE)</f>
        <v>145000</v>
      </c>
      <c r="H8626" s="19">
        <f t="shared" si="909"/>
        <v>551145</v>
      </c>
    </row>
    <row r="8627" spans="3:11" x14ac:dyDescent="0.3">
      <c r="C8627" s="16">
        <v>3</v>
      </c>
      <c r="D8627" s="13" t="s">
        <v>1224</v>
      </c>
      <c r="E8627" s="17" t="s">
        <v>19</v>
      </c>
      <c r="F8627" s="18">
        <v>0.38</v>
      </c>
      <c r="G8627" s="19">
        <f>VLOOKUP(D8627,upahbahan,3,FALSE)</f>
        <v>175000</v>
      </c>
      <c r="H8627" s="19">
        <f t="shared" si="909"/>
        <v>66500</v>
      </c>
    </row>
    <row r="8628" spans="3:11" x14ac:dyDescent="0.3">
      <c r="C8628" s="16">
        <v>4</v>
      </c>
      <c r="D8628" s="13" t="s">
        <v>23</v>
      </c>
      <c r="E8628" s="17" t="s">
        <v>19</v>
      </c>
      <c r="F8628" s="18">
        <v>0.127</v>
      </c>
      <c r="G8628" s="19">
        <f>VLOOKUP(D8628,upahbahan,3,FALSE)</f>
        <v>200000</v>
      </c>
      <c r="H8628" s="19">
        <f t="shared" si="909"/>
        <v>25400</v>
      </c>
    </row>
    <row r="8629" spans="3:11" x14ac:dyDescent="0.3">
      <c r="C8629" s="21" t="s">
        <v>24</v>
      </c>
      <c r="D8629" s="22"/>
      <c r="E8629" s="22"/>
      <c r="F8629" s="54"/>
      <c r="G8629" s="24"/>
      <c r="H8629" s="19">
        <f>SUM(H8625:H8628)</f>
        <v>870645</v>
      </c>
      <c r="I8629" s="25"/>
    </row>
    <row r="8630" spans="3:11" x14ac:dyDescent="0.25">
      <c r="C8630" s="12" t="s">
        <v>25</v>
      </c>
      <c r="D8630" s="13" t="s">
        <v>26</v>
      </c>
      <c r="E8630" s="14"/>
      <c r="F8630" s="55"/>
      <c r="G8630" s="14"/>
      <c r="H8630" s="14"/>
    </row>
    <row r="8631" spans="3:11" x14ac:dyDescent="0.25">
      <c r="C8631" s="12">
        <v>1</v>
      </c>
      <c r="D8631" s="13" t="s">
        <v>1606</v>
      </c>
      <c r="E8631" s="53" t="s">
        <v>1542</v>
      </c>
      <c r="F8631" s="115">
        <v>1.2</v>
      </c>
      <c r="G8631" s="19">
        <f>VLOOKUP(D8631,upahbahan,3,FALSE)</f>
        <v>780000</v>
      </c>
      <c r="H8631" s="19">
        <f t="shared" ref="H8631" si="910">F8631*G8631</f>
        <v>936000</v>
      </c>
    </row>
    <row r="8632" spans="3:11" x14ac:dyDescent="0.3">
      <c r="C8632" s="21" t="s">
        <v>29</v>
      </c>
      <c r="D8632" s="22"/>
      <c r="E8632" s="22" t="s">
        <v>1340</v>
      </c>
      <c r="F8632" s="22"/>
      <c r="G8632" s="28"/>
      <c r="H8632" s="19">
        <f>SUM(H8630:H8631)</f>
        <v>936000</v>
      </c>
    </row>
    <row r="8633" spans="3:11" x14ac:dyDescent="0.25">
      <c r="C8633" s="12" t="s">
        <v>30</v>
      </c>
      <c r="D8633" s="13" t="s">
        <v>31</v>
      </c>
      <c r="E8633" s="14"/>
      <c r="F8633" s="14"/>
      <c r="G8633" s="14"/>
      <c r="H8633" s="14"/>
    </row>
    <row r="8634" spans="3:11" x14ac:dyDescent="0.3">
      <c r="C8634" s="21" t="s">
        <v>32</v>
      </c>
      <c r="D8634" s="77"/>
      <c r="E8634" s="77"/>
      <c r="F8634" s="77"/>
      <c r="G8634" s="28"/>
      <c r="H8634" s="29">
        <f>SUM(H8633:H8633)</f>
        <v>0</v>
      </c>
    </row>
    <row r="8635" spans="3:11" x14ac:dyDescent="0.3">
      <c r="C8635" s="30" t="s">
        <v>33</v>
      </c>
      <c r="D8635" s="31" t="s">
        <v>34</v>
      </c>
      <c r="E8635" s="32"/>
      <c r="F8635" s="32"/>
      <c r="G8635" s="33"/>
      <c r="H8635" s="46">
        <f>H8634+H8632+H8629</f>
        <v>1806645</v>
      </c>
      <c r="I8635" s="47"/>
    </row>
    <row r="8636" spans="3:11" x14ac:dyDescent="0.3">
      <c r="C8636" s="30" t="s">
        <v>35</v>
      </c>
      <c r="D8636" s="31" t="s">
        <v>36</v>
      </c>
      <c r="E8636" s="32"/>
      <c r="F8636" s="33"/>
      <c r="G8636" s="34">
        <f>$M$9</f>
        <v>0.1</v>
      </c>
      <c r="H8636" s="19">
        <f>H8635*G8636</f>
        <v>180664.5</v>
      </c>
      <c r="I8636" s="47"/>
    </row>
    <row r="8637" spans="3:11" x14ac:dyDescent="0.3">
      <c r="C8637" s="30" t="s">
        <v>37</v>
      </c>
      <c r="D8637" s="31" t="s">
        <v>38</v>
      </c>
      <c r="E8637" s="32"/>
      <c r="F8637" s="32"/>
      <c r="G8637" s="33"/>
      <c r="H8637" s="48">
        <f>SUM(H8635:H8636)</f>
        <v>1987309.5</v>
      </c>
      <c r="I8637" s="47"/>
    </row>
    <row r="8639" spans="3:11" x14ac:dyDescent="0.3">
      <c r="C8639" s="40" t="s">
        <v>1607</v>
      </c>
      <c r="D8639" s="68" t="s">
        <v>1608</v>
      </c>
      <c r="E8639" s="44"/>
      <c r="F8639" s="44"/>
      <c r="G8639" s="44"/>
      <c r="H8639" s="44"/>
      <c r="I8639" s="10">
        <f>ROUNDDOWN(H8654,0)</f>
        <v>2092909</v>
      </c>
      <c r="J8639" s="15"/>
      <c r="K8639" s="39"/>
    </row>
    <row r="8640" spans="3:11" ht="27.6" x14ac:dyDescent="0.3">
      <c r="C8640" s="11" t="s">
        <v>9</v>
      </c>
      <c r="D8640" s="11" t="s">
        <v>10</v>
      </c>
      <c r="E8640" s="11" t="s">
        <v>11</v>
      </c>
      <c r="F8640" s="11" t="s">
        <v>12</v>
      </c>
      <c r="G8640" s="11" t="s">
        <v>13</v>
      </c>
      <c r="H8640" s="11" t="s">
        <v>14</v>
      </c>
    </row>
    <row r="8641" spans="3:9" x14ac:dyDescent="0.25">
      <c r="C8641" s="12" t="s">
        <v>15</v>
      </c>
      <c r="D8641" s="13" t="s">
        <v>16</v>
      </c>
      <c r="E8641" s="14"/>
      <c r="F8641" s="14"/>
      <c r="G8641" s="14"/>
      <c r="H8641" s="14"/>
    </row>
    <row r="8642" spans="3:9" x14ac:dyDescent="0.3">
      <c r="C8642" s="16">
        <v>1</v>
      </c>
      <c r="D8642" s="13" t="s">
        <v>18</v>
      </c>
      <c r="E8642" s="17" t="s">
        <v>19</v>
      </c>
      <c r="F8642" s="18">
        <v>2.2759999999999998</v>
      </c>
      <c r="G8642" s="19">
        <f>VLOOKUP(D8642,upahbahan,3,FALSE)</f>
        <v>100000</v>
      </c>
      <c r="H8642" s="19">
        <f t="shared" ref="H8642:H8645" si="911">F8642*G8642</f>
        <v>227599.99999999997</v>
      </c>
    </row>
    <row r="8643" spans="3:9" x14ac:dyDescent="0.3">
      <c r="C8643" s="16">
        <v>2</v>
      </c>
      <c r="D8643" s="13" t="s">
        <v>21</v>
      </c>
      <c r="E8643" s="17" t="s">
        <v>19</v>
      </c>
      <c r="F8643" s="18">
        <v>3.8010000000000002</v>
      </c>
      <c r="G8643" s="19">
        <f>VLOOKUP(D8643,upahbahan,3,FALSE)</f>
        <v>145000</v>
      </c>
      <c r="H8643" s="19">
        <f t="shared" si="911"/>
        <v>551145</v>
      </c>
    </row>
    <row r="8644" spans="3:9" x14ac:dyDescent="0.3">
      <c r="C8644" s="16">
        <v>3</v>
      </c>
      <c r="D8644" s="13" t="s">
        <v>1224</v>
      </c>
      <c r="E8644" s="17" t="s">
        <v>19</v>
      </c>
      <c r="F8644" s="18">
        <v>0.38</v>
      </c>
      <c r="G8644" s="19">
        <f>VLOOKUP(D8644,upahbahan,3,FALSE)</f>
        <v>175000</v>
      </c>
      <c r="H8644" s="19">
        <f t="shared" si="911"/>
        <v>66500</v>
      </c>
    </row>
    <row r="8645" spans="3:9" x14ac:dyDescent="0.3">
      <c r="C8645" s="16">
        <v>4</v>
      </c>
      <c r="D8645" s="13" t="s">
        <v>23</v>
      </c>
      <c r="E8645" s="17" t="s">
        <v>19</v>
      </c>
      <c r="F8645" s="18">
        <v>0.127</v>
      </c>
      <c r="G8645" s="19">
        <f>VLOOKUP(D8645,upahbahan,3,FALSE)</f>
        <v>200000</v>
      </c>
      <c r="H8645" s="19">
        <f t="shared" si="911"/>
        <v>25400</v>
      </c>
    </row>
    <row r="8646" spans="3:9" x14ac:dyDescent="0.3">
      <c r="C8646" s="21" t="s">
        <v>24</v>
      </c>
      <c r="D8646" s="22"/>
      <c r="E8646" s="22"/>
      <c r="F8646" s="54"/>
      <c r="G8646" s="24"/>
      <c r="H8646" s="19">
        <f>SUM(H8642:H8645)</f>
        <v>870645</v>
      </c>
      <c r="I8646" s="25"/>
    </row>
    <row r="8647" spans="3:9" x14ac:dyDescent="0.25">
      <c r="C8647" s="12" t="s">
        <v>25</v>
      </c>
      <c r="D8647" s="13" t="s">
        <v>26</v>
      </c>
      <c r="E8647" s="14"/>
      <c r="F8647" s="55"/>
      <c r="G8647" s="14"/>
      <c r="H8647" s="14"/>
    </row>
    <row r="8648" spans="3:9" x14ac:dyDescent="0.25">
      <c r="C8648" s="12">
        <v>1</v>
      </c>
      <c r="D8648" s="13" t="s">
        <v>1609</v>
      </c>
      <c r="E8648" s="53" t="s">
        <v>1542</v>
      </c>
      <c r="F8648" s="115">
        <v>1.2</v>
      </c>
      <c r="G8648" s="19">
        <f>VLOOKUP(D8648,upahbahan,3,FALSE)</f>
        <v>860000</v>
      </c>
      <c r="H8648" s="19">
        <f t="shared" ref="H8648" si="912">F8648*G8648</f>
        <v>1032000</v>
      </c>
    </row>
    <row r="8649" spans="3:9" x14ac:dyDescent="0.3">
      <c r="C8649" s="21" t="s">
        <v>29</v>
      </c>
      <c r="D8649" s="22"/>
      <c r="E8649" s="22" t="s">
        <v>1340</v>
      </c>
      <c r="F8649" s="22"/>
      <c r="G8649" s="28"/>
      <c r="H8649" s="19">
        <f>SUM(H8647:H8648)</f>
        <v>1032000</v>
      </c>
    </row>
    <row r="8650" spans="3:9" x14ac:dyDescent="0.25">
      <c r="C8650" s="12" t="s">
        <v>30</v>
      </c>
      <c r="D8650" s="13" t="s">
        <v>31</v>
      </c>
      <c r="E8650" s="14"/>
      <c r="F8650" s="14"/>
      <c r="G8650" s="14"/>
      <c r="H8650" s="14"/>
    </row>
    <row r="8651" spans="3:9" x14ac:dyDescent="0.3">
      <c r="C8651" s="21" t="s">
        <v>32</v>
      </c>
      <c r="D8651" s="77"/>
      <c r="E8651" s="77"/>
      <c r="F8651" s="77"/>
      <c r="G8651" s="28"/>
      <c r="H8651" s="29">
        <f>SUM(H8650:H8650)</f>
        <v>0</v>
      </c>
    </row>
    <row r="8652" spans="3:9" x14ac:dyDescent="0.3">
      <c r="C8652" s="30" t="s">
        <v>33</v>
      </c>
      <c r="D8652" s="31" t="s">
        <v>34</v>
      </c>
      <c r="E8652" s="32"/>
      <c r="F8652" s="32"/>
      <c r="G8652" s="33"/>
      <c r="H8652" s="46">
        <f>H8651+H8649+H8646</f>
        <v>1902645</v>
      </c>
      <c r="I8652" s="47"/>
    </row>
    <row r="8653" spans="3:9" x14ac:dyDescent="0.3">
      <c r="C8653" s="30" t="s">
        <v>35</v>
      </c>
      <c r="D8653" s="31" t="s">
        <v>36</v>
      </c>
      <c r="E8653" s="32"/>
      <c r="F8653" s="33"/>
      <c r="G8653" s="34">
        <f>$M$9</f>
        <v>0.1</v>
      </c>
      <c r="H8653" s="19">
        <f>H8652*G8653</f>
        <v>190264.5</v>
      </c>
      <c r="I8653" s="47"/>
    </row>
    <row r="8654" spans="3:9" x14ac:dyDescent="0.3">
      <c r="C8654" s="30" t="s">
        <v>37</v>
      </c>
      <c r="D8654" s="31" t="s">
        <v>38</v>
      </c>
      <c r="E8654" s="32"/>
      <c r="F8654" s="32"/>
      <c r="G8654" s="33"/>
      <c r="H8654" s="48">
        <f>SUM(H8652:H8653)</f>
        <v>2092909.5</v>
      </c>
      <c r="I8654" s="47"/>
    </row>
    <row r="8657" spans="3:11" x14ac:dyDescent="0.3">
      <c r="C8657" s="40" t="s">
        <v>1610</v>
      </c>
      <c r="D8657" s="68" t="s">
        <v>1611</v>
      </c>
      <c r="E8657" s="44"/>
      <c r="F8657" s="44"/>
      <c r="G8657" s="44"/>
      <c r="H8657" s="44"/>
      <c r="I8657" s="10">
        <f>ROUNDDOWN(H8672,0)</f>
        <v>2271109</v>
      </c>
      <c r="J8657" s="15"/>
      <c r="K8657" s="39"/>
    </row>
    <row r="8658" spans="3:11" ht="27.6" x14ac:dyDescent="0.3">
      <c r="C8658" s="11" t="s">
        <v>9</v>
      </c>
      <c r="D8658" s="11" t="s">
        <v>10</v>
      </c>
      <c r="E8658" s="11" t="s">
        <v>11</v>
      </c>
      <c r="F8658" s="11" t="s">
        <v>12</v>
      </c>
      <c r="G8658" s="11" t="s">
        <v>13</v>
      </c>
      <c r="H8658" s="11" t="s">
        <v>14</v>
      </c>
    </row>
    <row r="8659" spans="3:11" x14ac:dyDescent="0.25">
      <c r="C8659" s="12" t="s">
        <v>15</v>
      </c>
      <c r="D8659" s="13" t="s">
        <v>16</v>
      </c>
      <c r="E8659" s="14"/>
      <c r="F8659" s="14"/>
      <c r="G8659" s="14"/>
      <c r="H8659" s="14"/>
    </row>
    <row r="8660" spans="3:11" x14ac:dyDescent="0.3">
      <c r="C8660" s="16">
        <v>1</v>
      </c>
      <c r="D8660" s="13" t="s">
        <v>18</v>
      </c>
      <c r="E8660" s="17" t="s">
        <v>19</v>
      </c>
      <c r="F8660" s="18">
        <v>2.2759999999999998</v>
      </c>
      <c r="G8660" s="19">
        <f>VLOOKUP(D8660,upahbahan,3,FALSE)</f>
        <v>100000</v>
      </c>
      <c r="H8660" s="19">
        <f t="shared" ref="H8660:H8663" si="913">F8660*G8660</f>
        <v>227599.99999999997</v>
      </c>
    </row>
    <row r="8661" spans="3:11" x14ac:dyDescent="0.3">
      <c r="C8661" s="16">
        <v>2</v>
      </c>
      <c r="D8661" s="13" t="s">
        <v>21</v>
      </c>
      <c r="E8661" s="17" t="s">
        <v>19</v>
      </c>
      <c r="F8661" s="18">
        <v>3.8010000000000002</v>
      </c>
      <c r="G8661" s="19">
        <f>VLOOKUP(D8661,upahbahan,3,FALSE)</f>
        <v>145000</v>
      </c>
      <c r="H8661" s="19">
        <f t="shared" si="913"/>
        <v>551145</v>
      </c>
    </row>
    <row r="8662" spans="3:11" x14ac:dyDescent="0.3">
      <c r="C8662" s="16">
        <v>3</v>
      </c>
      <c r="D8662" s="13" t="s">
        <v>1224</v>
      </c>
      <c r="E8662" s="17" t="s">
        <v>19</v>
      </c>
      <c r="F8662" s="18">
        <v>0.38</v>
      </c>
      <c r="G8662" s="19">
        <f>VLOOKUP(D8662,upahbahan,3,FALSE)</f>
        <v>175000</v>
      </c>
      <c r="H8662" s="19">
        <f t="shared" si="913"/>
        <v>66500</v>
      </c>
    </row>
    <row r="8663" spans="3:11" x14ac:dyDescent="0.3">
      <c r="C8663" s="16">
        <v>4</v>
      </c>
      <c r="D8663" s="13" t="s">
        <v>23</v>
      </c>
      <c r="E8663" s="17" t="s">
        <v>19</v>
      </c>
      <c r="F8663" s="18">
        <v>0.127</v>
      </c>
      <c r="G8663" s="19">
        <f>VLOOKUP(D8663,upahbahan,3,FALSE)</f>
        <v>200000</v>
      </c>
      <c r="H8663" s="19">
        <f t="shared" si="913"/>
        <v>25400</v>
      </c>
    </row>
    <row r="8664" spans="3:11" x14ac:dyDescent="0.3">
      <c r="C8664" s="21" t="s">
        <v>24</v>
      </c>
      <c r="D8664" s="22"/>
      <c r="E8664" s="22"/>
      <c r="F8664" s="54"/>
      <c r="G8664" s="24"/>
      <c r="H8664" s="19">
        <f>SUM(H8660:H8663)</f>
        <v>870645</v>
      </c>
      <c r="I8664" s="25"/>
    </row>
    <row r="8665" spans="3:11" x14ac:dyDescent="0.25">
      <c r="C8665" s="12" t="s">
        <v>25</v>
      </c>
      <c r="D8665" s="13" t="s">
        <v>26</v>
      </c>
      <c r="E8665" s="14"/>
      <c r="F8665" s="55"/>
      <c r="G8665" s="14"/>
      <c r="H8665" s="14"/>
    </row>
    <row r="8666" spans="3:11" x14ac:dyDescent="0.25">
      <c r="C8666" s="12">
        <v>1</v>
      </c>
      <c r="D8666" s="13" t="s">
        <v>1612</v>
      </c>
      <c r="E8666" s="53" t="s">
        <v>1542</v>
      </c>
      <c r="F8666" s="115">
        <v>1.2</v>
      </c>
      <c r="G8666" s="19">
        <f>VLOOKUP(D8666,upahbahan,3,FALSE)</f>
        <v>995000</v>
      </c>
      <c r="H8666" s="19">
        <f t="shared" ref="H8666" si="914">F8666*G8666</f>
        <v>1194000</v>
      </c>
    </row>
    <row r="8667" spans="3:11" x14ac:dyDescent="0.3">
      <c r="C8667" s="21" t="s">
        <v>29</v>
      </c>
      <c r="D8667" s="22"/>
      <c r="E8667" s="22" t="s">
        <v>1340</v>
      </c>
      <c r="F8667" s="22"/>
      <c r="G8667" s="28"/>
      <c r="H8667" s="19">
        <f>SUM(H8665:H8666)</f>
        <v>1194000</v>
      </c>
    </row>
    <row r="8668" spans="3:11" x14ac:dyDescent="0.25">
      <c r="C8668" s="12" t="s">
        <v>30</v>
      </c>
      <c r="D8668" s="13" t="s">
        <v>31</v>
      </c>
      <c r="E8668" s="14"/>
      <c r="F8668" s="14"/>
      <c r="G8668" s="14"/>
      <c r="H8668" s="14"/>
    </row>
    <row r="8669" spans="3:11" x14ac:dyDescent="0.3">
      <c r="C8669" s="21" t="s">
        <v>32</v>
      </c>
      <c r="D8669" s="77"/>
      <c r="E8669" s="77"/>
      <c r="F8669" s="77"/>
      <c r="G8669" s="28"/>
      <c r="H8669" s="29">
        <f>SUM(H8668:H8668)</f>
        <v>0</v>
      </c>
    </row>
    <row r="8670" spans="3:11" x14ac:dyDescent="0.3">
      <c r="C8670" s="30" t="s">
        <v>33</v>
      </c>
      <c r="D8670" s="31" t="s">
        <v>34</v>
      </c>
      <c r="E8670" s="32"/>
      <c r="F8670" s="32"/>
      <c r="G8670" s="33"/>
      <c r="H8670" s="46">
        <f>H8669+H8667+H8664</f>
        <v>2064645</v>
      </c>
      <c r="I8670" s="47"/>
    </row>
    <row r="8671" spans="3:11" x14ac:dyDescent="0.3">
      <c r="C8671" s="30" t="s">
        <v>35</v>
      </c>
      <c r="D8671" s="31" t="s">
        <v>36</v>
      </c>
      <c r="E8671" s="32"/>
      <c r="F8671" s="33"/>
      <c r="G8671" s="34">
        <f>$M$9</f>
        <v>0.1</v>
      </c>
      <c r="H8671" s="19">
        <f>H8670*G8671</f>
        <v>206464.5</v>
      </c>
      <c r="I8671" s="47"/>
    </row>
    <row r="8672" spans="3:11" x14ac:dyDescent="0.3">
      <c r="C8672" s="30" t="s">
        <v>37</v>
      </c>
      <c r="D8672" s="31" t="s">
        <v>38</v>
      </c>
      <c r="E8672" s="32"/>
      <c r="F8672" s="32"/>
      <c r="G8672" s="33"/>
      <c r="H8672" s="48">
        <f>SUM(H8670:H8671)</f>
        <v>2271109.5</v>
      </c>
      <c r="I8672" s="47"/>
    </row>
    <row r="8674" spans="3:11" x14ac:dyDescent="0.3">
      <c r="C8674" s="40" t="s">
        <v>1613</v>
      </c>
      <c r="D8674" s="68" t="s">
        <v>1614</v>
      </c>
      <c r="E8674" s="44"/>
      <c r="F8674" s="44"/>
      <c r="G8674" s="44"/>
      <c r="H8674" s="44"/>
      <c r="I8674" s="10">
        <f>ROUNDDOWN(H8689,0)</f>
        <v>2728979</v>
      </c>
      <c r="J8674" s="15"/>
      <c r="K8674" s="39"/>
    </row>
    <row r="8675" spans="3:11" ht="27.6" x14ac:dyDescent="0.3">
      <c r="C8675" s="11" t="s">
        <v>9</v>
      </c>
      <c r="D8675" s="11" t="s">
        <v>10</v>
      </c>
      <c r="E8675" s="11" t="s">
        <v>11</v>
      </c>
      <c r="F8675" s="11" t="s">
        <v>12</v>
      </c>
      <c r="G8675" s="11" t="s">
        <v>13</v>
      </c>
      <c r="H8675" s="11" t="s">
        <v>14</v>
      </c>
    </row>
    <row r="8676" spans="3:11" x14ac:dyDescent="0.25">
      <c r="C8676" s="12" t="s">
        <v>15</v>
      </c>
      <c r="D8676" s="13" t="s">
        <v>16</v>
      </c>
      <c r="E8676" s="14"/>
      <c r="F8676" s="14"/>
      <c r="G8676" s="14"/>
      <c r="H8676" s="14"/>
    </row>
    <row r="8677" spans="3:11" x14ac:dyDescent="0.3">
      <c r="C8677" s="16">
        <v>1</v>
      </c>
      <c r="D8677" s="13" t="s">
        <v>18</v>
      </c>
      <c r="E8677" s="17" t="s">
        <v>19</v>
      </c>
      <c r="F8677" s="18">
        <v>3.286</v>
      </c>
      <c r="G8677" s="19">
        <f>VLOOKUP(D8677,upahbahan,3,FALSE)</f>
        <v>100000</v>
      </c>
      <c r="H8677" s="19">
        <f t="shared" ref="H8677:H8680" si="915">F8677*G8677</f>
        <v>328600</v>
      </c>
    </row>
    <row r="8678" spans="3:11" x14ac:dyDescent="0.3">
      <c r="C8678" s="16">
        <v>2</v>
      </c>
      <c r="D8678" s="13" t="s">
        <v>21</v>
      </c>
      <c r="E8678" s="17" t="s">
        <v>19</v>
      </c>
      <c r="F8678" s="18">
        <v>5.4870000000000001</v>
      </c>
      <c r="G8678" s="19">
        <f>VLOOKUP(D8678,upahbahan,3,FALSE)</f>
        <v>145000</v>
      </c>
      <c r="H8678" s="19">
        <f t="shared" si="915"/>
        <v>795615</v>
      </c>
    </row>
    <row r="8679" spans="3:11" x14ac:dyDescent="0.3">
      <c r="C8679" s="16">
        <v>3</v>
      </c>
      <c r="D8679" s="13" t="s">
        <v>1224</v>
      </c>
      <c r="E8679" s="17" t="s">
        <v>19</v>
      </c>
      <c r="F8679" s="18">
        <v>0.54900000000000004</v>
      </c>
      <c r="G8679" s="19">
        <f>VLOOKUP(D8679,upahbahan,3,FALSE)</f>
        <v>175000</v>
      </c>
      <c r="H8679" s="19">
        <f t="shared" si="915"/>
        <v>96075.000000000015</v>
      </c>
    </row>
    <row r="8680" spans="3:11" x14ac:dyDescent="0.3">
      <c r="C8680" s="16">
        <v>4</v>
      </c>
      <c r="D8680" s="13" t="s">
        <v>23</v>
      </c>
      <c r="E8680" s="17" t="s">
        <v>19</v>
      </c>
      <c r="F8680" s="18">
        <v>0.183</v>
      </c>
      <c r="G8680" s="19">
        <f>VLOOKUP(D8680,upahbahan,3,FALSE)</f>
        <v>200000</v>
      </c>
      <c r="H8680" s="19">
        <f t="shared" si="915"/>
        <v>36600</v>
      </c>
    </row>
    <row r="8681" spans="3:11" x14ac:dyDescent="0.3">
      <c r="C8681" s="21" t="s">
        <v>24</v>
      </c>
      <c r="D8681" s="22"/>
      <c r="E8681" s="22"/>
      <c r="F8681" s="54"/>
      <c r="G8681" s="24"/>
      <c r="H8681" s="19">
        <f>SUM(H8677:H8680)</f>
        <v>1256890</v>
      </c>
      <c r="I8681" s="25"/>
    </row>
    <row r="8682" spans="3:11" x14ac:dyDescent="0.25">
      <c r="C8682" s="12" t="s">
        <v>25</v>
      </c>
      <c r="D8682" s="13" t="s">
        <v>26</v>
      </c>
      <c r="E8682" s="14"/>
      <c r="F8682" s="55"/>
      <c r="G8682" s="14"/>
      <c r="H8682" s="14"/>
    </row>
    <row r="8683" spans="3:11" x14ac:dyDescent="0.25">
      <c r="C8683" s="12">
        <v>1</v>
      </c>
      <c r="D8683" s="13" t="s">
        <v>1615</v>
      </c>
      <c r="E8683" s="53" t="s">
        <v>1542</v>
      </c>
      <c r="F8683" s="115">
        <v>1.2</v>
      </c>
      <c r="G8683" s="19">
        <f>VLOOKUP(D8683,upahbahan,3,FALSE)</f>
        <v>1020000</v>
      </c>
      <c r="H8683" s="19">
        <f t="shared" ref="H8683" si="916">F8683*G8683</f>
        <v>1224000</v>
      </c>
    </row>
    <row r="8684" spans="3:11" x14ac:dyDescent="0.3">
      <c r="C8684" s="21" t="s">
        <v>29</v>
      </c>
      <c r="D8684" s="22"/>
      <c r="E8684" s="22" t="s">
        <v>1340</v>
      </c>
      <c r="F8684" s="22"/>
      <c r="G8684" s="28"/>
      <c r="H8684" s="19">
        <f>SUM(H8682:H8683)</f>
        <v>1224000</v>
      </c>
    </row>
    <row r="8685" spans="3:11" x14ac:dyDescent="0.25">
      <c r="C8685" s="12" t="s">
        <v>30</v>
      </c>
      <c r="D8685" s="13" t="s">
        <v>31</v>
      </c>
      <c r="E8685" s="14"/>
      <c r="F8685" s="14"/>
      <c r="G8685" s="14"/>
      <c r="H8685" s="14"/>
    </row>
    <row r="8686" spans="3:11" x14ac:dyDescent="0.3">
      <c r="C8686" s="21" t="s">
        <v>32</v>
      </c>
      <c r="D8686" s="77"/>
      <c r="E8686" s="77"/>
      <c r="F8686" s="77"/>
      <c r="G8686" s="28"/>
      <c r="H8686" s="29">
        <f>SUM(H8685:H8685)</f>
        <v>0</v>
      </c>
    </row>
    <row r="8687" spans="3:11" x14ac:dyDescent="0.3">
      <c r="C8687" s="30" t="s">
        <v>33</v>
      </c>
      <c r="D8687" s="31" t="s">
        <v>34</v>
      </c>
      <c r="E8687" s="32"/>
      <c r="F8687" s="32"/>
      <c r="G8687" s="33"/>
      <c r="H8687" s="46">
        <f>H8686+H8684+H8681</f>
        <v>2480890</v>
      </c>
      <c r="I8687" s="47"/>
    </row>
    <row r="8688" spans="3:11" x14ac:dyDescent="0.3">
      <c r="C8688" s="30" t="s">
        <v>35</v>
      </c>
      <c r="D8688" s="31" t="s">
        <v>36</v>
      </c>
      <c r="E8688" s="32"/>
      <c r="F8688" s="33"/>
      <c r="G8688" s="34">
        <f>$M$9</f>
        <v>0.1</v>
      </c>
      <c r="H8688" s="19">
        <f>H8687*G8688</f>
        <v>248089</v>
      </c>
      <c r="I8688" s="47"/>
    </row>
    <row r="8689" spans="3:11" x14ac:dyDescent="0.3">
      <c r="C8689" s="30" t="s">
        <v>37</v>
      </c>
      <c r="D8689" s="31" t="s">
        <v>38</v>
      </c>
      <c r="E8689" s="32"/>
      <c r="F8689" s="32"/>
      <c r="G8689" s="33"/>
      <c r="H8689" s="48">
        <f>SUM(H8687:H8688)</f>
        <v>2728979</v>
      </c>
      <c r="I8689" s="47"/>
    </row>
    <row r="8691" spans="3:11" x14ac:dyDescent="0.3">
      <c r="C8691" s="40" t="s">
        <v>1616</v>
      </c>
      <c r="D8691" s="68" t="s">
        <v>1617</v>
      </c>
      <c r="E8691" s="44"/>
      <c r="F8691" s="44"/>
      <c r="G8691" s="44"/>
      <c r="H8691" s="44"/>
      <c r="I8691" s="10">
        <f>ROUNDDOWN(H8706,0)</f>
        <v>3908129</v>
      </c>
      <c r="J8691" s="15"/>
      <c r="K8691" s="39"/>
    </row>
    <row r="8692" spans="3:11" ht="27.6" x14ac:dyDescent="0.3">
      <c r="C8692" s="11" t="s">
        <v>9</v>
      </c>
      <c r="D8692" s="11" t="s">
        <v>10</v>
      </c>
      <c r="E8692" s="11" t="s">
        <v>11</v>
      </c>
      <c r="F8692" s="11" t="s">
        <v>12</v>
      </c>
      <c r="G8692" s="11" t="s">
        <v>13</v>
      </c>
      <c r="H8692" s="11" t="s">
        <v>14</v>
      </c>
    </row>
    <row r="8693" spans="3:11" x14ac:dyDescent="0.25">
      <c r="C8693" s="12" t="s">
        <v>15</v>
      </c>
      <c r="D8693" s="13" t="s">
        <v>16</v>
      </c>
      <c r="E8693" s="14"/>
      <c r="F8693" s="14"/>
      <c r="G8693" s="14"/>
      <c r="H8693" s="14"/>
    </row>
    <row r="8694" spans="3:11" x14ac:dyDescent="0.3">
      <c r="C8694" s="16">
        <v>1</v>
      </c>
      <c r="D8694" s="13" t="s">
        <v>18</v>
      </c>
      <c r="E8694" s="17" t="s">
        <v>19</v>
      </c>
      <c r="F8694" s="18">
        <v>5.05</v>
      </c>
      <c r="G8694" s="19">
        <f>VLOOKUP(D8694,upahbahan,3,FALSE)</f>
        <v>100000</v>
      </c>
      <c r="H8694" s="19">
        <f t="shared" ref="H8694:H8697" si="917">F8694*G8694</f>
        <v>505000</v>
      </c>
    </row>
    <row r="8695" spans="3:11" x14ac:dyDescent="0.3">
      <c r="C8695" s="16">
        <v>2</v>
      </c>
      <c r="D8695" s="13" t="s">
        <v>21</v>
      </c>
      <c r="E8695" s="17" t="s">
        <v>19</v>
      </c>
      <c r="F8695" s="18">
        <v>8.4410000000000007</v>
      </c>
      <c r="G8695" s="19">
        <f>VLOOKUP(D8695,upahbahan,3,FALSE)</f>
        <v>145000</v>
      </c>
      <c r="H8695" s="19">
        <f t="shared" si="917"/>
        <v>1223945</v>
      </c>
    </row>
    <row r="8696" spans="3:11" x14ac:dyDescent="0.3">
      <c r="C8696" s="16">
        <v>3</v>
      </c>
      <c r="D8696" s="13" t="s">
        <v>1224</v>
      </c>
      <c r="E8696" s="17" t="s">
        <v>19</v>
      </c>
      <c r="F8696" s="18">
        <v>0.84399999999999997</v>
      </c>
      <c r="G8696" s="19">
        <f>VLOOKUP(D8696,upahbahan,3,FALSE)</f>
        <v>175000</v>
      </c>
      <c r="H8696" s="19">
        <f t="shared" si="917"/>
        <v>147700</v>
      </c>
    </row>
    <row r="8697" spans="3:11" x14ac:dyDescent="0.3">
      <c r="C8697" s="16">
        <v>4</v>
      </c>
      <c r="D8697" s="13" t="s">
        <v>23</v>
      </c>
      <c r="E8697" s="17" t="s">
        <v>19</v>
      </c>
      <c r="F8697" s="18">
        <v>0.28100000000000003</v>
      </c>
      <c r="G8697" s="19">
        <f>VLOOKUP(D8697,upahbahan,3,FALSE)</f>
        <v>200000</v>
      </c>
      <c r="H8697" s="19">
        <f t="shared" si="917"/>
        <v>56200.000000000007</v>
      </c>
    </row>
    <row r="8698" spans="3:11" x14ac:dyDescent="0.3">
      <c r="C8698" s="21" t="s">
        <v>24</v>
      </c>
      <c r="D8698" s="22"/>
      <c r="E8698" s="22"/>
      <c r="F8698" s="54"/>
      <c r="G8698" s="24"/>
      <c r="H8698" s="19">
        <f>SUM(H8694:H8697)</f>
        <v>1932845</v>
      </c>
      <c r="I8698" s="25"/>
    </row>
    <row r="8699" spans="3:11" x14ac:dyDescent="0.25">
      <c r="C8699" s="12" t="s">
        <v>25</v>
      </c>
      <c r="D8699" s="13" t="s">
        <v>26</v>
      </c>
      <c r="E8699" s="14"/>
      <c r="F8699" s="55"/>
      <c r="G8699" s="14"/>
      <c r="H8699" s="14"/>
    </row>
    <row r="8700" spans="3:11" x14ac:dyDescent="0.25">
      <c r="C8700" s="12">
        <v>1</v>
      </c>
      <c r="D8700" s="13" t="s">
        <v>1618</v>
      </c>
      <c r="E8700" s="53" t="s">
        <v>1542</v>
      </c>
      <c r="F8700" s="115">
        <v>1.2</v>
      </c>
      <c r="G8700" s="19">
        <f>VLOOKUP(D8700,upahbahan,3,FALSE)</f>
        <v>1350000</v>
      </c>
      <c r="H8700" s="19">
        <f t="shared" ref="H8700" si="918">F8700*G8700</f>
        <v>1620000</v>
      </c>
    </row>
    <row r="8701" spans="3:11" x14ac:dyDescent="0.3">
      <c r="C8701" s="21" t="s">
        <v>29</v>
      </c>
      <c r="D8701" s="22"/>
      <c r="E8701" s="22" t="s">
        <v>1340</v>
      </c>
      <c r="F8701" s="22"/>
      <c r="G8701" s="28"/>
      <c r="H8701" s="19">
        <f>SUM(H8699:H8700)</f>
        <v>1620000</v>
      </c>
    </row>
    <row r="8702" spans="3:11" x14ac:dyDescent="0.25">
      <c r="C8702" s="12" t="s">
        <v>30</v>
      </c>
      <c r="D8702" s="13" t="s">
        <v>31</v>
      </c>
      <c r="E8702" s="14"/>
      <c r="F8702" s="14"/>
      <c r="G8702" s="14"/>
      <c r="H8702" s="14"/>
    </row>
    <row r="8703" spans="3:11" x14ac:dyDescent="0.3">
      <c r="C8703" s="21" t="s">
        <v>32</v>
      </c>
      <c r="D8703" s="77"/>
      <c r="E8703" s="77"/>
      <c r="F8703" s="77"/>
      <c r="G8703" s="28"/>
      <c r="H8703" s="29">
        <f>SUM(H8702:H8702)</f>
        <v>0</v>
      </c>
    </row>
    <row r="8704" spans="3:11" x14ac:dyDescent="0.3">
      <c r="C8704" s="30" t="s">
        <v>33</v>
      </c>
      <c r="D8704" s="31" t="s">
        <v>34</v>
      </c>
      <c r="E8704" s="32"/>
      <c r="F8704" s="32"/>
      <c r="G8704" s="33"/>
      <c r="H8704" s="46">
        <f>H8703+H8701+H8698</f>
        <v>3552845</v>
      </c>
      <c r="I8704" s="47"/>
    </row>
    <row r="8705" spans="3:11" x14ac:dyDescent="0.3">
      <c r="C8705" s="30" t="s">
        <v>35</v>
      </c>
      <c r="D8705" s="31" t="s">
        <v>36</v>
      </c>
      <c r="E8705" s="32"/>
      <c r="F8705" s="33"/>
      <c r="G8705" s="34">
        <f>$M$9</f>
        <v>0.1</v>
      </c>
      <c r="H8705" s="19">
        <f>H8704*G8705</f>
        <v>355284.5</v>
      </c>
      <c r="I8705" s="47"/>
    </row>
    <row r="8706" spans="3:11" x14ac:dyDescent="0.3">
      <c r="C8706" s="30" t="s">
        <v>37</v>
      </c>
      <c r="D8706" s="31" t="s">
        <v>38</v>
      </c>
      <c r="E8706" s="32"/>
      <c r="F8706" s="32"/>
      <c r="G8706" s="33"/>
      <c r="H8706" s="48">
        <f>SUM(H8704:H8705)</f>
        <v>3908129.5</v>
      </c>
      <c r="I8706" s="47"/>
    </row>
    <row r="8708" spans="3:11" x14ac:dyDescent="0.3">
      <c r="C8708" s="40" t="s">
        <v>1619</v>
      </c>
      <c r="D8708" s="68" t="s">
        <v>1620</v>
      </c>
      <c r="E8708" s="44"/>
      <c r="F8708" s="44"/>
      <c r="G8708" s="44"/>
      <c r="H8708" s="44"/>
      <c r="I8708" s="10">
        <f>ROUNDDOWN(H8723,0)</f>
        <v>4370129</v>
      </c>
      <c r="J8708" s="15"/>
      <c r="K8708" s="39"/>
    </row>
    <row r="8709" spans="3:11" ht="27.6" x14ac:dyDescent="0.3">
      <c r="C8709" s="11" t="s">
        <v>9</v>
      </c>
      <c r="D8709" s="11" t="s">
        <v>10</v>
      </c>
      <c r="E8709" s="11" t="s">
        <v>11</v>
      </c>
      <c r="F8709" s="11" t="s">
        <v>12</v>
      </c>
      <c r="G8709" s="11" t="s">
        <v>13</v>
      </c>
      <c r="H8709" s="11" t="s">
        <v>14</v>
      </c>
    </row>
    <row r="8710" spans="3:11" x14ac:dyDescent="0.25">
      <c r="C8710" s="12" t="s">
        <v>15</v>
      </c>
      <c r="D8710" s="13" t="s">
        <v>16</v>
      </c>
      <c r="E8710" s="14"/>
      <c r="F8710" s="14"/>
      <c r="G8710" s="14"/>
      <c r="H8710" s="14"/>
    </row>
    <row r="8711" spans="3:11" x14ac:dyDescent="0.3">
      <c r="C8711" s="16">
        <v>1</v>
      </c>
      <c r="D8711" s="13" t="s">
        <v>18</v>
      </c>
      <c r="E8711" s="17" t="s">
        <v>19</v>
      </c>
      <c r="F8711" s="18">
        <v>5.05</v>
      </c>
      <c r="G8711" s="19">
        <f>VLOOKUP(D8711,upahbahan,3,FALSE)</f>
        <v>100000</v>
      </c>
      <c r="H8711" s="19">
        <f t="shared" ref="H8711:H8714" si="919">F8711*G8711</f>
        <v>505000</v>
      </c>
    </row>
    <row r="8712" spans="3:11" x14ac:dyDescent="0.3">
      <c r="C8712" s="16">
        <v>2</v>
      </c>
      <c r="D8712" s="13" t="s">
        <v>21</v>
      </c>
      <c r="E8712" s="17" t="s">
        <v>19</v>
      </c>
      <c r="F8712" s="18">
        <v>8.4410000000000007</v>
      </c>
      <c r="G8712" s="19">
        <f>VLOOKUP(D8712,upahbahan,3,FALSE)</f>
        <v>145000</v>
      </c>
      <c r="H8712" s="19">
        <f t="shared" si="919"/>
        <v>1223945</v>
      </c>
    </row>
    <row r="8713" spans="3:11" x14ac:dyDescent="0.3">
      <c r="C8713" s="16">
        <v>3</v>
      </c>
      <c r="D8713" s="13" t="s">
        <v>1224</v>
      </c>
      <c r="E8713" s="17" t="s">
        <v>19</v>
      </c>
      <c r="F8713" s="18">
        <v>0.84399999999999997</v>
      </c>
      <c r="G8713" s="19">
        <f>VLOOKUP(D8713,upahbahan,3,FALSE)</f>
        <v>175000</v>
      </c>
      <c r="H8713" s="19">
        <f t="shared" si="919"/>
        <v>147700</v>
      </c>
    </row>
    <row r="8714" spans="3:11" x14ac:dyDescent="0.3">
      <c r="C8714" s="16">
        <v>4</v>
      </c>
      <c r="D8714" s="13" t="s">
        <v>23</v>
      </c>
      <c r="E8714" s="17" t="s">
        <v>19</v>
      </c>
      <c r="F8714" s="18">
        <v>0.28100000000000003</v>
      </c>
      <c r="G8714" s="19">
        <f>VLOOKUP(D8714,upahbahan,3,FALSE)</f>
        <v>200000</v>
      </c>
      <c r="H8714" s="19">
        <f t="shared" si="919"/>
        <v>56200.000000000007</v>
      </c>
    </row>
    <row r="8715" spans="3:11" x14ac:dyDescent="0.3">
      <c r="C8715" s="21" t="s">
        <v>24</v>
      </c>
      <c r="D8715" s="22"/>
      <c r="E8715" s="22"/>
      <c r="F8715" s="54"/>
      <c r="G8715" s="24"/>
      <c r="H8715" s="19">
        <f>SUM(H8711:H8714)</f>
        <v>1932845</v>
      </c>
      <c r="I8715" s="25"/>
    </row>
    <row r="8716" spans="3:11" x14ac:dyDescent="0.25">
      <c r="C8716" s="12" t="s">
        <v>25</v>
      </c>
      <c r="D8716" s="13" t="s">
        <v>26</v>
      </c>
      <c r="E8716" s="14"/>
      <c r="F8716" s="55"/>
      <c r="G8716" s="14"/>
      <c r="H8716" s="14"/>
    </row>
    <row r="8717" spans="3:11" x14ac:dyDescent="0.25">
      <c r="C8717" s="12">
        <v>1</v>
      </c>
      <c r="D8717" s="13" t="s">
        <v>1621</v>
      </c>
      <c r="E8717" s="53" t="s">
        <v>1542</v>
      </c>
      <c r="F8717" s="115">
        <v>1.2</v>
      </c>
      <c r="G8717" s="19">
        <f>VLOOKUP(D8717,upahbahan,3,FALSE)</f>
        <v>1700000</v>
      </c>
      <c r="H8717" s="19">
        <f t="shared" ref="H8717" si="920">F8717*G8717</f>
        <v>2040000</v>
      </c>
    </row>
    <row r="8718" spans="3:11" x14ac:dyDescent="0.3">
      <c r="C8718" s="21" t="s">
        <v>29</v>
      </c>
      <c r="D8718" s="22"/>
      <c r="E8718" s="22" t="s">
        <v>1340</v>
      </c>
      <c r="F8718" s="22"/>
      <c r="G8718" s="28"/>
      <c r="H8718" s="19">
        <f>SUM(H8716:H8717)</f>
        <v>2040000</v>
      </c>
    </row>
    <row r="8719" spans="3:11" x14ac:dyDescent="0.25">
      <c r="C8719" s="12" t="s">
        <v>30</v>
      </c>
      <c r="D8719" s="13" t="s">
        <v>31</v>
      </c>
      <c r="E8719" s="14"/>
      <c r="F8719" s="14"/>
      <c r="G8719" s="14"/>
      <c r="H8719" s="14"/>
    </row>
    <row r="8720" spans="3:11" x14ac:dyDescent="0.3">
      <c r="C8720" s="21" t="s">
        <v>32</v>
      </c>
      <c r="D8720" s="77"/>
      <c r="E8720" s="77"/>
      <c r="F8720" s="77"/>
      <c r="G8720" s="28"/>
      <c r="H8720" s="29">
        <f>SUM(H8719:H8719)</f>
        <v>0</v>
      </c>
    </row>
    <row r="8721" spans="3:11" x14ac:dyDescent="0.3">
      <c r="C8721" s="30" t="s">
        <v>33</v>
      </c>
      <c r="D8721" s="31" t="s">
        <v>34</v>
      </c>
      <c r="E8721" s="32"/>
      <c r="F8721" s="32"/>
      <c r="G8721" s="33"/>
      <c r="H8721" s="46">
        <f>H8720+H8718+H8715</f>
        <v>3972845</v>
      </c>
      <c r="I8721" s="47"/>
    </row>
    <row r="8722" spans="3:11" x14ac:dyDescent="0.3">
      <c r="C8722" s="30" t="s">
        <v>35</v>
      </c>
      <c r="D8722" s="31" t="s">
        <v>36</v>
      </c>
      <c r="E8722" s="32"/>
      <c r="F8722" s="33"/>
      <c r="G8722" s="34">
        <f>$M$9</f>
        <v>0.1</v>
      </c>
      <c r="H8722" s="19">
        <f>H8721*G8722</f>
        <v>397284.5</v>
      </c>
      <c r="I8722" s="47"/>
    </row>
    <row r="8723" spans="3:11" x14ac:dyDescent="0.3">
      <c r="C8723" s="30" t="s">
        <v>37</v>
      </c>
      <c r="D8723" s="31" t="s">
        <v>38</v>
      </c>
      <c r="E8723" s="32"/>
      <c r="F8723" s="32"/>
      <c r="G8723" s="33"/>
      <c r="H8723" s="48">
        <f>SUM(H8721:H8722)</f>
        <v>4370129.5</v>
      </c>
      <c r="I8723" s="47"/>
    </row>
    <row r="8725" spans="3:11" x14ac:dyDescent="0.3">
      <c r="C8725" s="40" t="s">
        <v>1622</v>
      </c>
      <c r="D8725" s="68" t="s">
        <v>1623</v>
      </c>
      <c r="E8725" s="44"/>
      <c r="F8725" s="44"/>
      <c r="G8725" s="44"/>
      <c r="H8725" s="44"/>
      <c r="I8725" s="10">
        <f>ROUNDDOWN(H8740,0)</f>
        <v>1014695</v>
      </c>
      <c r="J8725" s="15"/>
      <c r="K8725" s="39"/>
    </row>
    <row r="8726" spans="3:11" ht="27.6" x14ac:dyDescent="0.3">
      <c r="C8726" s="11" t="s">
        <v>9</v>
      </c>
      <c r="D8726" s="11" t="s">
        <v>10</v>
      </c>
      <c r="E8726" s="11" t="s">
        <v>11</v>
      </c>
      <c r="F8726" s="11" t="s">
        <v>12</v>
      </c>
      <c r="G8726" s="11" t="s">
        <v>13</v>
      </c>
      <c r="H8726" s="11" t="s">
        <v>14</v>
      </c>
    </row>
    <row r="8727" spans="3:11" x14ac:dyDescent="0.25">
      <c r="C8727" s="12" t="s">
        <v>15</v>
      </c>
      <c r="D8727" s="13" t="s">
        <v>16</v>
      </c>
      <c r="E8727" s="14"/>
      <c r="F8727" s="14"/>
      <c r="G8727" s="14"/>
      <c r="H8727" s="14"/>
    </row>
    <row r="8728" spans="3:11" x14ac:dyDescent="0.3">
      <c r="C8728" s="16">
        <v>1</v>
      </c>
      <c r="D8728" s="13" t="s">
        <v>18</v>
      </c>
      <c r="E8728" s="17" t="s">
        <v>19</v>
      </c>
      <c r="F8728" s="18">
        <v>0.255</v>
      </c>
      <c r="G8728" s="19">
        <f>VLOOKUP(D8728,upahbahan,3,FALSE)</f>
        <v>100000</v>
      </c>
      <c r="H8728" s="19">
        <f t="shared" ref="H8728:H8731" si="921">F8728*G8728</f>
        <v>25500</v>
      </c>
    </row>
    <row r="8729" spans="3:11" x14ac:dyDescent="0.3">
      <c r="C8729" s="16">
        <v>2</v>
      </c>
      <c r="D8729" s="13" t="s">
        <v>21</v>
      </c>
      <c r="E8729" s="17" t="s">
        <v>19</v>
      </c>
      <c r="F8729" s="18">
        <v>0.42499999999999999</v>
      </c>
      <c r="G8729" s="19">
        <f>VLOOKUP(D8729,upahbahan,3,FALSE)</f>
        <v>145000</v>
      </c>
      <c r="H8729" s="19">
        <f t="shared" si="921"/>
        <v>61625</v>
      </c>
    </row>
    <row r="8730" spans="3:11" x14ac:dyDescent="0.3">
      <c r="C8730" s="16">
        <v>3</v>
      </c>
      <c r="D8730" s="13" t="s">
        <v>1224</v>
      </c>
      <c r="E8730" s="17" t="s">
        <v>19</v>
      </c>
      <c r="F8730" s="18">
        <v>4.2999999999999997E-2</v>
      </c>
      <c r="G8730" s="19">
        <f>VLOOKUP(D8730,upahbahan,3,FALSE)</f>
        <v>175000</v>
      </c>
      <c r="H8730" s="19">
        <f t="shared" si="921"/>
        <v>7524.9999999999991</v>
      </c>
    </row>
    <row r="8731" spans="3:11" x14ac:dyDescent="0.3">
      <c r="C8731" s="16">
        <v>4</v>
      </c>
      <c r="D8731" s="13" t="s">
        <v>23</v>
      </c>
      <c r="E8731" s="17" t="s">
        <v>19</v>
      </c>
      <c r="F8731" s="18">
        <v>1.4E-2</v>
      </c>
      <c r="G8731" s="19">
        <f>VLOOKUP(D8731,upahbahan,3,FALSE)</f>
        <v>200000</v>
      </c>
      <c r="H8731" s="19">
        <f t="shared" si="921"/>
        <v>2800</v>
      </c>
    </row>
    <row r="8732" spans="3:11" x14ac:dyDescent="0.3">
      <c r="C8732" s="21" t="s">
        <v>24</v>
      </c>
      <c r="D8732" s="22"/>
      <c r="E8732" s="22"/>
      <c r="F8732" s="54"/>
      <c r="G8732" s="24"/>
      <c r="H8732" s="19">
        <f>SUM(H8728:H8731)</f>
        <v>97450</v>
      </c>
      <c r="I8732" s="25"/>
    </row>
    <row r="8733" spans="3:11" x14ac:dyDescent="0.25">
      <c r="C8733" s="12" t="s">
        <v>25</v>
      </c>
      <c r="D8733" s="13" t="s">
        <v>26</v>
      </c>
      <c r="E8733" s="14"/>
      <c r="F8733" s="55"/>
      <c r="G8733" s="14"/>
      <c r="H8733" s="14"/>
    </row>
    <row r="8734" spans="3:11" x14ac:dyDescent="0.25">
      <c r="C8734" s="12">
        <v>1</v>
      </c>
      <c r="D8734" s="13" t="s">
        <v>1624</v>
      </c>
      <c r="E8734" s="53" t="s">
        <v>1542</v>
      </c>
      <c r="F8734" s="115">
        <v>1.1000000000000001</v>
      </c>
      <c r="G8734" s="19">
        <f>VLOOKUP(D8734,upahbahan,3,FALSE)</f>
        <v>750000</v>
      </c>
      <c r="H8734" s="19">
        <f t="shared" ref="H8734" si="922">F8734*G8734</f>
        <v>825000.00000000012</v>
      </c>
    </row>
    <row r="8735" spans="3:11" x14ac:dyDescent="0.3">
      <c r="C8735" s="21" t="s">
        <v>29</v>
      </c>
      <c r="D8735" s="22"/>
      <c r="E8735" s="22" t="s">
        <v>1340</v>
      </c>
      <c r="F8735" s="22"/>
      <c r="G8735" s="28"/>
      <c r="H8735" s="19">
        <f>SUM(H8733:H8734)</f>
        <v>825000.00000000012</v>
      </c>
    </row>
    <row r="8736" spans="3:11" x14ac:dyDescent="0.25">
      <c r="C8736" s="12" t="s">
        <v>30</v>
      </c>
      <c r="D8736" s="13" t="s">
        <v>31</v>
      </c>
      <c r="E8736" s="14"/>
      <c r="F8736" s="14"/>
      <c r="G8736" s="14"/>
      <c r="H8736" s="14"/>
    </row>
    <row r="8737" spans="3:11" x14ac:dyDescent="0.3">
      <c r="C8737" s="21" t="s">
        <v>32</v>
      </c>
      <c r="D8737" s="77"/>
      <c r="E8737" s="77"/>
      <c r="F8737" s="77"/>
      <c r="G8737" s="28"/>
      <c r="H8737" s="29">
        <f>SUM(H8736:H8736)</f>
        <v>0</v>
      </c>
    </row>
    <row r="8738" spans="3:11" x14ac:dyDescent="0.3">
      <c r="C8738" s="30" t="s">
        <v>33</v>
      </c>
      <c r="D8738" s="31" t="s">
        <v>34</v>
      </c>
      <c r="E8738" s="32"/>
      <c r="F8738" s="32"/>
      <c r="G8738" s="33"/>
      <c r="H8738" s="46">
        <f>H8737+H8735+H8732</f>
        <v>922450.00000000012</v>
      </c>
      <c r="I8738" s="47"/>
    </row>
    <row r="8739" spans="3:11" x14ac:dyDescent="0.3">
      <c r="C8739" s="30" t="s">
        <v>35</v>
      </c>
      <c r="D8739" s="31" t="s">
        <v>36</v>
      </c>
      <c r="E8739" s="32"/>
      <c r="F8739" s="33"/>
      <c r="G8739" s="34">
        <f>$M$9</f>
        <v>0.1</v>
      </c>
      <c r="H8739" s="19">
        <f>H8738*G8739</f>
        <v>92245.000000000015</v>
      </c>
      <c r="I8739" s="47"/>
    </row>
    <row r="8740" spans="3:11" x14ac:dyDescent="0.3">
      <c r="C8740" s="30" t="s">
        <v>37</v>
      </c>
      <c r="D8740" s="31" t="s">
        <v>38</v>
      </c>
      <c r="E8740" s="32"/>
      <c r="F8740" s="32"/>
      <c r="G8740" s="33"/>
      <c r="H8740" s="48">
        <f>SUM(H8738:H8739)</f>
        <v>1014695.0000000001</v>
      </c>
      <c r="I8740" s="47"/>
    </row>
    <row r="8742" spans="3:11" x14ac:dyDescent="0.3">
      <c r="C8742" s="40" t="s">
        <v>1625</v>
      </c>
      <c r="D8742" s="68" t="s">
        <v>1626</v>
      </c>
      <c r="E8742" s="44"/>
      <c r="F8742" s="44"/>
      <c r="G8742" s="44"/>
      <c r="H8742" s="44"/>
      <c r="I8742" s="10">
        <f>ROUNDDOWN(H8757,0)</f>
        <v>1922195</v>
      </c>
      <c r="J8742" s="15"/>
      <c r="K8742" s="39"/>
    </row>
    <row r="8743" spans="3:11" ht="27.6" x14ac:dyDescent="0.3">
      <c r="C8743" s="11" t="s">
        <v>9</v>
      </c>
      <c r="D8743" s="11" t="s">
        <v>10</v>
      </c>
      <c r="E8743" s="11" t="s">
        <v>11</v>
      </c>
      <c r="F8743" s="11" t="s">
        <v>12</v>
      </c>
      <c r="G8743" s="11" t="s">
        <v>13</v>
      </c>
      <c r="H8743" s="11" t="s">
        <v>14</v>
      </c>
    </row>
    <row r="8744" spans="3:11" x14ac:dyDescent="0.25">
      <c r="C8744" s="12" t="s">
        <v>15</v>
      </c>
      <c r="D8744" s="13" t="s">
        <v>16</v>
      </c>
      <c r="E8744" s="14"/>
      <c r="F8744" s="14"/>
      <c r="G8744" s="14"/>
      <c r="H8744" s="14"/>
    </row>
    <row r="8745" spans="3:11" x14ac:dyDescent="0.3">
      <c r="C8745" s="16">
        <v>1</v>
      </c>
      <c r="D8745" s="13" t="s">
        <v>18</v>
      </c>
      <c r="E8745" s="17" t="s">
        <v>19</v>
      </c>
      <c r="F8745" s="18">
        <v>0.255</v>
      </c>
      <c r="G8745" s="19">
        <f>VLOOKUP(D8745,upahbahan,3,FALSE)</f>
        <v>100000</v>
      </c>
      <c r="H8745" s="19">
        <f t="shared" ref="H8745:H8748" si="923">F8745*G8745</f>
        <v>25500</v>
      </c>
    </row>
    <row r="8746" spans="3:11" x14ac:dyDescent="0.3">
      <c r="C8746" s="16">
        <v>2</v>
      </c>
      <c r="D8746" s="13" t="s">
        <v>21</v>
      </c>
      <c r="E8746" s="17" t="s">
        <v>19</v>
      </c>
      <c r="F8746" s="18">
        <v>0.42499999999999999</v>
      </c>
      <c r="G8746" s="19">
        <f>VLOOKUP(D8746,upahbahan,3,FALSE)</f>
        <v>145000</v>
      </c>
      <c r="H8746" s="19">
        <f t="shared" si="923"/>
        <v>61625</v>
      </c>
    </row>
    <row r="8747" spans="3:11" x14ac:dyDescent="0.3">
      <c r="C8747" s="16">
        <v>3</v>
      </c>
      <c r="D8747" s="13" t="s">
        <v>1224</v>
      </c>
      <c r="E8747" s="17" t="s">
        <v>19</v>
      </c>
      <c r="F8747" s="18">
        <v>4.2999999999999997E-2</v>
      </c>
      <c r="G8747" s="19">
        <f>VLOOKUP(D8747,upahbahan,3,FALSE)</f>
        <v>175000</v>
      </c>
      <c r="H8747" s="19">
        <f t="shared" si="923"/>
        <v>7524.9999999999991</v>
      </c>
    </row>
    <row r="8748" spans="3:11" x14ac:dyDescent="0.3">
      <c r="C8748" s="16">
        <v>4</v>
      </c>
      <c r="D8748" s="13" t="s">
        <v>23</v>
      </c>
      <c r="E8748" s="17" t="s">
        <v>19</v>
      </c>
      <c r="F8748" s="18">
        <v>1.4E-2</v>
      </c>
      <c r="G8748" s="19">
        <f>VLOOKUP(D8748,upahbahan,3,FALSE)</f>
        <v>200000</v>
      </c>
      <c r="H8748" s="19">
        <f t="shared" si="923"/>
        <v>2800</v>
      </c>
    </row>
    <row r="8749" spans="3:11" x14ac:dyDescent="0.3">
      <c r="C8749" s="21" t="s">
        <v>24</v>
      </c>
      <c r="D8749" s="22"/>
      <c r="E8749" s="22"/>
      <c r="F8749" s="54"/>
      <c r="G8749" s="24"/>
      <c r="H8749" s="19">
        <f>SUM(H8745:H8748)</f>
        <v>97450</v>
      </c>
      <c r="I8749" s="25"/>
    </row>
    <row r="8750" spans="3:11" x14ac:dyDescent="0.25">
      <c r="C8750" s="12" t="s">
        <v>25</v>
      </c>
      <c r="D8750" s="13" t="s">
        <v>26</v>
      </c>
      <c r="E8750" s="14"/>
      <c r="F8750" s="55"/>
      <c r="G8750" s="14"/>
      <c r="H8750" s="14"/>
    </row>
    <row r="8751" spans="3:11" x14ac:dyDescent="0.25">
      <c r="C8751" s="12">
        <v>1</v>
      </c>
      <c r="D8751" s="13" t="s">
        <v>1627</v>
      </c>
      <c r="E8751" s="53" t="s">
        <v>1542</v>
      </c>
      <c r="F8751" s="115">
        <v>1.1000000000000001</v>
      </c>
      <c r="G8751" s="19">
        <f>VLOOKUP(D8751,upahbahan,3,FALSE)</f>
        <v>1500000</v>
      </c>
      <c r="H8751" s="19">
        <f t="shared" ref="H8751" si="924">F8751*G8751</f>
        <v>1650000.0000000002</v>
      </c>
    </row>
    <row r="8752" spans="3:11" x14ac:dyDescent="0.3">
      <c r="C8752" s="21" t="s">
        <v>29</v>
      </c>
      <c r="D8752" s="22"/>
      <c r="E8752" s="22" t="s">
        <v>1340</v>
      </c>
      <c r="F8752" s="22"/>
      <c r="G8752" s="28"/>
      <c r="H8752" s="19">
        <f>SUM(H8750:H8751)</f>
        <v>1650000.0000000002</v>
      </c>
    </row>
    <row r="8753" spans="3:11" x14ac:dyDescent="0.25">
      <c r="C8753" s="12" t="s">
        <v>30</v>
      </c>
      <c r="D8753" s="13" t="s">
        <v>31</v>
      </c>
      <c r="E8753" s="14"/>
      <c r="F8753" s="14"/>
      <c r="G8753" s="14"/>
      <c r="H8753" s="14"/>
    </row>
    <row r="8754" spans="3:11" x14ac:dyDescent="0.3">
      <c r="C8754" s="21" t="s">
        <v>32</v>
      </c>
      <c r="D8754" s="77"/>
      <c r="E8754" s="77"/>
      <c r="F8754" s="77"/>
      <c r="G8754" s="28"/>
      <c r="H8754" s="29">
        <f>SUM(H8753:H8753)</f>
        <v>0</v>
      </c>
    </row>
    <row r="8755" spans="3:11" x14ac:dyDescent="0.3">
      <c r="C8755" s="30" t="s">
        <v>33</v>
      </c>
      <c r="D8755" s="31" t="s">
        <v>34</v>
      </c>
      <c r="E8755" s="32"/>
      <c r="F8755" s="32"/>
      <c r="G8755" s="33"/>
      <c r="H8755" s="46">
        <f>H8754+H8752+H8749</f>
        <v>1747450.0000000002</v>
      </c>
      <c r="I8755" s="47"/>
    </row>
    <row r="8756" spans="3:11" x14ac:dyDescent="0.3">
      <c r="C8756" s="30" t="s">
        <v>35</v>
      </c>
      <c r="D8756" s="31" t="s">
        <v>36</v>
      </c>
      <c r="E8756" s="32"/>
      <c r="F8756" s="33"/>
      <c r="G8756" s="34">
        <f>$M$9</f>
        <v>0.1</v>
      </c>
      <c r="H8756" s="19">
        <f>H8755*G8756</f>
        <v>174745.00000000003</v>
      </c>
      <c r="I8756" s="47"/>
    </row>
    <row r="8757" spans="3:11" x14ac:dyDescent="0.3">
      <c r="C8757" s="30" t="s">
        <v>37</v>
      </c>
      <c r="D8757" s="31" t="s">
        <v>38</v>
      </c>
      <c r="E8757" s="32"/>
      <c r="F8757" s="32"/>
      <c r="G8757" s="33"/>
      <c r="H8757" s="48">
        <f>SUM(H8755:H8756)</f>
        <v>1922195.0000000002</v>
      </c>
      <c r="I8757" s="47"/>
    </row>
    <row r="8759" spans="3:11" x14ac:dyDescent="0.3">
      <c r="C8759" s="40" t="s">
        <v>1628</v>
      </c>
      <c r="D8759" s="68" t="s">
        <v>1629</v>
      </c>
      <c r="E8759" s="44"/>
      <c r="F8759" s="44"/>
      <c r="G8759" s="44"/>
      <c r="H8759" s="44"/>
      <c r="I8759" s="10">
        <f>ROUNDDOWN(H8774,0)</f>
        <v>11487781</v>
      </c>
      <c r="J8759" s="15"/>
      <c r="K8759" s="39"/>
    </row>
    <row r="8760" spans="3:11" ht="27.6" x14ac:dyDescent="0.3">
      <c r="C8760" s="11" t="s">
        <v>9</v>
      </c>
      <c r="D8760" s="11" t="s">
        <v>10</v>
      </c>
      <c r="E8760" s="11" t="s">
        <v>11</v>
      </c>
      <c r="F8760" s="11" t="s">
        <v>12</v>
      </c>
      <c r="G8760" s="11" t="s">
        <v>13</v>
      </c>
      <c r="H8760" s="11" t="s">
        <v>14</v>
      </c>
    </row>
    <row r="8761" spans="3:11" x14ac:dyDescent="0.25">
      <c r="C8761" s="12" t="s">
        <v>15</v>
      </c>
      <c r="D8761" s="13" t="s">
        <v>16</v>
      </c>
      <c r="E8761" s="14"/>
      <c r="F8761" s="14"/>
      <c r="G8761" s="14"/>
      <c r="H8761" s="14"/>
    </row>
    <row r="8762" spans="3:11" x14ac:dyDescent="0.3">
      <c r="C8762" s="16">
        <v>1</v>
      </c>
      <c r="D8762" s="13" t="s">
        <v>18</v>
      </c>
      <c r="E8762" s="17" t="s">
        <v>19</v>
      </c>
      <c r="F8762" s="18">
        <v>1.264</v>
      </c>
      <c r="G8762" s="19">
        <f>VLOOKUP(D8762,upahbahan,3,FALSE)</f>
        <v>100000</v>
      </c>
      <c r="H8762" s="19">
        <f t="shared" ref="H8762:H8765" si="925">F8762*G8762</f>
        <v>126400</v>
      </c>
    </row>
    <row r="8763" spans="3:11" x14ac:dyDescent="0.3">
      <c r="C8763" s="16">
        <v>2</v>
      </c>
      <c r="D8763" s="13" t="s">
        <v>21</v>
      </c>
      <c r="E8763" s="17" t="s">
        <v>19</v>
      </c>
      <c r="F8763" s="18">
        <v>2.1110000000000002</v>
      </c>
      <c r="G8763" s="19">
        <f>VLOOKUP(D8763,upahbahan,3,FALSE)</f>
        <v>145000</v>
      </c>
      <c r="H8763" s="19">
        <f t="shared" si="925"/>
        <v>306095.00000000006</v>
      </c>
    </row>
    <row r="8764" spans="3:11" x14ac:dyDescent="0.3">
      <c r="C8764" s="16">
        <v>3</v>
      </c>
      <c r="D8764" s="13" t="s">
        <v>1224</v>
      </c>
      <c r="E8764" s="17" t="s">
        <v>19</v>
      </c>
      <c r="F8764" s="18">
        <v>0.21110000000000001</v>
      </c>
      <c r="G8764" s="19">
        <f>VLOOKUP(D8764,upahbahan,3,FALSE)</f>
        <v>175000</v>
      </c>
      <c r="H8764" s="19">
        <f t="shared" si="925"/>
        <v>36942.5</v>
      </c>
    </row>
    <row r="8765" spans="3:11" x14ac:dyDescent="0.3">
      <c r="C8765" s="16">
        <v>4</v>
      </c>
      <c r="D8765" s="13" t="s">
        <v>23</v>
      </c>
      <c r="E8765" s="17" t="s">
        <v>19</v>
      </c>
      <c r="F8765" s="18">
        <v>7.0000000000000007E-2</v>
      </c>
      <c r="G8765" s="19">
        <f>VLOOKUP(D8765,upahbahan,3,FALSE)</f>
        <v>200000</v>
      </c>
      <c r="H8765" s="19">
        <f t="shared" si="925"/>
        <v>14000.000000000002</v>
      </c>
    </row>
    <row r="8766" spans="3:11" x14ac:dyDescent="0.3">
      <c r="C8766" s="21" t="s">
        <v>24</v>
      </c>
      <c r="D8766" s="22"/>
      <c r="E8766" s="22"/>
      <c r="F8766" s="54"/>
      <c r="G8766" s="24"/>
      <c r="H8766" s="19">
        <f>SUM(H8762:H8765)</f>
        <v>483437.50000000006</v>
      </c>
      <c r="I8766" s="25"/>
    </row>
    <row r="8767" spans="3:11" x14ac:dyDescent="0.25">
      <c r="C8767" s="12" t="s">
        <v>25</v>
      </c>
      <c r="D8767" s="13" t="s">
        <v>26</v>
      </c>
      <c r="E8767" s="14"/>
      <c r="F8767" s="55"/>
      <c r="G8767" s="14"/>
      <c r="H8767" s="14"/>
    </row>
    <row r="8768" spans="3:11" x14ac:dyDescent="0.25">
      <c r="C8768" s="12">
        <v>1</v>
      </c>
      <c r="D8768" s="13" t="s">
        <v>1630</v>
      </c>
      <c r="E8768" s="53" t="s">
        <v>1542</v>
      </c>
      <c r="F8768" s="115">
        <v>1.2</v>
      </c>
      <c r="G8768" s="19">
        <f>VLOOKUP(D8768,upahbahan,3,FALSE)</f>
        <v>8300000</v>
      </c>
      <c r="H8768" s="19">
        <f t="shared" ref="H8768" si="926">F8768*G8768</f>
        <v>9960000</v>
      </c>
    </row>
    <row r="8769" spans="3:11" x14ac:dyDescent="0.3">
      <c r="C8769" s="21" t="s">
        <v>29</v>
      </c>
      <c r="D8769" s="22"/>
      <c r="E8769" s="22" t="s">
        <v>1340</v>
      </c>
      <c r="F8769" s="22"/>
      <c r="G8769" s="28"/>
      <c r="H8769" s="19">
        <f>SUM(H8767:H8768)</f>
        <v>9960000</v>
      </c>
    </row>
    <row r="8770" spans="3:11" x14ac:dyDescent="0.25">
      <c r="C8770" s="12" t="s">
        <v>30</v>
      </c>
      <c r="D8770" s="13" t="s">
        <v>31</v>
      </c>
      <c r="E8770" s="14"/>
      <c r="F8770" s="14"/>
      <c r="G8770" s="14"/>
      <c r="H8770" s="14"/>
    </row>
    <row r="8771" spans="3:11" x14ac:dyDescent="0.3">
      <c r="C8771" s="21" t="s">
        <v>32</v>
      </c>
      <c r="D8771" s="77"/>
      <c r="E8771" s="77"/>
      <c r="F8771" s="77"/>
      <c r="G8771" s="28"/>
      <c r="H8771" s="29">
        <f>SUM(H8770:H8770)</f>
        <v>0</v>
      </c>
    </row>
    <row r="8772" spans="3:11" x14ac:dyDescent="0.3">
      <c r="C8772" s="30" t="s">
        <v>33</v>
      </c>
      <c r="D8772" s="31" t="s">
        <v>34</v>
      </c>
      <c r="E8772" s="32"/>
      <c r="F8772" s="32"/>
      <c r="G8772" s="33"/>
      <c r="H8772" s="46">
        <f>H8771+H8769+H8766</f>
        <v>10443437.5</v>
      </c>
      <c r="I8772" s="47"/>
    </row>
    <row r="8773" spans="3:11" x14ac:dyDescent="0.3">
      <c r="C8773" s="30" t="s">
        <v>35</v>
      </c>
      <c r="D8773" s="31" t="s">
        <v>36</v>
      </c>
      <c r="E8773" s="32"/>
      <c r="F8773" s="33"/>
      <c r="G8773" s="34">
        <f>$M$9</f>
        <v>0.1</v>
      </c>
      <c r="H8773" s="19">
        <f>H8772*G8773</f>
        <v>1044343.75</v>
      </c>
      <c r="I8773" s="47"/>
    </row>
    <row r="8774" spans="3:11" x14ac:dyDescent="0.3">
      <c r="C8774" s="30" t="s">
        <v>37</v>
      </c>
      <c r="D8774" s="31" t="s">
        <v>38</v>
      </c>
      <c r="E8774" s="32"/>
      <c r="F8774" s="32"/>
      <c r="G8774" s="33"/>
      <c r="H8774" s="48">
        <f>SUM(H8772:H8773)</f>
        <v>11487781.25</v>
      </c>
      <c r="I8774" s="47"/>
    </row>
    <row r="8776" spans="3:11" x14ac:dyDescent="0.3">
      <c r="C8776" s="40" t="s">
        <v>1631</v>
      </c>
      <c r="D8776" s="68" t="s">
        <v>1632</v>
      </c>
      <c r="E8776" s="44"/>
      <c r="F8776" s="44"/>
      <c r="G8776" s="44"/>
      <c r="H8776" s="44"/>
      <c r="I8776" s="10">
        <f>ROUNDDOWN(H8791,0)</f>
        <v>2536292</v>
      </c>
      <c r="J8776" s="15"/>
      <c r="K8776" s="39"/>
    </row>
    <row r="8777" spans="3:11" ht="27.6" x14ac:dyDescent="0.3">
      <c r="C8777" s="11" t="s">
        <v>9</v>
      </c>
      <c r="D8777" s="11" t="s">
        <v>10</v>
      </c>
      <c r="E8777" s="11" t="s">
        <v>11</v>
      </c>
      <c r="F8777" s="11" t="s">
        <v>12</v>
      </c>
      <c r="G8777" s="11" t="s">
        <v>13</v>
      </c>
      <c r="H8777" s="11" t="s">
        <v>14</v>
      </c>
    </row>
    <row r="8778" spans="3:11" x14ac:dyDescent="0.25">
      <c r="C8778" s="12" t="s">
        <v>15</v>
      </c>
      <c r="D8778" s="13" t="s">
        <v>16</v>
      </c>
      <c r="E8778" s="14"/>
      <c r="F8778" s="14"/>
      <c r="G8778" s="14"/>
      <c r="H8778" s="14"/>
    </row>
    <row r="8779" spans="3:11" x14ac:dyDescent="0.3">
      <c r="C8779" s="16">
        <v>1</v>
      </c>
      <c r="D8779" s="13" t="s">
        <v>18</v>
      </c>
      <c r="E8779" s="17" t="s">
        <v>19</v>
      </c>
      <c r="F8779" s="18">
        <v>0.38100000000000001</v>
      </c>
      <c r="G8779" s="19">
        <f>VLOOKUP(D8779,upahbahan,3,FALSE)</f>
        <v>100000</v>
      </c>
      <c r="H8779" s="19">
        <f t="shared" ref="H8779:H8782" si="927">F8779*G8779</f>
        <v>38100</v>
      </c>
    </row>
    <row r="8780" spans="3:11" x14ac:dyDescent="0.3">
      <c r="C8780" s="16">
        <v>2</v>
      </c>
      <c r="D8780" s="13" t="s">
        <v>21</v>
      </c>
      <c r="E8780" s="17" t="s">
        <v>19</v>
      </c>
      <c r="F8780" s="18">
        <v>0.63600000000000001</v>
      </c>
      <c r="G8780" s="19">
        <f>VLOOKUP(D8780,upahbahan,3,FALSE)</f>
        <v>145000</v>
      </c>
      <c r="H8780" s="19">
        <f t="shared" si="927"/>
        <v>92220</v>
      </c>
    </row>
    <row r="8781" spans="3:11" x14ac:dyDescent="0.3">
      <c r="C8781" s="16">
        <v>3</v>
      </c>
      <c r="D8781" s="13" t="s">
        <v>1224</v>
      </c>
      <c r="E8781" s="17" t="s">
        <v>19</v>
      </c>
      <c r="F8781" s="18">
        <v>6.4000000000000001E-2</v>
      </c>
      <c r="G8781" s="19">
        <f>VLOOKUP(D8781,upahbahan,3,FALSE)</f>
        <v>175000</v>
      </c>
      <c r="H8781" s="19">
        <f t="shared" si="927"/>
        <v>11200</v>
      </c>
    </row>
    <row r="8782" spans="3:11" x14ac:dyDescent="0.3">
      <c r="C8782" s="16">
        <v>4</v>
      </c>
      <c r="D8782" s="13" t="s">
        <v>23</v>
      </c>
      <c r="E8782" s="17" t="s">
        <v>19</v>
      </c>
      <c r="F8782" s="18">
        <v>2.1000000000000001E-2</v>
      </c>
      <c r="G8782" s="19">
        <f>VLOOKUP(D8782,upahbahan,3,FALSE)</f>
        <v>200000</v>
      </c>
      <c r="H8782" s="19">
        <f t="shared" si="927"/>
        <v>4200</v>
      </c>
    </row>
    <row r="8783" spans="3:11" x14ac:dyDescent="0.3">
      <c r="C8783" s="21" t="s">
        <v>24</v>
      </c>
      <c r="D8783" s="22"/>
      <c r="E8783" s="22"/>
      <c r="F8783" s="54"/>
      <c r="G8783" s="24"/>
      <c r="H8783" s="19">
        <f>SUM(H8779:H8782)</f>
        <v>145720</v>
      </c>
      <c r="I8783" s="25"/>
    </row>
    <row r="8784" spans="3:11" x14ac:dyDescent="0.25">
      <c r="C8784" s="12" t="s">
        <v>25</v>
      </c>
      <c r="D8784" s="13" t="s">
        <v>26</v>
      </c>
      <c r="E8784" s="14"/>
      <c r="F8784" s="55"/>
      <c r="G8784" s="14"/>
      <c r="H8784" s="14"/>
    </row>
    <row r="8785" spans="3:11" x14ac:dyDescent="0.25">
      <c r="C8785" s="12">
        <v>1</v>
      </c>
      <c r="D8785" s="13" t="s">
        <v>1633</v>
      </c>
      <c r="E8785" s="53" t="s">
        <v>1542</v>
      </c>
      <c r="F8785" s="115">
        <v>1.2</v>
      </c>
      <c r="G8785" s="19">
        <f>VLOOKUP(D8785,upahbahan,3,FALSE)</f>
        <v>1800000</v>
      </c>
      <c r="H8785" s="19">
        <f t="shared" ref="H8785" si="928">F8785*G8785</f>
        <v>2160000</v>
      </c>
    </row>
    <row r="8786" spans="3:11" x14ac:dyDescent="0.3">
      <c r="C8786" s="21" t="s">
        <v>29</v>
      </c>
      <c r="D8786" s="22"/>
      <c r="E8786" s="22" t="s">
        <v>1340</v>
      </c>
      <c r="F8786" s="22"/>
      <c r="G8786" s="28"/>
      <c r="H8786" s="19">
        <f>SUM(H8784:H8785)</f>
        <v>2160000</v>
      </c>
    </row>
    <row r="8787" spans="3:11" x14ac:dyDescent="0.25">
      <c r="C8787" s="12" t="s">
        <v>30</v>
      </c>
      <c r="D8787" s="13" t="s">
        <v>31</v>
      </c>
      <c r="E8787" s="14"/>
      <c r="F8787" s="14"/>
      <c r="G8787" s="14"/>
      <c r="H8787" s="14"/>
    </row>
    <row r="8788" spans="3:11" x14ac:dyDescent="0.3">
      <c r="C8788" s="21" t="s">
        <v>32</v>
      </c>
      <c r="D8788" s="77"/>
      <c r="E8788" s="77"/>
      <c r="F8788" s="77"/>
      <c r="G8788" s="28"/>
      <c r="H8788" s="29">
        <f>SUM(H8787:H8787)</f>
        <v>0</v>
      </c>
    </row>
    <row r="8789" spans="3:11" x14ac:dyDescent="0.3">
      <c r="C8789" s="30" t="s">
        <v>33</v>
      </c>
      <c r="D8789" s="31" t="s">
        <v>34</v>
      </c>
      <c r="E8789" s="32"/>
      <c r="F8789" s="32"/>
      <c r="G8789" s="33"/>
      <c r="H8789" s="46">
        <f>H8788+H8786+H8783</f>
        <v>2305720</v>
      </c>
      <c r="I8789" s="47"/>
    </row>
    <row r="8790" spans="3:11" x14ac:dyDescent="0.3">
      <c r="C8790" s="30" t="s">
        <v>35</v>
      </c>
      <c r="D8790" s="31" t="s">
        <v>36</v>
      </c>
      <c r="E8790" s="32"/>
      <c r="F8790" s="33"/>
      <c r="G8790" s="34">
        <f>$M$9</f>
        <v>0.1</v>
      </c>
      <c r="H8790" s="19">
        <f>H8789*G8790</f>
        <v>230572</v>
      </c>
      <c r="I8790" s="47"/>
    </row>
    <row r="8791" spans="3:11" x14ac:dyDescent="0.3">
      <c r="C8791" s="30" t="s">
        <v>37</v>
      </c>
      <c r="D8791" s="31" t="s">
        <v>38</v>
      </c>
      <c r="E8791" s="32"/>
      <c r="F8791" s="32"/>
      <c r="G8791" s="33"/>
      <c r="H8791" s="48">
        <f>SUM(H8789:H8790)</f>
        <v>2536292</v>
      </c>
      <c r="I8791" s="47"/>
    </row>
    <row r="8793" spans="3:11" x14ac:dyDescent="0.3">
      <c r="C8793" s="40" t="s">
        <v>1634</v>
      </c>
      <c r="D8793" s="68" t="s">
        <v>1635</v>
      </c>
      <c r="E8793" s="44"/>
      <c r="F8793" s="44"/>
      <c r="G8793" s="44"/>
      <c r="H8793" s="44"/>
      <c r="I8793" s="10">
        <f>ROUNDDOWN(H8808,0)</f>
        <v>2932292</v>
      </c>
      <c r="J8793" s="15"/>
      <c r="K8793" s="39"/>
    </row>
    <row r="8794" spans="3:11" ht="27.6" x14ac:dyDescent="0.3">
      <c r="C8794" s="11" t="s">
        <v>9</v>
      </c>
      <c r="D8794" s="11" t="s">
        <v>10</v>
      </c>
      <c r="E8794" s="11" t="s">
        <v>11</v>
      </c>
      <c r="F8794" s="11" t="s">
        <v>12</v>
      </c>
      <c r="G8794" s="11" t="s">
        <v>13</v>
      </c>
      <c r="H8794" s="11" t="s">
        <v>14</v>
      </c>
    </row>
    <row r="8795" spans="3:11" x14ac:dyDescent="0.25">
      <c r="C8795" s="12" t="s">
        <v>15</v>
      </c>
      <c r="D8795" s="13" t="s">
        <v>16</v>
      </c>
      <c r="E8795" s="14"/>
      <c r="F8795" s="14"/>
      <c r="G8795" s="14"/>
      <c r="H8795" s="14"/>
    </row>
    <row r="8796" spans="3:11" x14ac:dyDescent="0.3">
      <c r="C8796" s="16">
        <v>1</v>
      </c>
      <c r="D8796" s="13" t="s">
        <v>18</v>
      </c>
      <c r="E8796" s="17" t="s">
        <v>19</v>
      </c>
      <c r="F8796" s="18">
        <v>0.38100000000000001</v>
      </c>
      <c r="G8796" s="19">
        <f>VLOOKUP(D8796,upahbahan,3,FALSE)</f>
        <v>100000</v>
      </c>
      <c r="H8796" s="19">
        <f t="shared" ref="H8796:H8799" si="929">F8796*G8796</f>
        <v>38100</v>
      </c>
    </row>
    <row r="8797" spans="3:11" x14ac:dyDescent="0.3">
      <c r="C8797" s="16">
        <v>2</v>
      </c>
      <c r="D8797" s="13" t="s">
        <v>21</v>
      </c>
      <c r="E8797" s="17" t="s">
        <v>19</v>
      </c>
      <c r="F8797" s="18">
        <v>0.63600000000000001</v>
      </c>
      <c r="G8797" s="19">
        <f>VLOOKUP(D8797,upahbahan,3,FALSE)</f>
        <v>145000</v>
      </c>
      <c r="H8797" s="19">
        <f t="shared" si="929"/>
        <v>92220</v>
      </c>
    </row>
    <row r="8798" spans="3:11" x14ac:dyDescent="0.3">
      <c r="C8798" s="16">
        <v>3</v>
      </c>
      <c r="D8798" s="13" t="s">
        <v>1224</v>
      </c>
      <c r="E8798" s="17" t="s">
        <v>19</v>
      </c>
      <c r="F8798" s="18">
        <v>6.4000000000000001E-2</v>
      </c>
      <c r="G8798" s="19">
        <f>VLOOKUP(D8798,upahbahan,3,FALSE)</f>
        <v>175000</v>
      </c>
      <c r="H8798" s="19">
        <f t="shared" si="929"/>
        <v>11200</v>
      </c>
    </row>
    <row r="8799" spans="3:11" x14ac:dyDescent="0.3">
      <c r="C8799" s="16">
        <v>4</v>
      </c>
      <c r="D8799" s="13" t="s">
        <v>23</v>
      </c>
      <c r="E8799" s="17" t="s">
        <v>19</v>
      </c>
      <c r="F8799" s="18">
        <v>2.1000000000000001E-2</v>
      </c>
      <c r="G8799" s="19">
        <f>VLOOKUP(D8799,upahbahan,3,FALSE)</f>
        <v>200000</v>
      </c>
      <c r="H8799" s="19">
        <f t="shared" si="929"/>
        <v>4200</v>
      </c>
    </row>
    <row r="8800" spans="3:11" x14ac:dyDescent="0.3">
      <c r="C8800" s="21" t="s">
        <v>24</v>
      </c>
      <c r="D8800" s="22"/>
      <c r="E8800" s="22"/>
      <c r="F8800" s="54"/>
      <c r="G8800" s="24"/>
      <c r="H8800" s="19">
        <f>SUM(H8796:H8799)</f>
        <v>145720</v>
      </c>
      <c r="I8800" s="25"/>
    </row>
    <row r="8801" spans="3:11" x14ac:dyDescent="0.25">
      <c r="C8801" s="12" t="s">
        <v>25</v>
      </c>
      <c r="D8801" s="13" t="s">
        <v>26</v>
      </c>
      <c r="E8801" s="14"/>
      <c r="F8801" s="55"/>
      <c r="G8801" s="14"/>
      <c r="H8801" s="14"/>
    </row>
    <row r="8802" spans="3:11" x14ac:dyDescent="0.25">
      <c r="C8802" s="12">
        <v>1</v>
      </c>
      <c r="D8802" s="13" t="s">
        <v>1636</v>
      </c>
      <c r="E8802" s="53" t="s">
        <v>1542</v>
      </c>
      <c r="F8802" s="115">
        <v>1.2</v>
      </c>
      <c r="G8802" s="19">
        <f>VLOOKUP(D8802,upahbahan,3,FALSE)</f>
        <v>2100000</v>
      </c>
      <c r="H8802" s="19">
        <f t="shared" ref="H8802" si="930">F8802*G8802</f>
        <v>2520000</v>
      </c>
    </row>
    <row r="8803" spans="3:11" x14ac:dyDescent="0.3">
      <c r="C8803" s="21" t="s">
        <v>29</v>
      </c>
      <c r="D8803" s="22"/>
      <c r="E8803" s="22" t="s">
        <v>1340</v>
      </c>
      <c r="F8803" s="22"/>
      <c r="G8803" s="28"/>
      <c r="H8803" s="19">
        <f>SUM(H8801:H8802)</f>
        <v>2520000</v>
      </c>
    </row>
    <row r="8804" spans="3:11" x14ac:dyDescent="0.25">
      <c r="C8804" s="12" t="s">
        <v>30</v>
      </c>
      <c r="D8804" s="13" t="s">
        <v>31</v>
      </c>
      <c r="E8804" s="14"/>
      <c r="F8804" s="14"/>
      <c r="G8804" s="14"/>
      <c r="H8804" s="14"/>
    </row>
    <row r="8805" spans="3:11" x14ac:dyDescent="0.3">
      <c r="C8805" s="21" t="s">
        <v>32</v>
      </c>
      <c r="D8805" s="77"/>
      <c r="E8805" s="77"/>
      <c r="F8805" s="77"/>
      <c r="G8805" s="28"/>
      <c r="H8805" s="29">
        <f>SUM(H8804:H8804)</f>
        <v>0</v>
      </c>
    </row>
    <row r="8806" spans="3:11" x14ac:dyDescent="0.3">
      <c r="C8806" s="30" t="s">
        <v>33</v>
      </c>
      <c r="D8806" s="31" t="s">
        <v>34</v>
      </c>
      <c r="E8806" s="32"/>
      <c r="F8806" s="32"/>
      <c r="G8806" s="33"/>
      <c r="H8806" s="46">
        <f>H8805+H8803+H8800</f>
        <v>2665720</v>
      </c>
      <c r="I8806" s="47"/>
    </row>
    <row r="8807" spans="3:11" x14ac:dyDescent="0.3">
      <c r="C8807" s="30" t="s">
        <v>35</v>
      </c>
      <c r="D8807" s="31" t="s">
        <v>36</v>
      </c>
      <c r="E8807" s="32"/>
      <c r="F8807" s="33"/>
      <c r="G8807" s="34">
        <f>$M$9</f>
        <v>0.1</v>
      </c>
      <c r="H8807" s="19">
        <f>H8806*G8807</f>
        <v>266572</v>
      </c>
      <c r="I8807" s="47"/>
    </row>
    <row r="8808" spans="3:11" x14ac:dyDescent="0.3">
      <c r="C8808" s="30" t="s">
        <v>37</v>
      </c>
      <c r="D8808" s="31" t="s">
        <v>38</v>
      </c>
      <c r="E8808" s="32"/>
      <c r="F8808" s="32"/>
      <c r="G8808" s="33"/>
      <c r="H8808" s="48">
        <f>SUM(H8806:H8807)</f>
        <v>2932292</v>
      </c>
      <c r="I8808" s="47"/>
    </row>
    <row r="8810" spans="3:11" x14ac:dyDescent="0.3">
      <c r="C8810" s="40" t="s">
        <v>1637</v>
      </c>
      <c r="D8810" s="68" t="s">
        <v>1638</v>
      </c>
      <c r="E8810" s="44"/>
      <c r="F8810" s="44"/>
      <c r="G8810" s="44"/>
      <c r="H8810" s="44"/>
      <c r="I8810" s="10">
        <f>ROUNDDOWN(H8825,0)</f>
        <v>3196292</v>
      </c>
      <c r="J8810" s="15"/>
      <c r="K8810" s="39"/>
    </row>
    <row r="8811" spans="3:11" ht="27.6" x14ac:dyDescent="0.3">
      <c r="C8811" s="11" t="s">
        <v>9</v>
      </c>
      <c r="D8811" s="11" t="s">
        <v>10</v>
      </c>
      <c r="E8811" s="11" t="s">
        <v>11</v>
      </c>
      <c r="F8811" s="11" t="s">
        <v>12</v>
      </c>
      <c r="G8811" s="11" t="s">
        <v>13</v>
      </c>
      <c r="H8811" s="11" t="s">
        <v>14</v>
      </c>
    </row>
    <row r="8812" spans="3:11" x14ac:dyDescent="0.25">
      <c r="C8812" s="12" t="s">
        <v>15</v>
      </c>
      <c r="D8812" s="13" t="s">
        <v>16</v>
      </c>
      <c r="E8812" s="14"/>
      <c r="F8812" s="14"/>
      <c r="G8812" s="14"/>
      <c r="H8812" s="14"/>
    </row>
    <row r="8813" spans="3:11" x14ac:dyDescent="0.3">
      <c r="C8813" s="16">
        <v>1</v>
      </c>
      <c r="D8813" s="13" t="s">
        <v>18</v>
      </c>
      <c r="E8813" s="17" t="s">
        <v>19</v>
      </c>
      <c r="F8813" s="18">
        <v>0.38100000000000001</v>
      </c>
      <c r="G8813" s="19">
        <f>VLOOKUP(D8813,upahbahan,3,FALSE)</f>
        <v>100000</v>
      </c>
      <c r="H8813" s="19">
        <f t="shared" ref="H8813:H8816" si="931">F8813*G8813</f>
        <v>38100</v>
      </c>
    </row>
    <row r="8814" spans="3:11" x14ac:dyDescent="0.3">
      <c r="C8814" s="16">
        <v>2</v>
      </c>
      <c r="D8814" s="13" t="s">
        <v>21</v>
      </c>
      <c r="E8814" s="17" t="s">
        <v>19</v>
      </c>
      <c r="F8814" s="18">
        <v>0.63600000000000001</v>
      </c>
      <c r="G8814" s="19">
        <f>VLOOKUP(D8814,upahbahan,3,FALSE)</f>
        <v>145000</v>
      </c>
      <c r="H8814" s="19">
        <f t="shared" si="931"/>
        <v>92220</v>
      </c>
    </row>
    <row r="8815" spans="3:11" x14ac:dyDescent="0.3">
      <c r="C8815" s="16">
        <v>3</v>
      </c>
      <c r="D8815" s="13" t="s">
        <v>1224</v>
      </c>
      <c r="E8815" s="17" t="s">
        <v>19</v>
      </c>
      <c r="F8815" s="18">
        <v>6.4000000000000001E-2</v>
      </c>
      <c r="G8815" s="19">
        <f>VLOOKUP(D8815,upahbahan,3,FALSE)</f>
        <v>175000</v>
      </c>
      <c r="H8815" s="19">
        <f t="shared" si="931"/>
        <v>11200</v>
      </c>
    </row>
    <row r="8816" spans="3:11" x14ac:dyDescent="0.3">
      <c r="C8816" s="16">
        <v>4</v>
      </c>
      <c r="D8816" s="13" t="s">
        <v>23</v>
      </c>
      <c r="E8816" s="17" t="s">
        <v>19</v>
      </c>
      <c r="F8816" s="18">
        <v>2.1000000000000001E-2</v>
      </c>
      <c r="G8816" s="19">
        <f>VLOOKUP(D8816,upahbahan,3,FALSE)</f>
        <v>200000</v>
      </c>
      <c r="H8816" s="19">
        <f t="shared" si="931"/>
        <v>4200</v>
      </c>
    </row>
    <row r="8817" spans="3:11" x14ac:dyDescent="0.3">
      <c r="C8817" s="21" t="s">
        <v>24</v>
      </c>
      <c r="D8817" s="22"/>
      <c r="E8817" s="22"/>
      <c r="F8817" s="54"/>
      <c r="G8817" s="24"/>
      <c r="H8817" s="19">
        <f>SUM(H8813:H8816)</f>
        <v>145720</v>
      </c>
      <c r="I8817" s="25"/>
    </row>
    <row r="8818" spans="3:11" x14ac:dyDescent="0.25">
      <c r="C8818" s="12" t="s">
        <v>25</v>
      </c>
      <c r="D8818" s="13" t="s">
        <v>26</v>
      </c>
      <c r="E8818" s="14"/>
      <c r="F8818" s="55"/>
      <c r="G8818" s="14"/>
      <c r="H8818" s="14"/>
    </row>
    <row r="8819" spans="3:11" x14ac:dyDescent="0.25">
      <c r="C8819" s="12">
        <v>1</v>
      </c>
      <c r="D8819" s="13" t="s">
        <v>1639</v>
      </c>
      <c r="E8819" s="53" t="s">
        <v>1542</v>
      </c>
      <c r="F8819" s="115">
        <v>1.2</v>
      </c>
      <c r="G8819" s="19">
        <f>VLOOKUP(D8819,upahbahan,3,FALSE)</f>
        <v>2300000</v>
      </c>
      <c r="H8819" s="19">
        <f t="shared" ref="H8819" si="932">F8819*G8819</f>
        <v>2760000</v>
      </c>
    </row>
    <row r="8820" spans="3:11" x14ac:dyDescent="0.3">
      <c r="C8820" s="21" t="s">
        <v>29</v>
      </c>
      <c r="D8820" s="22"/>
      <c r="E8820" s="22" t="s">
        <v>1340</v>
      </c>
      <c r="F8820" s="22"/>
      <c r="G8820" s="28"/>
      <c r="H8820" s="19">
        <f>SUM(H8818:H8819)</f>
        <v>2760000</v>
      </c>
    </row>
    <row r="8821" spans="3:11" x14ac:dyDescent="0.25">
      <c r="C8821" s="12" t="s">
        <v>30</v>
      </c>
      <c r="D8821" s="13" t="s">
        <v>31</v>
      </c>
      <c r="E8821" s="14"/>
      <c r="F8821" s="14"/>
      <c r="G8821" s="14"/>
      <c r="H8821" s="14"/>
    </row>
    <row r="8822" spans="3:11" x14ac:dyDescent="0.3">
      <c r="C8822" s="21" t="s">
        <v>32</v>
      </c>
      <c r="D8822" s="77"/>
      <c r="E8822" s="77"/>
      <c r="F8822" s="77"/>
      <c r="G8822" s="28"/>
      <c r="H8822" s="29">
        <f>SUM(H8821:H8821)</f>
        <v>0</v>
      </c>
    </row>
    <row r="8823" spans="3:11" x14ac:dyDescent="0.3">
      <c r="C8823" s="30" t="s">
        <v>33</v>
      </c>
      <c r="D8823" s="31" t="s">
        <v>34</v>
      </c>
      <c r="E8823" s="32"/>
      <c r="F8823" s="32"/>
      <c r="G8823" s="33"/>
      <c r="H8823" s="46">
        <f>H8822+H8820+H8817</f>
        <v>2905720</v>
      </c>
      <c r="I8823" s="47"/>
    </row>
    <row r="8824" spans="3:11" x14ac:dyDescent="0.3">
      <c r="C8824" s="30" t="s">
        <v>35</v>
      </c>
      <c r="D8824" s="31" t="s">
        <v>36</v>
      </c>
      <c r="E8824" s="32"/>
      <c r="F8824" s="33"/>
      <c r="G8824" s="34">
        <f>$M$9</f>
        <v>0.1</v>
      </c>
      <c r="H8824" s="19">
        <f>H8823*G8824</f>
        <v>290572</v>
      </c>
      <c r="I8824" s="47"/>
    </row>
    <row r="8825" spans="3:11" x14ac:dyDescent="0.3">
      <c r="C8825" s="30" t="s">
        <v>37</v>
      </c>
      <c r="D8825" s="31" t="s">
        <v>38</v>
      </c>
      <c r="E8825" s="32"/>
      <c r="F8825" s="32"/>
      <c r="G8825" s="33"/>
      <c r="H8825" s="48">
        <f>SUM(H8823:H8824)</f>
        <v>3196292</v>
      </c>
      <c r="I8825" s="47"/>
    </row>
    <row r="8828" spans="3:11" x14ac:dyDescent="0.3">
      <c r="C8828" s="40" t="s">
        <v>1640</v>
      </c>
      <c r="D8828" s="68" t="s">
        <v>1641</v>
      </c>
      <c r="E8828" s="44"/>
      <c r="F8828" s="44"/>
      <c r="G8828" s="44"/>
      <c r="H8828" s="44"/>
      <c r="I8828" s="10">
        <f>ROUNDDOWN(H8843,0)</f>
        <v>3722389</v>
      </c>
      <c r="J8828" s="15"/>
      <c r="K8828" s="39"/>
    </row>
    <row r="8829" spans="3:11" ht="27.6" x14ac:dyDescent="0.3">
      <c r="C8829" s="11" t="s">
        <v>9</v>
      </c>
      <c r="D8829" s="11" t="s">
        <v>10</v>
      </c>
      <c r="E8829" s="11" t="s">
        <v>11</v>
      </c>
      <c r="F8829" s="11" t="s">
        <v>12</v>
      </c>
      <c r="G8829" s="11" t="s">
        <v>13</v>
      </c>
      <c r="H8829" s="11" t="s">
        <v>14</v>
      </c>
    </row>
    <row r="8830" spans="3:11" x14ac:dyDescent="0.25">
      <c r="C8830" s="12" t="s">
        <v>15</v>
      </c>
      <c r="D8830" s="13" t="s">
        <v>16</v>
      </c>
      <c r="E8830" s="14"/>
      <c r="F8830" s="14"/>
      <c r="G8830" s="14"/>
      <c r="H8830" s="14"/>
    </row>
    <row r="8831" spans="3:11" x14ac:dyDescent="0.3">
      <c r="C8831" s="16">
        <v>1</v>
      </c>
      <c r="D8831" s="13" t="s">
        <v>18</v>
      </c>
      <c r="E8831" s="17" t="s">
        <v>19</v>
      </c>
      <c r="F8831" s="18">
        <v>0.50700000000000001</v>
      </c>
      <c r="G8831" s="19">
        <f>VLOOKUP(D8831,upahbahan,3,FALSE)</f>
        <v>100000</v>
      </c>
      <c r="H8831" s="19">
        <f t="shared" ref="H8831:H8834" si="933">F8831*G8831</f>
        <v>50700</v>
      </c>
    </row>
    <row r="8832" spans="3:11" x14ac:dyDescent="0.3">
      <c r="C8832" s="16">
        <v>2</v>
      </c>
      <c r="D8832" s="13" t="s">
        <v>21</v>
      </c>
      <c r="E8832" s="17" t="s">
        <v>19</v>
      </c>
      <c r="F8832" s="18">
        <v>0.84699999999999998</v>
      </c>
      <c r="G8832" s="19">
        <f>VLOOKUP(D8832,upahbahan,3,FALSE)</f>
        <v>145000</v>
      </c>
      <c r="H8832" s="19">
        <f t="shared" si="933"/>
        <v>122815</v>
      </c>
    </row>
    <row r="8833" spans="3:11" x14ac:dyDescent="0.3">
      <c r="C8833" s="16">
        <v>3</v>
      </c>
      <c r="D8833" s="13" t="s">
        <v>1224</v>
      </c>
      <c r="E8833" s="17" t="s">
        <v>19</v>
      </c>
      <c r="F8833" s="18">
        <v>8.5000000000000006E-2</v>
      </c>
      <c r="G8833" s="19">
        <f>VLOOKUP(D8833,upahbahan,3,FALSE)</f>
        <v>175000</v>
      </c>
      <c r="H8833" s="19">
        <f t="shared" si="933"/>
        <v>14875.000000000002</v>
      </c>
    </row>
    <row r="8834" spans="3:11" x14ac:dyDescent="0.3">
      <c r="C8834" s="16">
        <v>4</v>
      </c>
      <c r="D8834" s="13" t="s">
        <v>23</v>
      </c>
      <c r="E8834" s="17" t="s">
        <v>19</v>
      </c>
      <c r="F8834" s="18">
        <v>2.8000000000000001E-2</v>
      </c>
      <c r="G8834" s="19">
        <f>VLOOKUP(D8834,upahbahan,3,FALSE)</f>
        <v>200000</v>
      </c>
      <c r="H8834" s="19">
        <f t="shared" si="933"/>
        <v>5600</v>
      </c>
    </row>
    <row r="8835" spans="3:11" x14ac:dyDescent="0.3">
      <c r="C8835" s="21" t="s">
        <v>24</v>
      </c>
      <c r="D8835" s="22"/>
      <c r="E8835" s="22"/>
      <c r="F8835" s="54"/>
      <c r="G8835" s="24"/>
      <c r="H8835" s="19">
        <f>SUM(H8831:H8834)</f>
        <v>193990</v>
      </c>
      <c r="I8835" s="25"/>
    </row>
    <row r="8836" spans="3:11" x14ac:dyDescent="0.25">
      <c r="C8836" s="12" t="s">
        <v>25</v>
      </c>
      <c r="D8836" s="13" t="s">
        <v>26</v>
      </c>
      <c r="E8836" s="14"/>
      <c r="F8836" s="55"/>
      <c r="G8836" s="14"/>
      <c r="H8836" s="14"/>
    </row>
    <row r="8837" spans="3:11" x14ac:dyDescent="0.25">
      <c r="C8837" s="12">
        <v>1</v>
      </c>
      <c r="D8837" s="13" t="s">
        <v>1642</v>
      </c>
      <c r="E8837" s="53" t="s">
        <v>1542</v>
      </c>
      <c r="F8837" s="115">
        <v>1.1000000000000001</v>
      </c>
      <c r="G8837" s="19">
        <f>VLOOKUP(D8837,upahbahan,3,FALSE)</f>
        <v>2900000</v>
      </c>
      <c r="H8837" s="19">
        <f t="shared" ref="H8837" si="934">F8837*G8837</f>
        <v>3190000.0000000005</v>
      </c>
    </row>
    <row r="8838" spans="3:11" x14ac:dyDescent="0.3">
      <c r="C8838" s="21" t="s">
        <v>29</v>
      </c>
      <c r="D8838" s="22"/>
      <c r="E8838" s="22" t="s">
        <v>1340</v>
      </c>
      <c r="F8838" s="22"/>
      <c r="G8838" s="28"/>
      <c r="H8838" s="19">
        <f>SUM(H8836:H8837)</f>
        <v>3190000.0000000005</v>
      </c>
    </row>
    <row r="8839" spans="3:11" x14ac:dyDescent="0.25">
      <c r="C8839" s="12" t="s">
        <v>30</v>
      </c>
      <c r="D8839" s="13" t="s">
        <v>31</v>
      </c>
      <c r="E8839" s="14"/>
      <c r="F8839" s="14"/>
      <c r="G8839" s="14"/>
      <c r="H8839" s="14"/>
    </row>
    <row r="8840" spans="3:11" x14ac:dyDescent="0.3">
      <c r="C8840" s="21" t="s">
        <v>32</v>
      </c>
      <c r="D8840" s="77"/>
      <c r="E8840" s="77"/>
      <c r="F8840" s="77"/>
      <c r="G8840" s="28"/>
      <c r="H8840" s="29">
        <f>SUM(H8839:H8839)</f>
        <v>0</v>
      </c>
    </row>
    <row r="8841" spans="3:11" x14ac:dyDescent="0.3">
      <c r="C8841" s="30" t="s">
        <v>33</v>
      </c>
      <c r="D8841" s="31" t="s">
        <v>34</v>
      </c>
      <c r="E8841" s="32"/>
      <c r="F8841" s="32"/>
      <c r="G8841" s="33"/>
      <c r="H8841" s="46">
        <f>H8840+H8838+H8835</f>
        <v>3383990.0000000005</v>
      </c>
      <c r="I8841" s="47"/>
    </row>
    <row r="8842" spans="3:11" x14ac:dyDescent="0.3">
      <c r="C8842" s="30" t="s">
        <v>35</v>
      </c>
      <c r="D8842" s="31" t="s">
        <v>36</v>
      </c>
      <c r="E8842" s="32"/>
      <c r="F8842" s="33"/>
      <c r="G8842" s="34">
        <f>$M$9</f>
        <v>0.1</v>
      </c>
      <c r="H8842" s="19">
        <f>H8841*G8842</f>
        <v>338399.00000000006</v>
      </c>
      <c r="I8842" s="47"/>
    </row>
    <row r="8843" spans="3:11" x14ac:dyDescent="0.3">
      <c r="C8843" s="30" t="s">
        <v>37</v>
      </c>
      <c r="D8843" s="31" t="s">
        <v>38</v>
      </c>
      <c r="E8843" s="32"/>
      <c r="F8843" s="32"/>
      <c r="G8843" s="33"/>
      <c r="H8843" s="48">
        <f>SUM(H8841:H8842)</f>
        <v>3722389.0000000005</v>
      </c>
      <c r="I8843" s="47"/>
    </row>
    <row r="8845" spans="3:11" x14ac:dyDescent="0.3">
      <c r="C8845" s="40" t="s">
        <v>1643</v>
      </c>
      <c r="D8845" s="68" t="s">
        <v>1644</v>
      </c>
      <c r="E8845" s="44"/>
      <c r="F8845" s="44"/>
      <c r="G8845" s="44"/>
      <c r="H8845" s="44"/>
      <c r="I8845" s="10">
        <f>ROUNDDOWN(H8860,0)</f>
        <v>4607630</v>
      </c>
      <c r="J8845" s="15"/>
      <c r="K8845" s="39"/>
    </row>
    <row r="8846" spans="3:11" ht="27.6" x14ac:dyDescent="0.3">
      <c r="C8846" s="11" t="s">
        <v>9</v>
      </c>
      <c r="D8846" s="11" t="s">
        <v>10</v>
      </c>
      <c r="E8846" s="11" t="s">
        <v>11</v>
      </c>
      <c r="F8846" s="11" t="s">
        <v>12</v>
      </c>
      <c r="G8846" s="11" t="s">
        <v>13</v>
      </c>
      <c r="H8846" s="11" t="s">
        <v>14</v>
      </c>
    </row>
    <row r="8847" spans="3:11" x14ac:dyDescent="0.25">
      <c r="C8847" s="12" t="s">
        <v>15</v>
      </c>
      <c r="D8847" s="13" t="s">
        <v>16</v>
      </c>
      <c r="E8847" s="14"/>
      <c r="F8847" s="14"/>
      <c r="G8847" s="14"/>
      <c r="H8847" s="14"/>
    </row>
    <row r="8848" spans="3:11" x14ac:dyDescent="0.3">
      <c r="C8848" s="16">
        <v>1</v>
      </c>
      <c r="D8848" s="13" t="s">
        <v>18</v>
      </c>
      <c r="E8848" s="17" t="s">
        <v>19</v>
      </c>
      <c r="F8848" s="18">
        <v>0.88600000000000001</v>
      </c>
      <c r="G8848" s="19">
        <f>VLOOKUP(D8848,upahbahan,3,FALSE)</f>
        <v>100000</v>
      </c>
      <c r="H8848" s="19">
        <f t="shared" ref="H8848:H8851" si="935">F8848*G8848</f>
        <v>88600</v>
      </c>
    </row>
    <row r="8849" spans="3:11" x14ac:dyDescent="0.3">
      <c r="C8849" s="16">
        <v>2</v>
      </c>
      <c r="D8849" s="13" t="s">
        <v>21</v>
      </c>
      <c r="E8849" s="17" t="s">
        <v>19</v>
      </c>
      <c r="F8849" s="18">
        <v>1.4790000000000001</v>
      </c>
      <c r="G8849" s="19">
        <f>VLOOKUP(D8849,upahbahan,3,FALSE)</f>
        <v>145000</v>
      </c>
      <c r="H8849" s="19">
        <f t="shared" si="935"/>
        <v>214455</v>
      </c>
    </row>
    <row r="8850" spans="3:11" x14ac:dyDescent="0.3">
      <c r="C8850" s="16">
        <v>3</v>
      </c>
      <c r="D8850" s="13" t="s">
        <v>1224</v>
      </c>
      <c r="E8850" s="17" t="s">
        <v>19</v>
      </c>
      <c r="F8850" s="18">
        <v>0.14799999999999999</v>
      </c>
      <c r="G8850" s="19">
        <f>VLOOKUP(D8850,upahbahan,3,FALSE)</f>
        <v>175000</v>
      </c>
      <c r="H8850" s="19">
        <f t="shared" si="935"/>
        <v>25900</v>
      </c>
    </row>
    <row r="8851" spans="3:11" x14ac:dyDescent="0.3">
      <c r="C8851" s="16">
        <v>4</v>
      </c>
      <c r="D8851" s="13" t="s">
        <v>23</v>
      </c>
      <c r="E8851" s="17" t="s">
        <v>19</v>
      </c>
      <c r="F8851" s="18">
        <v>4.9000000000000002E-2</v>
      </c>
      <c r="G8851" s="19">
        <f>VLOOKUP(D8851,upahbahan,3,FALSE)</f>
        <v>200000</v>
      </c>
      <c r="H8851" s="19">
        <f t="shared" si="935"/>
        <v>9800</v>
      </c>
    </row>
    <row r="8852" spans="3:11" x14ac:dyDescent="0.3">
      <c r="C8852" s="21" t="s">
        <v>24</v>
      </c>
      <c r="D8852" s="22"/>
      <c r="E8852" s="22"/>
      <c r="F8852" s="54"/>
      <c r="G8852" s="24"/>
      <c r="H8852" s="19">
        <f>SUM(H8848:H8851)</f>
        <v>338755</v>
      </c>
      <c r="I8852" s="25"/>
    </row>
    <row r="8853" spans="3:11" x14ac:dyDescent="0.25">
      <c r="C8853" s="12" t="s">
        <v>25</v>
      </c>
      <c r="D8853" s="13" t="s">
        <v>26</v>
      </c>
      <c r="E8853" s="14"/>
      <c r="F8853" s="55"/>
      <c r="G8853" s="14"/>
      <c r="H8853" s="14"/>
    </row>
    <row r="8854" spans="3:11" x14ac:dyDescent="0.25">
      <c r="C8854" s="12">
        <v>1</v>
      </c>
      <c r="D8854" s="13" t="s">
        <v>1645</v>
      </c>
      <c r="E8854" s="53" t="s">
        <v>1542</v>
      </c>
      <c r="F8854" s="115">
        <v>1.1000000000000001</v>
      </c>
      <c r="G8854" s="19">
        <f>VLOOKUP(D8854,upahbahan,3,FALSE)</f>
        <v>3500000</v>
      </c>
      <c r="H8854" s="19">
        <f t="shared" ref="H8854" si="936">F8854*G8854</f>
        <v>3850000.0000000005</v>
      </c>
    </row>
    <row r="8855" spans="3:11" x14ac:dyDescent="0.3">
      <c r="C8855" s="21" t="s">
        <v>29</v>
      </c>
      <c r="D8855" s="22"/>
      <c r="E8855" s="22" t="s">
        <v>1340</v>
      </c>
      <c r="F8855" s="22"/>
      <c r="G8855" s="28"/>
      <c r="H8855" s="19">
        <f>SUM(H8853:H8854)</f>
        <v>3850000.0000000005</v>
      </c>
    </row>
    <row r="8856" spans="3:11" x14ac:dyDescent="0.25">
      <c r="C8856" s="12" t="s">
        <v>30</v>
      </c>
      <c r="D8856" s="13" t="s">
        <v>31</v>
      </c>
      <c r="E8856" s="14"/>
      <c r="F8856" s="14"/>
      <c r="G8856" s="14"/>
      <c r="H8856" s="14"/>
    </row>
    <row r="8857" spans="3:11" x14ac:dyDescent="0.3">
      <c r="C8857" s="21" t="s">
        <v>32</v>
      </c>
      <c r="D8857" s="77"/>
      <c r="E8857" s="77"/>
      <c r="F8857" s="77"/>
      <c r="G8857" s="28"/>
      <c r="H8857" s="29">
        <f>SUM(H8856:H8856)</f>
        <v>0</v>
      </c>
    </row>
    <row r="8858" spans="3:11" x14ac:dyDescent="0.3">
      <c r="C8858" s="30" t="s">
        <v>33</v>
      </c>
      <c r="D8858" s="31" t="s">
        <v>34</v>
      </c>
      <c r="E8858" s="32"/>
      <c r="F8858" s="32"/>
      <c r="G8858" s="33"/>
      <c r="H8858" s="46">
        <f>H8857+H8855+H8852</f>
        <v>4188755.0000000005</v>
      </c>
      <c r="I8858" s="47"/>
    </row>
    <row r="8859" spans="3:11" x14ac:dyDescent="0.3">
      <c r="C8859" s="30" t="s">
        <v>35</v>
      </c>
      <c r="D8859" s="31" t="s">
        <v>36</v>
      </c>
      <c r="E8859" s="32"/>
      <c r="F8859" s="33"/>
      <c r="G8859" s="34">
        <f>$M$9</f>
        <v>0.1</v>
      </c>
      <c r="H8859" s="19">
        <f>H8858*G8859</f>
        <v>418875.50000000006</v>
      </c>
      <c r="I8859" s="47"/>
    </row>
    <row r="8860" spans="3:11" x14ac:dyDescent="0.3">
      <c r="C8860" s="30" t="s">
        <v>37</v>
      </c>
      <c r="D8860" s="31" t="s">
        <v>38</v>
      </c>
      <c r="E8860" s="32"/>
      <c r="F8860" s="32"/>
      <c r="G8860" s="33"/>
      <c r="H8860" s="48">
        <f>SUM(H8858:H8859)</f>
        <v>4607630.5000000009</v>
      </c>
      <c r="I8860" s="47"/>
    </row>
    <row r="8862" spans="3:11" x14ac:dyDescent="0.3">
      <c r="C8862" s="40" t="s">
        <v>1646</v>
      </c>
      <c r="D8862" s="68" t="s">
        <v>1647</v>
      </c>
      <c r="E8862" s="44"/>
      <c r="F8862" s="44"/>
      <c r="G8862" s="44"/>
      <c r="H8862" s="44"/>
      <c r="I8862" s="10">
        <f>ROUNDDOWN(H8877,0)</f>
        <v>5091630</v>
      </c>
      <c r="J8862" s="15"/>
      <c r="K8862" s="39"/>
    </row>
    <row r="8863" spans="3:11" ht="27.6" x14ac:dyDescent="0.3">
      <c r="C8863" s="11" t="s">
        <v>9</v>
      </c>
      <c r="D8863" s="11" t="s">
        <v>10</v>
      </c>
      <c r="E8863" s="11" t="s">
        <v>11</v>
      </c>
      <c r="F8863" s="11" t="s">
        <v>12</v>
      </c>
      <c r="G8863" s="11" t="s">
        <v>13</v>
      </c>
      <c r="H8863" s="11" t="s">
        <v>14</v>
      </c>
    </row>
    <row r="8864" spans="3:11" x14ac:dyDescent="0.25">
      <c r="C8864" s="12" t="s">
        <v>15</v>
      </c>
      <c r="D8864" s="13" t="s">
        <v>16</v>
      </c>
      <c r="E8864" s="14"/>
      <c r="F8864" s="14"/>
      <c r="G8864" s="14"/>
      <c r="H8864" s="14"/>
    </row>
    <row r="8865" spans="3:11" x14ac:dyDescent="0.3">
      <c r="C8865" s="16">
        <v>1</v>
      </c>
      <c r="D8865" s="13" t="s">
        <v>18</v>
      </c>
      <c r="E8865" s="17" t="s">
        <v>19</v>
      </c>
      <c r="F8865" s="18">
        <v>0.88600000000000001</v>
      </c>
      <c r="G8865" s="19">
        <f>VLOOKUP(D8865,upahbahan,3,FALSE)</f>
        <v>100000</v>
      </c>
      <c r="H8865" s="19">
        <f t="shared" ref="H8865:H8868" si="937">F8865*G8865</f>
        <v>88600</v>
      </c>
    </row>
    <row r="8866" spans="3:11" x14ac:dyDescent="0.3">
      <c r="C8866" s="16">
        <v>2</v>
      </c>
      <c r="D8866" s="13" t="s">
        <v>21</v>
      </c>
      <c r="E8866" s="17" t="s">
        <v>19</v>
      </c>
      <c r="F8866" s="18">
        <v>1.4790000000000001</v>
      </c>
      <c r="G8866" s="19">
        <f>VLOOKUP(D8866,upahbahan,3,FALSE)</f>
        <v>145000</v>
      </c>
      <c r="H8866" s="19">
        <f t="shared" si="937"/>
        <v>214455</v>
      </c>
    </row>
    <row r="8867" spans="3:11" x14ac:dyDescent="0.3">
      <c r="C8867" s="16">
        <v>3</v>
      </c>
      <c r="D8867" s="13" t="s">
        <v>1224</v>
      </c>
      <c r="E8867" s="17" t="s">
        <v>19</v>
      </c>
      <c r="F8867" s="18">
        <v>0.14799999999999999</v>
      </c>
      <c r="G8867" s="19">
        <f>VLOOKUP(D8867,upahbahan,3,FALSE)</f>
        <v>175000</v>
      </c>
      <c r="H8867" s="19">
        <f t="shared" si="937"/>
        <v>25900</v>
      </c>
    </row>
    <row r="8868" spans="3:11" x14ac:dyDescent="0.3">
      <c r="C8868" s="16">
        <v>4</v>
      </c>
      <c r="D8868" s="13" t="s">
        <v>23</v>
      </c>
      <c r="E8868" s="17" t="s">
        <v>19</v>
      </c>
      <c r="F8868" s="18">
        <v>4.9000000000000002E-2</v>
      </c>
      <c r="G8868" s="19">
        <f>VLOOKUP(D8868,upahbahan,3,FALSE)</f>
        <v>200000</v>
      </c>
      <c r="H8868" s="19">
        <f t="shared" si="937"/>
        <v>9800</v>
      </c>
    </row>
    <row r="8869" spans="3:11" x14ac:dyDescent="0.3">
      <c r="C8869" s="21" t="s">
        <v>24</v>
      </c>
      <c r="D8869" s="22"/>
      <c r="E8869" s="22"/>
      <c r="F8869" s="54"/>
      <c r="G8869" s="24"/>
      <c r="H8869" s="19">
        <f>SUM(H8865:H8868)</f>
        <v>338755</v>
      </c>
      <c r="I8869" s="25"/>
    </row>
    <row r="8870" spans="3:11" x14ac:dyDescent="0.25">
      <c r="C8870" s="12" t="s">
        <v>25</v>
      </c>
      <c r="D8870" s="13" t="s">
        <v>26</v>
      </c>
      <c r="E8870" s="14"/>
      <c r="F8870" s="55"/>
      <c r="G8870" s="14"/>
      <c r="H8870" s="14"/>
    </row>
    <row r="8871" spans="3:11" x14ac:dyDescent="0.25">
      <c r="C8871" s="12">
        <v>1</v>
      </c>
      <c r="D8871" s="13" t="s">
        <v>1648</v>
      </c>
      <c r="E8871" s="53" t="s">
        <v>1542</v>
      </c>
      <c r="F8871" s="115">
        <v>1.1000000000000001</v>
      </c>
      <c r="G8871" s="19">
        <f>VLOOKUP(D8871,upahbahan,3,FALSE)</f>
        <v>3900000</v>
      </c>
      <c r="H8871" s="19">
        <f t="shared" ref="H8871" si="938">F8871*G8871</f>
        <v>4290000</v>
      </c>
    </row>
    <row r="8872" spans="3:11" x14ac:dyDescent="0.3">
      <c r="C8872" s="21" t="s">
        <v>29</v>
      </c>
      <c r="D8872" s="22"/>
      <c r="E8872" s="22" t="s">
        <v>1340</v>
      </c>
      <c r="F8872" s="22"/>
      <c r="G8872" s="28"/>
      <c r="H8872" s="19">
        <f>SUM(H8870:H8871)</f>
        <v>4290000</v>
      </c>
    </row>
    <row r="8873" spans="3:11" x14ac:dyDescent="0.25">
      <c r="C8873" s="12" t="s">
        <v>30</v>
      </c>
      <c r="D8873" s="13" t="s">
        <v>31</v>
      </c>
      <c r="E8873" s="14"/>
      <c r="F8873" s="14"/>
      <c r="G8873" s="14"/>
      <c r="H8873" s="14"/>
    </row>
    <row r="8874" spans="3:11" x14ac:dyDescent="0.3">
      <c r="C8874" s="21" t="s">
        <v>32</v>
      </c>
      <c r="D8874" s="77"/>
      <c r="E8874" s="77"/>
      <c r="F8874" s="77"/>
      <c r="G8874" s="28"/>
      <c r="H8874" s="29">
        <f>SUM(H8873:H8873)</f>
        <v>0</v>
      </c>
    </row>
    <row r="8875" spans="3:11" x14ac:dyDescent="0.3">
      <c r="C8875" s="30" t="s">
        <v>33</v>
      </c>
      <c r="D8875" s="31" t="s">
        <v>34</v>
      </c>
      <c r="E8875" s="32"/>
      <c r="F8875" s="32"/>
      <c r="G8875" s="33"/>
      <c r="H8875" s="46">
        <f>H8874+H8872+H8869</f>
        <v>4628755</v>
      </c>
      <c r="I8875" s="47"/>
    </row>
    <row r="8876" spans="3:11" x14ac:dyDescent="0.3">
      <c r="C8876" s="30" t="s">
        <v>35</v>
      </c>
      <c r="D8876" s="31" t="s">
        <v>36</v>
      </c>
      <c r="E8876" s="32"/>
      <c r="F8876" s="33"/>
      <c r="G8876" s="34">
        <f>$M$9</f>
        <v>0.1</v>
      </c>
      <c r="H8876" s="19">
        <f>H8875*G8876</f>
        <v>462875.5</v>
      </c>
      <c r="I8876" s="47"/>
    </row>
    <row r="8877" spans="3:11" x14ac:dyDescent="0.3">
      <c r="C8877" s="30" t="s">
        <v>37</v>
      </c>
      <c r="D8877" s="31" t="s">
        <v>38</v>
      </c>
      <c r="E8877" s="32"/>
      <c r="F8877" s="32"/>
      <c r="G8877" s="33"/>
      <c r="H8877" s="48">
        <f>SUM(H8875:H8876)</f>
        <v>5091630.5</v>
      </c>
      <c r="I8877" s="47"/>
    </row>
    <row r="8879" spans="3:11" x14ac:dyDescent="0.3">
      <c r="C8879" s="40" t="s">
        <v>1649</v>
      </c>
      <c r="D8879" s="68" t="s">
        <v>1650</v>
      </c>
      <c r="E8879" s="44"/>
      <c r="F8879" s="44"/>
      <c r="G8879" s="44"/>
      <c r="H8879" s="44"/>
      <c r="I8879" s="10">
        <f>ROUNDDOWN(H8894,0)</f>
        <v>142054</v>
      </c>
      <c r="J8879" s="15"/>
      <c r="K8879" s="39"/>
    </row>
    <row r="8880" spans="3:11" ht="27.6" x14ac:dyDescent="0.3">
      <c r="C8880" s="11" t="s">
        <v>9</v>
      </c>
      <c r="D8880" s="11" t="s">
        <v>10</v>
      </c>
      <c r="E8880" s="11" t="s">
        <v>11</v>
      </c>
      <c r="F8880" s="11" t="s">
        <v>12</v>
      </c>
      <c r="G8880" s="11" t="s">
        <v>13</v>
      </c>
      <c r="H8880" s="11" t="s">
        <v>14</v>
      </c>
    </row>
    <row r="8881" spans="3:11" x14ac:dyDescent="0.25">
      <c r="C8881" s="12" t="s">
        <v>15</v>
      </c>
      <c r="D8881" s="13" t="s">
        <v>16</v>
      </c>
      <c r="E8881" s="14"/>
      <c r="F8881" s="14"/>
      <c r="G8881" s="14"/>
      <c r="H8881" s="14"/>
    </row>
    <row r="8882" spans="3:11" x14ac:dyDescent="0.3">
      <c r="C8882" s="16">
        <v>1</v>
      </c>
      <c r="D8882" s="13" t="s">
        <v>18</v>
      </c>
      <c r="E8882" s="17" t="s">
        <v>19</v>
      </c>
      <c r="F8882" s="18">
        <v>6.4000000000000001E-2</v>
      </c>
      <c r="G8882" s="19">
        <f>VLOOKUP(D8882,upahbahan,3,FALSE)</f>
        <v>100000</v>
      </c>
      <c r="H8882" s="19">
        <f t="shared" ref="H8882:H8885" si="939">F8882*G8882</f>
        <v>6400</v>
      </c>
    </row>
    <row r="8883" spans="3:11" x14ac:dyDescent="0.3">
      <c r="C8883" s="16">
        <v>2</v>
      </c>
      <c r="D8883" s="13" t="s">
        <v>21</v>
      </c>
      <c r="E8883" s="17" t="s">
        <v>19</v>
      </c>
      <c r="F8883" s="18">
        <v>0.107</v>
      </c>
      <c r="G8883" s="19">
        <f>VLOOKUP(D8883,upahbahan,3,FALSE)</f>
        <v>145000</v>
      </c>
      <c r="H8883" s="19">
        <f t="shared" si="939"/>
        <v>15515</v>
      </c>
    </row>
    <row r="8884" spans="3:11" x14ac:dyDescent="0.3">
      <c r="C8884" s="16">
        <v>3</v>
      </c>
      <c r="D8884" s="13" t="s">
        <v>1224</v>
      </c>
      <c r="E8884" s="17" t="s">
        <v>19</v>
      </c>
      <c r="F8884" s="18">
        <v>1.0999999999999999E-2</v>
      </c>
      <c r="G8884" s="19">
        <f>VLOOKUP(D8884,upahbahan,3,FALSE)</f>
        <v>175000</v>
      </c>
      <c r="H8884" s="19">
        <f t="shared" si="939"/>
        <v>1925</v>
      </c>
    </row>
    <row r="8885" spans="3:11" x14ac:dyDescent="0.3">
      <c r="C8885" s="16">
        <v>4</v>
      </c>
      <c r="D8885" s="13" t="s">
        <v>23</v>
      </c>
      <c r="E8885" s="17" t="s">
        <v>19</v>
      </c>
      <c r="F8885" s="18">
        <v>4.0000000000000001E-3</v>
      </c>
      <c r="G8885" s="19">
        <f>VLOOKUP(D8885,upahbahan,3,FALSE)</f>
        <v>200000</v>
      </c>
      <c r="H8885" s="19">
        <f t="shared" si="939"/>
        <v>800</v>
      </c>
    </row>
    <row r="8886" spans="3:11" x14ac:dyDescent="0.3">
      <c r="C8886" s="21" t="s">
        <v>24</v>
      </c>
      <c r="D8886" s="22"/>
      <c r="E8886" s="22"/>
      <c r="F8886" s="54"/>
      <c r="G8886" s="24"/>
      <c r="H8886" s="19">
        <f>SUM(H8882:H8885)</f>
        <v>24640</v>
      </c>
      <c r="I8886" s="25"/>
    </row>
    <row r="8887" spans="3:11" x14ac:dyDescent="0.25">
      <c r="C8887" s="12" t="s">
        <v>25</v>
      </c>
      <c r="D8887" s="13" t="s">
        <v>26</v>
      </c>
      <c r="E8887" s="14"/>
      <c r="F8887" s="55"/>
      <c r="G8887" s="14"/>
      <c r="H8887" s="14"/>
    </row>
    <row r="8888" spans="3:11" x14ac:dyDescent="0.25">
      <c r="C8888" s="12">
        <v>1</v>
      </c>
      <c r="D8888" s="13" t="s">
        <v>1651</v>
      </c>
      <c r="E8888" s="53" t="s">
        <v>1542</v>
      </c>
      <c r="F8888" s="115">
        <v>1.1000000000000001</v>
      </c>
      <c r="G8888" s="19">
        <f>VLOOKUP(D8888,upahbahan,3,FALSE)</f>
        <v>95000</v>
      </c>
      <c r="H8888" s="19">
        <f t="shared" ref="H8888" si="940">F8888*G8888</f>
        <v>104500.00000000001</v>
      </c>
    </row>
    <row r="8889" spans="3:11" x14ac:dyDescent="0.3">
      <c r="C8889" s="21" t="s">
        <v>29</v>
      </c>
      <c r="D8889" s="22"/>
      <c r="E8889" s="22" t="s">
        <v>1340</v>
      </c>
      <c r="F8889" s="22"/>
      <c r="G8889" s="28"/>
      <c r="H8889" s="19">
        <f>SUM(H8887:H8888)</f>
        <v>104500.00000000001</v>
      </c>
    </row>
    <row r="8890" spans="3:11" x14ac:dyDescent="0.25">
      <c r="C8890" s="12" t="s">
        <v>30</v>
      </c>
      <c r="D8890" s="13" t="s">
        <v>31</v>
      </c>
      <c r="E8890" s="14"/>
      <c r="F8890" s="14"/>
      <c r="G8890" s="14"/>
      <c r="H8890" s="14"/>
    </row>
    <row r="8891" spans="3:11" x14ac:dyDescent="0.3">
      <c r="C8891" s="21" t="s">
        <v>32</v>
      </c>
      <c r="D8891" s="77"/>
      <c r="E8891" s="77"/>
      <c r="F8891" s="77"/>
      <c r="G8891" s="28"/>
      <c r="H8891" s="29">
        <f>SUM(H8890:H8890)</f>
        <v>0</v>
      </c>
    </row>
    <row r="8892" spans="3:11" x14ac:dyDescent="0.3">
      <c r="C8892" s="30" t="s">
        <v>33</v>
      </c>
      <c r="D8892" s="31" t="s">
        <v>34</v>
      </c>
      <c r="E8892" s="32"/>
      <c r="F8892" s="32"/>
      <c r="G8892" s="33"/>
      <c r="H8892" s="46">
        <f>H8891+H8889+H8886</f>
        <v>129140.00000000001</v>
      </c>
      <c r="I8892" s="47"/>
    </row>
    <row r="8893" spans="3:11" x14ac:dyDescent="0.3">
      <c r="C8893" s="30" t="s">
        <v>35</v>
      </c>
      <c r="D8893" s="31" t="s">
        <v>36</v>
      </c>
      <c r="E8893" s="32"/>
      <c r="F8893" s="33"/>
      <c r="G8893" s="34">
        <f>$M$9</f>
        <v>0.1</v>
      </c>
      <c r="H8893" s="19">
        <f>H8892*G8893</f>
        <v>12914.000000000002</v>
      </c>
      <c r="I8893" s="47"/>
    </row>
    <row r="8894" spans="3:11" x14ac:dyDescent="0.3">
      <c r="C8894" s="30" t="s">
        <v>37</v>
      </c>
      <c r="D8894" s="31" t="s">
        <v>38</v>
      </c>
      <c r="E8894" s="32"/>
      <c r="F8894" s="32"/>
      <c r="G8894" s="33"/>
      <c r="H8894" s="48">
        <f>SUM(H8892:H8893)</f>
        <v>142054.00000000003</v>
      </c>
      <c r="I8894" s="47"/>
    </row>
    <row r="8896" spans="3:11" x14ac:dyDescent="0.3">
      <c r="C8896" s="40" t="s">
        <v>1652</v>
      </c>
      <c r="D8896" s="68" t="s">
        <v>1653</v>
      </c>
      <c r="E8896" s="44"/>
      <c r="F8896" s="44"/>
      <c r="G8896" s="44"/>
      <c r="H8896" s="44"/>
      <c r="I8896" s="10">
        <f>ROUNDDOWN(H8911,0)</f>
        <v>166254</v>
      </c>
      <c r="J8896" s="15"/>
      <c r="K8896" s="39"/>
    </row>
    <row r="8897" spans="3:9" ht="27.6" x14ac:dyDescent="0.3">
      <c r="C8897" s="11" t="s">
        <v>9</v>
      </c>
      <c r="D8897" s="11" t="s">
        <v>10</v>
      </c>
      <c r="E8897" s="11" t="s">
        <v>11</v>
      </c>
      <c r="F8897" s="11" t="s">
        <v>12</v>
      </c>
      <c r="G8897" s="11" t="s">
        <v>13</v>
      </c>
      <c r="H8897" s="11" t="s">
        <v>14</v>
      </c>
    </row>
    <row r="8898" spans="3:9" x14ac:dyDescent="0.25">
      <c r="C8898" s="12" t="s">
        <v>15</v>
      </c>
      <c r="D8898" s="13" t="s">
        <v>16</v>
      </c>
      <c r="E8898" s="14"/>
      <c r="F8898" s="14"/>
      <c r="G8898" s="14"/>
      <c r="H8898" s="14"/>
    </row>
    <row r="8899" spans="3:9" x14ac:dyDescent="0.3">
      <c r="C8899" s="16">
        <v>1</v>
      </c>
      <c r="D8899" s="13" t="s">
        <v>18</v>
      </c>
      <c r="E8899" s="17" t="s">
        <v>19</v>
      </c>
      <c r="F8899" s="18">
        <v>6.4000000000000001E-2</v>
      </c>
      <c r="G8899" s="19">
        <f>VLOOKUP(D8899,upahbahan,3,FALSE)</f>
        <v>100000</v>
      </c>
      <c r="H8899" s="19">
        <f t="shared" ref="H8899:H8902" si="941">F8899*G8899</f>
        <v>6400</v>
      </c>
    </row>
    <row r="8900" spans="3:9" x14ac:dyDescent="0.3">
      <c r="C8900" s="16">
        <v>2</v>
      </c>
      <c r="D8900" s="13" t="s">
        <v>21</v>
      </c>
      <c r="E8900" s="17" t="s">
        <v>19</v>
      </c>
      <c r="F8900" s="18">
        <v>0.107</v>
      </c>
      <c r="G8900" s="19">
        <f>VLOOKUP(D8900,upahbahan,3,FALSE)</f>
        <v>145000</v>
      </c>
      <c r="H8900" s="19">
        <f t="shared" si="941"/>
        <v>15515</v>
      </c>
    </row>
    <row r="8901" spans="3:9" x14ac:dyDescent="0.3">
      <c r="C8901" s="16">
        <v>3</v>
      </c>
      <c r="D8901" s="13" t="s">
        <v>1224</v>
      </c>
      <c r="E8901" s="17" t="s">
        <v>19</v>
      </c>
      <c r="F8901" s="18">
        <v>1.0999999999999999E-2</v>
      </c>
      <c r="G8901" s="19">
        <f>VLOOKUP(D8901,upahbahan,3,FALSE)</f>
        <v>175000</v>
      </c>
      <c r="H8901" s="19">
        <f t="shared" si="941"/>
        <v>1925</v>
      </c>
    </row>
    <row r="8902" spans="3:9" x14ac:dyDescent="0.3">
      <c r="C8902" s="16">
        <v>4</v>
      </c>
      <c r="D8902" s="13" t="s">
        <v>23</v>
      </c>
      <c r="E8902" s="17" t="s">
        <v>19</v>
      </c>
      <c r="F8902" s="18">
        <v>4.0000000000000001E-3</v>
      </c>
      <c r="G8902" s="19">
        <f>VLOOKUP(D8902,upahbahan,3,FALSE)</f>
        <v>200000</v>
      </c>
      <c r="H8902" s="19">
        <f t="shared" si="941"/>
        <v>800</v>
      </c>
    </row>
    <row r="8903" spans="3:9" x14ac:dyDescent="0.3">
      <c r="C8903" s="21" t="s">
        <v>24</v>
      </c>
      <c r="D8903" s="22"/>
      <c r="E8903" s="22"/>
      <c r="F8903" s="54"/>
      <c r="G8903" s="24"/>
      <c r="H8903" s="19">
        <f>SUM(H8899:H8902)</f>
        <v>24640</v>
      </c>
      <c r="I8903" s="25"/>
    </row>
    <row r="8904" spans="3:9" x14ac:dyDescent="0.25">
      <c r="C8904" s="12" t="s">
        <v>25</v>
      </c>
      <c r="D8904" s="13" t="s">
        <v>26</v>
      </c>
      <c r="E8904" s="14"/>
      <c r="F8904" s="55"/>
      <c r="G8904" s="14"/>
      <c r="H8904" s="14"/>
    </row>
    <row r="8905" spans="3:9" x14ac:dyDescent="0.25">
      <c r="C8905" s="12">
        <v>1</v>
      </c>
      <c r="D8905" s="13" t="s">
        <v>1654</v>
      </c>
      <c r="E8905" s="53" t="s">
        <v>1542</v>
      </c>
      <c r="F8905" s="115">
        <v>1.1000000000000001</v>
      </c>
      <c r="G8905" s="19">
        <f>VLOOKUP(D8905,upahbahan,3,FALSE)</f>
        <v>115000</v>
      </c>
      <c r="H8905" s="19">
        <f t="shared" ref="H8905" si="942">F8905*G8905</f>
        <v>126500.00000000001</v>
      </c>
    </row>
    <row r="8906" spans="3:9" x14ac:dyDescent="0.3">
      <c r="C8906" s="21" t="s">
        <v>29</v>
      </c>
      <c r="D8906" s="22"/>
      <c r="E8906" s="22" t="s">
        <v>1340</v>
      </c>
      <c r="F8906" s="22"/>
      <c r="G8906" s="28"/>
      <c r="H8906" s="19">
        <f>SUM(H8904:H8905)</f>
        <v>126500.00000000001</v>
      </c>
    </row>
    <row r="8907" spans="3:9" x14ac:dyDescent="0.25">
      <c r="C8907" s="12" t="s">
        <v>30</v>
      </c>
      <c r="D8907" s="13" t="s">
        <v>31</v>
      </c>
      <c r="E8907" s="14"/>
      <c r="F8907" s="14"/>
      <c r="G8907" s="14"/>
      <c r="H8907" s="14"/>
    </row>
    <row r="8908" spans="3:9" x14ac:dyDescent="0.3">
      <c r="C8908" s="21" t="s">
        <v>32</v>
      </c>
      <c r="D8908" s="77"/>
      <c r="E8908" s="77"/>
      <c r="F8908" s="77"/>
      <c r="G8908" s="28"/>
      <c r="H8908" s="29">
        <f>SUM(H8907:H8907)</f>
        <v>0</v>
      </c>
    </row>
    <row r="8909" spans="3:9" x14ac:dyDescent="0.3">
      <c r="C8909" s="30" t="s">
        <v>33</v>
      </c>
      <c r="D8909" s="31" t="s">
        <v>34</v>
      </c>
      <c r="E8909" s="32"/>
      <c r="F8909" s="32"/>
      <c r="G8909" s="33"/>
      <c r="H8909" s="46">
        <f>H8908+H8906+H8903</f>
        <v>151140</v>
      </c>
      <c r="I8909" s="47"/>
    </row>
    <row r="8910" spans="3:9" x14ac:dyDescent="0.3">
      <c r="C8910" s="30" t="s">
        <v>35</v>
      </c>
      <c r="D8910" s="31" t="s">
        <v>36</v>
      </c>
      <c r="E8910" s="32"/>
      <c r="F8910" s="33"/>
      <c r="G8910" s="34">
        <f>$M$9</f>
        <v>0.1</v>
      </c>
      <c r="H8910" s="19">
        <f>H8909*G8910</f>
        <v>15114</v>
      </c>
      <c r="I8910" s="47"/>
    </row>
    <row r="8911" spans="3:9" x14ac:dyDescent="0.3">
      <c r="C8911" s="30" t="s">
        <v>37</v>
      </c>
      <c r="D8911" s="31" t="s">
        <v>38</v>
      </c>
      <c r="E8911" s="32"/>
      <c r="F8911" s="32"/>
      <c r="G8911" s="33"/>
      <c r="H8911" s="48">
        <f>SUM(H8909:H8910)</f>
        <v>166254</v>
      </c>
      <c r="I8911" s="47"/>
    </row>
    <row r="8913" spans="3:11" x14ac:dyDescent="0.3">
      <c r="C8913" s="40" t="s">
        <v>1655</v>
      </c>
      <c r="D8913" s="68" t="s">
        <v>1656</v>
      </c>
      <c r="E8913" s="44"/>
      <c r="F8913" s="44"/>
      <c r="G8913" s="44"/>
      <c r="H8913" s="44"/>
      <c r="I8913" s="10">
        <f>ROUNDDOWN(H8928,0)</f>
        <v>189299</v>
      </c>
      <c r="J8913" s="15"/>
      <c r="K8913" s="39"/>
    </row>
    <row r="8914" spans="3:11" ht="27.6" x14ac:dyDescent="0.3">
      <c r="C8914" s="11" t="s">
        <v>9</v>
      </c>
      <c r="D8914" s="11" t="s">
        <v>10</v>
      </c>
      <c r="E8914" s="11" t="s">
        <v>11</v>
      </c>
      <c r="F8914" s="11" t="s">
        <v>12</v>
      </c>
      <c r="G8914" s="11" t="s">
        <v>13</v>
      </c>
      <c r="H8914" s="11" t="s">
        <v>14</v>
      </c>
    </row>
    <row r="8915" spans="3:11" x14ac:dyDescent="0.25">
      <c r="C8915" s="12" t="s">
        <v>15</v>
      </c>
      <c r="D8915" s="13" t="s">
        <v>16</v>
      </c>
      <c r="E8915" s="14"/>
      <c r="F8915" s="14"/>
      <c r="G8915" s="14"/>
      <c r="H8915" s="14"/>
    </row>
    <row r="8916" spans="3:11" x14ac:dyDescent="0.3">
      <c r="C8916" s="16">
        <v>1</v>
      </c>
      <c r="D8916" s="13" t="s">
        <v>18</v>
      </c>
      <c r="E8916" s="17" t="s">
        <v>19</v>
      </c>
      <c r="F8916" s="18">
        <v>7.5999999999999998E-2</v>
      </c>
      <c r="G8916" s="19">
        <f>VLOOKUP(D8916,upahbahan,3,FALSE)</f>
        <v>100000</v>
      </c>
      <c r="H8916" s="19">
        <f t="shared" ref="H8916:H8919" si="943">F8916*G8916</f>
        <v>7600</v>
      </c>
    </row>
    <row r="8917" spans="3:11" x14ac:dyDescent="0.3">
      <c r="C8917" s="16">
        <v>2</v>
      </c>
      <c r="D8917" s="13" t="s">
        <v>21</v>
      </c>
      <c r="E8917" s="17" t="s">
        <v>19</v>
      </c>
      <c r="F8917" s="18">
        <v>0.127</v>
      </c>
      <c r="G8917" s="19">
        <f>VLOOKUP(D8917,upahbahan,3,FALSE)</f>
        <v>145000</v>
      </c>
      <c r="H8917" s="19">
        <f t="shared" si="943"/>
        <v>18415</v>
      </c>
    </row>
    <row r="8918" spans="3:11" x14ac:dyDescent="0.3">
      <c r="C8918" s="16">
        <v>3</v>
      </c>
      <c r="D8918" s="13" t="s">
        <v>1224</v>
      </c>
      <c r="E8918" s="17" t="s">
        <v>19</v>
      </c>
      <c r="F8918" s="18">
        <v>1.2999999999999999E-2</v>
      </c>
      <c r="G8918" s="19">
        <f>VLOOKUP(D8918,upahbahan,3,FALSE)</f>
        <v>175000</v>
      </c>
      <c r="H8918" s="19">
        <f t="shared" si="943"/>
        <v>2275</v>
      </c>
    </row>
    <row r="8919" spans="3:11" x14ac:dyDescent="0.3">
      <c r="C8919" s="16">
        <v>4</v>
      </c>
      <c r="D8919" s="13" t="s">
        <v>23</v>
      </c>
      <c r="E8919" s="17" t="s">
        <v>19</v>
      </c>
      <c r="F8919" s="18">
        <v>4.0000000000000001E-3</v>
      </c>
      <c r="G8919" s="19">
        <f>VLOOKUP(D8919,upahbahan,3,FALSE)</f>
        <v>200000</v>
      </c>
      <c r="H8919" s="19">
        <f t="shared" si="943"/>
        <v>800</v>
      </c>
    </row>
    <row r="8920" spans="3:11" x14ac:dyDescent="0.3">
      <c r="C8920" s="21" t="s">
        <v>24</v>
      </c>
      <c r="D8920" s="22"/>
      <c r="E8920" s="22"/>
      <c r="F8920" s="54"/>
      <c r="G8920" s="24"/>
      <c r="H8920" s="19">
        <f>SUM(H8916:H8919)</f>
        <v>29090</v>
      </c>
      <c r="I8920" s="25"/>
    </row>
    <row r="8921" spans="3:11" x14ac:dyDescent="0.25">
      <c r="C8921" s="12" t="s">
        <v>25</v>
      </c>
      <c r="D8921" s="13" t="s">
        <v>26</v>
      </c>
      <c r="E8921" s="14"/>
      <c r="F8921" s="55"/>
      <c r="G8921" s="14"/>
      <c r="H8921" s="14"/>
    </row>
    <row r="8922" spans="3:11" x14ac:dyDescent="0.25">
      <c r="C8922" s="12">
        <v>1</v>
      </c>
      <c r="D8922" s="13" t="s">
        <v>1657</v>
      </c>
      <c r="E8922" s="53" t="s">
        <v>1542</v>
      </c>
      <c r="F8922" s="115">
        <v>1.1000000000000001</v>
      </c>
      <c r="G8922" s="19">
        <f>VLOOKUP(D8922,upahbahan,3,FALSE)</f>
        <v>130000</v>
      </c>
      <c r="H8922" s="19">
        <f t="shared" ref="H8922" si="944">F8922*G8922</f>
        <v>143000</v>
      </c>
    </row>
    <row r="8923" spans="3:11" x14ac:dyDescent="0.3">
      <c r="C8923" s="21" t="s">
        <v>29</v>
      </c>
      <c r="D8923" s="22"/>
      <c r="E8923" s="22" t="s">
        <v>1340</v>
      </c>
      <c r="F8923" s="22"/>
      <c r="G8923" s="28"/>
      <c r="H8923" s="19">
        <f>SUM(H8921:H8922)</f>
        <v>143000</v>
      </c>
    </row>
    <row r="8924" spans="3:11" x14ac:dyDescent="0.25">
      <c r="C8924" s="12" t="s">
        <v>30</v>
      </c>
      <c r="D8924" s="13" t="s">
        <v>31</v>
      </c>
      <c r="E8924" s="14"/>
      <c r="F8924" s="14"/>
      <c r="G8924" s="14"/>
      <c r="H8924" s="14"/>
    </row>
    <row r="8925" spans="3:11" x14ac:dyDescent="0.3">
      <c r="C8925" s="21" t="s">
        <v>32</v>
      </c>
      <c r="D8925" s="77"/>
      <c r="E8925" s="77"/>
      <c r="F8925" s="77"/>
      <c r="G8925" s="28"/>
      <c r="H8925" s="29">
        <f>SUM(H8924:H8924)</f>
        <v>0</v>
      </c>
    </row>
    <row r="8926" spans="3:11" x14ac:dyDescent="0.3">
      <c r="C8926" s="30" t="s">
        <v>33</v>
      </c>
      <c r="D8926" s="31" t="s">
        <v>34</v>
      </c>
      <c r="E8926" s="32"/>
      <c r="F8926" s="32"/>
      <c r="G8926" s="33"/>
      <c r="H8926" s="46">
        <f>H8925+H8923+H8920</f>
        <v>172090</v>
      </c>
      <c r="I8926" s="47"/>
    </row>
    <row r="8927" spans="3:11" x14ac:dyDescent="0.3">
      <c r="C8927" s="30" t="s">
        <v>35</v>
      </c>
      <c r="D8927" s="31" t="s">
        <v>36</v>
      </c>
      <c r="E8927" s="32"/>
      <c r="F8927" s="33"/>
      <c r="G8927" s="34">
        <f>$M$9</f>
        <v>0.1</v>
      </c>
      <c r="H8927" s="19">
        <f>H8926*G8927</f>
        <v>17209</v>
      </c>
      <c r="I8927" s="47"/>
    </row>
    <row r="8928" spans="3:11" x14ac:dyDescent="0.3">
      <c r="C8928" s="30" t="s">
        <v>37</v>
      </c>
      <c r="D8928" s="31" t="s">
        <v>38</v>
      </c>
      <c r="E8928" s="32"/>
      <c r="F8928" s="32"/>
      <c r="G8928" s="33"/>
      <c r="H8928" s="48">
        <f>SUM(H8926:H8927)</f>
        <v>189299</v>
      </c>
      <c r="I8928" s="47"/>
    </row>
    <row r="8931" spans="3:11" x14ac:dyDescent="0.3">
      <c r="C8931" s="40" t="s">
        <v>1658</v>
      </c>
      <c r="D8931" s="68" t="s">
        <v>1659</v>
      </c>
      <c r="E8931" s="44"/>
      <c r="F8931" s="44"/>
      <c r="G8931" s="44"/>
      <c r="H8931" s="44"/>
      <c r="I8931" s="10">
        <f>ROUNDDOWN(H8946,0)</f>
        <v>207449</v>
      </c>
      <c r="J8931" s="15"/>
      <c r="K8931" s="39"/>
    </row>
    <row r="8932" spans="3:11" ht="27.6" x14ac:dyDescent="0.3">
      <c r="C8932" s="11" t="s">
        <v>9</v>
      </c>
      <c r="D8932" s="11" t="s">
        <v>10</v>
      </c>
      <c r="E8932" s="11" t="s">
        <v>11</v>
      </c>
      <c r="F8932" s="11" t="s">
        <v>12</v>
      </c>
      <c r="G8932" s="11" t="s">
        <v>13</v>
      </c>
      <c r="H8932" s="11" t="s">
        <v>14</v>
      </c>
    </row>
    <row r="8933" spans="3:11" x14ac:dyDescent="0.25">
      <c r="C8933" s="12" t="s">
        <v>15</v>
      </c>
      <c r="D8933" s="13" t="s">
        <v>16</v>
      </c>
      <c r="E8933" s="14"/>
      <c r="F8933" s="14"/>
      <c r="G8933" s="14"/>
      <c r="H8933" s="14"/>
    </row>
    <row r="8934" spans="3:11" x14ac:dyDescent="0.3">
      <c r="C8934" s="16">
        <v>1</v>
      </c>
      <c r="D8934" s="13" t="s">
        <v>18</v>
      </c>
      <c r="E8934" s="17" t="s">
        <v>19</v>
      </c>
      <c r="F8934" s="18">
        <v>7.5999999999999998E-2</v>
      </c>
      <c r="G8934" s="19">
        <f>VLOOKUP(D8934,upahbahan,3,FALSE)</f>
        <v>100000</v>
      </c>
      <c r="H8934" s="19">
        <f t="shared" ref="H8934:H8937" si="945">F8934*G8934</f>
        <v>7600</v>
      </c>
    </row>
    <row r="8935" spans="3:11" x14ac:dyDescent="0.3">
      <c r="C8935" s="16">
        <v>2</v>
      </c>
      <c r="D8935" s="13" t="s">
        <v>21</v>
      </c>
      <c r="E8935" s="17" t="s">
        <v>19</v>
      </c>
      <c r="F8935" s="18">
        <v>0.127</v>
      </c>
      <c r="G8935" s="19">
        <f>VLOOKUP(D8935,upahbahan,3,FALSE)</f>
        <v>145000</v>
      </c>
      <c r="H8935" s="19">
        <f t="shared" si="945"/>
        <v>18415</v>
      </c>
    </row>
    <row r="8936" spans="3:11" x14ac:dyDescent="0.3">
      <c r="C8936" s="16">
        <v>3</v>
      </c>
      <c r="D8936" s="13" t="s">
        <v>1224</v>
      </c>
      <c r="E8936" s="17" t="s">
        <v>19</v>
      </c>
      <c r="F8936" s="18">
        <v>1.2999999999999999E-2</v>
      </c>
      <c r="G8936" s="19">
        <f>VLOOKUP(D8936,upahbahan,3,FALSE)</f>
        <v>175000</v>
      </c>
      <c r="H8936" s="19">
        <f t="shared" si="945"/>
        <v>2275</v>
      </c>
    </row>
    <row r="8937" spans="3:11" x14ac:dyDescent="0.3">
      <c r="C8937" s="16">
        <v>4</v>
      </c>
      <c r="D8937" s="13" t="s">
        <v>23</v>
      </c>
      <c r="E8937" s="17" t="s">
        <v>19</v>
      </c>
      <c r="F8937" s="18">
        <v>4.0000000000000001E-3</v>
      </c>
      <c r="G8937" s="19">
        <f>VLOOKUP(D8937,upahbahan,3,FALSE)</f>
        <v>200000</v>
      </c>
      <c r="H8937" s="19">
        <f t="shared" si="945"/>
        <v>800</v>
      </c>
    </row>
    <row r="8938" spans="3:11" x14ac:dyDescent="0.3">
      <c r="C8938" s="21" t="s">
        <v>24</v>
      </c>
      <c r="D8938" s="22"/>
      <c r="E8938" s="22"/>
      <c r="F8938" s="54"/>
      <c r="G8938" s="24"/>
      <c r="H8938" s="19">
        <f>SUM(H8934:H8937)</f>
        <v>29090</v>
      </c>
      <c r="I8938" s="25"/>
    </row>
    <row r="8939" spans="3:11" x14ac:dyDescent="0.25">
      <c r="C8939" s="12" t="s">
        <v>25</v>
      </c>
      <c r="D8939" s="13" t="s">
        <v>26</v>
      </c>
      <c r="E8939" s="14"/>
      <c r="F8939" s="55"/>
      <c r="G8939" s="14"/>
      <c r="H8939" s="14"/>
    </row>
    <row r="8940" spans="3:11" x14ac:dyDescent="0.25">
      <c r="C8940" s="12">
        <v>1</v>
      </c>
      <c r="D8940" s="13" t="s">
        <v>1660</v>
      </c>
      <c r="E8940" s="53" t="s">
        <v>1542</v>
      </c>
      <c r="F8940" s="115">
        <v>1.1000000000000001</v>
      </c>
      <c r="G8940" s="19">
        <f>VLOOKUP(D8940,upahbahan,3,FALSE)</f>
        <v>145000</v>
      </c>
      <c r="H8940" s="19">
        <f t="shared" ref="H8940" si="946">F8940*G8940</f>
        <v>159500</v>
      </c>
    </row>
    <row r="8941" spans="3:11" x14ac:dyDescent="0.3">
      <c r="C8941" s="21" t="s">
        <v>29</v>
      </c>
      <c r="D8941" s="22"/>
      <c r="E8941" s="22" t="s">
        <v>1340</v>
      </c>
      <c r="F8941" s="22"/>
      <c r="G8941" s="28"/>
      <c r="H8941" s="19">
        <f>SUM(H8939:H8940)</f>
        <v>159500</v>
      </c>
    </row>
    <row r="8942" spans="3:11" x14ac:dyDescent="0.25">
      <c r="C8942" s="12" t="s">
        <v>30</v>
      </c>
      <c r="D8942" s="13" t="s">
        <v>31</v>
      </c>
      <c r="E8942" s="14"/>
      <c r="F8942" s="14"/>
      <c r="G8942" s="14"/>
      <c r="H8942" s="14"/>
    </row>
    <row r="8943" spans="3:11" x14ac:dyDescent="0.3">
      <c r="C8943" s="21" t="s">
        <v>32</v>
      </c>
      <c r="D8943" s="77"/>
      <c r="E8943" s="77"/>
      <c r="F8943" s="77"/>
      <c r="G8943" s="28"/>
      <c r="H8943" s="29">
        <f>SUM(H8942:H8942)</f>
        <v>0</v>
      </c>
    </row>
    <row r="8944" spans="3:11" x14ac:dyDescent="0.3">
      <c r="C8944" s="30" t="s">
        <v>33</v>
      </c>
      <c r="D8944" s="31" t="s">
        <v>34</v>
      </c>
      <c r="E8944" s="32"/>
      <c r="F8944" s="32"/>
      <c r="G8944" s="33"/>
      <c r="H8944" s="46">
        <f>H8943+H8941+H8938</f>
        <v>188590</v>
      </c>
      <c r="I8944" s="47"/>
    </row>
    <row r="8945" spans="3:11" x14ac:dyDescent="0.3">
      <c r="C8945" s="30" t="s">
        <v>35</v>
      </c>
      <c r="D8945" s="31" t="s">
        <v>36</v>
      </c>
      <c r="E8945" s="32"/>
      <c r="F8945" s="33"/>
      <c r="G8945" s="34">
        <f>$M$9</f>
        <v>0.1</v>
      </c>
      <c r="H8945" s="19">
        <f>H8944*G8945</f>
        <v>18859</v>
      </c>
      <c r="I8945" s="47"/>
    </row>
    <row r="8946" spans="3:11" x14ac:dyDescent="0.3">
      <c r="C8946" s="30" t="s">
        <v>37</v>
      </c>
      <c r="D8946" s="31" t="s">
        <v>38</v>
      </c>
      <c r="E8946" s="32"/>
      <c r="F8946" s="32"/>
      <c r="G8946" s="33"/>
      <c r="H8946" s="48">
        <f>SUM(H8944:H8945)</f>
        <v>207449</v>
      </c>
      <c r="I8946" s="47"/>
    </row>
    <row r="8948" spans="3:11" x14ac:dyDescent="0.3">
      <c r="C8948" s="40" t="s">
        <v>1661</v>
      </c>
      <c r="D8948" s="68" t="s">
        <v>1662</v>
      </c>
      <c r="E8948" s="44"/>
      <c r="F8948" s="44"/>
      <c r="G8948" s="44"/>
      <c r="H8948" s="44"/>
      <c r="I8948" s="10">
        <f>ROUNDDOWN(H8963,0)</f>
        <v>270545</v>
      </c>
      <c r="J8948" s="15"/>
      <c r="K8948" s="39"/>
    </row>
    <row r="8949" spans="3:11" ht="27.6" x14ac:dyDescent="0.3">
      <c r="C8949" s="11" t="s">
        <v>9</v>
      </c>
      <c r="D8949" s="11" t="s">
        <v>10</v>
      </c>
      <c r="E8949" s="11" t="s">
        <v>11</v>
      </c>
      <c r="F8949" s="11" t="s">
        <v>12</v>
      </c>
      <c r="G8949" s="11" t="s">
        <v>13</v>
      </c>
      <c r="H8949" s="11" t="s">
        <v>14</v>
      </c>
    </row>
    <row r="8950" spans="3:11" x14ac:dyDescent="0.25">
      <c r="C8950" s="12" t="s">
        <v>15</v>
      </c>
      <c r="D8950" s="13" t="s">
        <v>16</v>
      </c>
      <c r="E8950" s="14"/>
      <c r="F8950" s="14"/>
      <c r="G8950" s="14"/>
      <c r="H8950" s="14"/>
    </row>
    <row r="8951" spans="3:11" x14ac:dyDescent="0.3">
      <c r="C8951" s="16">
        <v>1</v>
      </c>
      <c r="D8951" s="13" t="s">
        <v>18</v>
      </c>
      <c r="E8951" s="17" t="s">
        <v>19</v>
      </c>
      <c r="F8951" s="18">
        <v>0.255</v>
      </c>
      <c r="G8951" s="19">
        <f>VLOOKUP(D8951,upahbahan,3,FALSE)</f>
        <v>100000</v>
      </c>
      <c r="H8951" s="19">
        <f t="shared" ref="H8951:H8954" si="947">F8951*G8951</f>
        <v>25500</v>
      </c>
    </row>
    <row r="8952" spans="3:11" x14ac:dyDescent="0.3">
      <c r="C8952" s="16">
        <v>2</v>
      </c>
      <c r="D8952" s="13" t="s">
        <v>21</v>
      </c>
      <c r="E8952" s="17" t="s">
        <v>19</v>
      </c>
      <c r="F8952" s="18">
        <v>0.42499999999999999</v>
      </c>
      <c r="G8952" s="19">
        <f>VLOOKUP(D8952,upahbahan,3,FALSE)</f>
        <v>145000</v>
      </c>
      <c r="H8952" s="19">
        <f t="shared" si="947"/>
        <v>61625</v>
      </c>
    </row>
    <row r="8953" spans="3:11" x14ac:dyDescent="0.3">
      <c r="C8953" s="16">
        <v>3</v>
      </c>
      <c r="D8953" s="13" t="s">
        <v>1224</v>
      </c>
      <c r="E8953" s="17" t="s">
        <v>19</v>
      </c>
      <c r="F8953" s="18">
        <v>4.2999999999999997E-2</v>
      </c>
      <c r="G8953" s="19">
        <f>VLOOKUP(D8953,upahbahan,3,FALSE)</f>
        <v>175000</v>
      </c>
      <c r="H8953" s="19">
        <f t="shared" si="947"/>
        <v>7524.9999999999991</v>
      </c>
    </row>
    <row r="8954" spans="3:11" x14ac:dyDescent="0.3">
      <c r="C8954" s="16">
        <v>4</v>
      </c>
      <c r="D8954" s="13" t="s">
        <v>23</v>
      </c>
      <c r="E8954" s="17" t="s">
        <v>19</v>
      </c>
      <c r="F8954" s="18">
        <v>1.4E-2</v>
      </c>
      <c r="G8954" s="19">
        <f>VLOOKUP(D8954,upahbahan,3,FALSE)</f>
        <v>200000</v>
      </c>
      <c r="H8954" s="19">
        <f t="shared" si="947"/>
        <v>2800</v>
      </c>
    </row>
    <row r="8955" spans="3:11" x14ac:dyDescent="0.3">
      <c r="C8955" s="21" t="s">
        <v>24</v>
      </c>
      <c r="D8955" s="22"/>
      <c r="E8955" s="22"/>
      <c r="F8955" s="54"/>
      <c r="G8955" s="24"/>
      <c r="H8955" s="19">
        <f>SUM(H8951:H8954)</f>
        <v>97450</v>
      </c>
      <c r="I8955" s="25"/>
    </row>
    <row r="8956" spans="3:11" x14ac:dyDescent="0.25">
      <c r="C8956" s="12" t="s">
        <v>25</v>
      </c>
      <c r="D8956" s="13" t="s">
        <v>26</v>
      </c>
      <c r="E8956" s="14"/>
      <c r="F8956" s="55"/>
      <c r="G8956" s="14"/>
      <c r="H8956" s="14"/>
    </row>
    <row r="8957" spans="3:11" x14ac:dyDescent="0.25">
      <c r="C8957" s="12">
        <v>1</v>
      </c>
      <c r="D8957" s="13" t="s">
        <v>1663</v>
      </c>
      <c r="E8957" s="53" t="s">
        <v>1542</v>
      </c>
      <c r="F8957" s="115">
        <v>1.1000000000000001</v>
      </c>
      <c r="G8957" s="19">
        <f>VLOOKUP(D8957,upahbahan,3,FALSE)</f>
        <v>135000</v>
      </c>
      <c r="H8957" s="19">
        <f t="shared" ref="H8957" si="948">F8957*G8957</f>
        <v>148500</v>
      </c>
    </row>
    <row r="8958" spans="3:11" x14ac:dyDescent="0.3">
      <c r="C8958" s="21" t="s">
        <v>29</v>
      </c>
      <c r="D8958" s="22"/>
      <c r="E8958" s="22" t="s">
        <v>1340</v>
      </c>
      <c r="F8958" s="22"/>
      <c r="G8958" s="28"/>
      <c r="H8958" s="19">
        <f>SUM(H8956:H8957)</f>
        <v>148500</v>
      </c>
    </row>
    <row r="8959" spans="3:11" x14ac:dyDescent="0.25">
      <c r="C8959" s="12" t="s">
        <v>30</v>
      </c>
      <c r="D8959" s="13" t="s">
        <v>31</v>
      </c>
      <c r="E8959" s="14"/>
      <c r="F8959" s="14"/>
      <c r="G8959" s="14"/>
      <c r="H8959" s="14"/>
    </row>
    <row r="8960" spans="3:11" x14ac:dyDescent="0.3">
      <c r="C8960" s="21" t="s">
        <v>32</v>
      </c>
      <c r="D8960" s="77"/>
      <c r="E8960" s="77"/>
      <c r="F8960" s="77"/>
      <c r="G8960" s="28"/>
      <c r="H8960" s="29">
        <f>SUM(H8959:H8959)</f>
        <v>0</v>
      </c>
    </row>
    <row r="8961" spans="3:11" x14ac:dyDescent="0.3">
      <c r="C8961" s="30" t="s">
        <v>33</v>
      </c>
      <c r="D8961" s="31" t="s">
        <v>34</v>
      </c>
      <c r="E8961" s="32"/>
      <c r="F8961" s="32"/>
      <c r="G8961" s="33"/>
      <c r="H8961" s="46">
        <f>H8960+H8958+H8955</f>
        <v>245950</v>
      </c>
      <c r="I8961" s="47"/>
    </row>
    <row r="8962" spans="3:11" x14ac:dyDescent="0.3">
      <c r="C8962" s="30" t="s">
        <v>35</v>
      </c>
      <c r="D8962" s="31" t="s">
        <v>36</v>
      </c>
      <c r="E8962" s="32"/>
      <c r="F8962" s="33"/>
      <c r="G8962" s="34">
        <f>$M$9</f>
        <v>0.1</v>
      </c>
      <c r="H8962" s="19">
        <f>H8961*G8962</f>
        <v>24595</v>
      </c>
      <c r="I8962" s="47"/>
    </row>
    <row r="8963" spans="3:11" x14ac:dyDescent="0.3">
      <c r="C8963" s="30" t="s">
        <v>37</v>
      </c>
      <c r="D8963" s="31" t="s">
        <v>38</v>
      </c>
      <c r="E8963" s="32"/>
      <c r="F8963" s="32"/>
      <c r="G8963" s="33"/>
      <c r="H8963" s="48">
        <f>SUM(H8961:H8962)</f>
        <v>270545</v>
      </c>
      <c r="I8963" s="47"/>
    </row>
    <row r="8966" spans="3:11" x14ac:dyDescent="0.3">
      <c r="C8966" s="40" t="s">
        <v>1664</v>
      </c>
      <c r="D8966" s="68" t="s">
        <v>1665</v>
      </c>
      <c r="E8966" s="44"/>
      <c r="F8966" s="44"/>
      <c r="G8966" s="44"/>
      <c r="H8966" s="44"/>
      <c r="I8966" s="10">
        <f>ROUNDDOWN(H8981,0)</f>
        <v>288695</v>
      </c>
      <c r="J8966" s="15"/>
      <c r="K8966" s="39"/>
    </row>
    <row r="8967" spans="3:11" ht="27.6" x14ac:dyDescent="0.3">
      <c r="C8967" s="11" t="s">
        <v>9</v>
      </c>
      <c r="D8967" s="11" t="s">
        <v>10</v>
      </c>
      <c r="E8967" s="11" t="s">
        <v>11</v>
      </c>
      <c r="F8967" s="11" t="s">
        <v>12</v>
      </c>
      <c r="G8967" s="11" t="s">
        <v>13</v>
      </c>
      <c r="H8967" s="11" t="s">
        <v>14</v>
      </c>
    </row>
    <row r="8968" spans="3:11" x14ac:dyDescent="0.25">
      <c r="C8968" s="12" t="s">
        <v>15</v>
      </c>
      <c r="D8968" s="13" t="s">
        <v>16</v>
      </c>
      <c r="E8968" s="14"/>
      <c r="F8968" s="14"/>
      <c r="G8968" s="14"/>
      <c r="H8968" s="14"/>
    </row>
    <row r="8969" spans="3:11" x14ac:dyDescent="0.3">
      <c r="C8969" s="16">
        <v>1</v>
      </c>
      <c r="D8969" s="13" t="s">
        <v>18</v>
      </c>
      <c r="E8969" s="17" t="s">
        <v>19</v>
      </c>
      <c r="F8969" s="18">
        <v>0.255</v>
      </c>
      <c r="G8969" s="19">
        <f>VLOOKUP(D8969,upahbahan,3,FALSE)</f>
        <v>100000</v>
      </c>
      <c r="H8969" s="19">
        <f t="shared" ref="H8969:H8972" si="949">F8969*G8969</f>
        <v>25500</v>
      </c>
    </row>
    <row r="8970" spans="3:11" x14ac:dyDescent="0.3">
      <c r="C8970" s="16">
        <v>2</v>
      </c>
      <c r="D8970" s="13" t="s">
        <v>21</v>
      </c>
      <c r="E8970" s="17" t="s">
        <v>19</v>
      </c>
      <c r="F8970" s="18">
        <v>0.42499999999999999</v>
      </c>
      <c r="G8970" s="19">
        <f>VLOOKUP(D8970,upahbahan,3,FALSE)</f>
        <v>145000</v>
      </c>
      <c r="H8970" s="19">
        <f t="shared" si="949"/>
        <v>61625</v>
      </c>
    </row>
    <row r="8971" spans="3:11" x14ac:dyDescent="0.3">
      <c r="C8971" s="16">
        <v>3</v>
      </c>
      <c r="D8971" s="13" t="s">
        <v>1224</v>
      </c>
      <c r="E8971" s="17" t="s">
        <v>19</v>
      </c>
      <c r="F8971" s="18">
        <v>4.2999999999999997E-2</v>
      </c>
      <c r="G8971" s="19">
        <f>VLOOKUP(D8971,upahbahan,3,FALSE)</f>
        <v>175000</v>
      </c>
      <c r="H8971" s="19">
        <f t="shared" si="949"/>
        <v>7524.9999999999991</v>
      </c>
    </row>
    <row r="8972" spans="3:11" x14ac:dyDescent="0.3">
      <c r="C8972" s="16">
        <v>4</v>
      </c>
      <c r="D8972" s="13" t="s">
        <v>23</v>
      </c>
      <c r="E8972" s="17" t="s">
        <v>19</v>
      </c>
      <c r="F8972" s="18">
        <v>1.4E-2</v>
      </c>
      <c r="G8972" s="19">
        <f>VLOOKUP(D8972,upahbahan,3,FALSE)</f>
        <v>200000</v>
      </c>
      <c r="H8972" s="19">
        <f t="shared" si="949"/>
        <v>2800</v>
      </c>
    </row>
    <row r="8973" spans="3:11" x14ac:dyDescent="0.3">
      <c r="C8973" s="21" t="s">
        <v>24</v>
      </c>
      <c r="D8973" s="22"/>
      <c r="E8973" s="22"/>
      <c r="F8973" s="54"/>
      <c r="G8973" s="24"/>
      <c r="H8973" s="19">
        <f>SUM(H8969:H8972)</f>
        <v>97450</v>
      </c>
      <c r="I8973" s="25"/>
    </row>
    <row r="8974" spans="3:11" x14ac:dyDescent="0.25">
      <c r="C8974" s="12" t="s">
        <v>25</v>
      </c>
      <c r="D8974" s="13" t="s">
        <v>26</v>
      </c>
      <c r="E8974" s="14"/>
      <c r="F8974" s="55"/>
      <c r="G8974" s="14"/>
      <c r="H8974" s="14"/>
    </row>
    <row r="8975" spans="3:11" x14ac:dyDescent="0.25">
      <c r="C8975" s="12">
        <v>1</v>
      </c>
      <c r="D8975" s="13" t="s">
        <v>1666</v>
      </c>
      <c r="E8975" s="53" t="s">
        <v>1542</v>
      </c>
      <c r="F8975" s="115">
        <v>1.1000000000000001</v>
      </c>
      <c r="G8975" s="19">
        <f>VLOOKUP(D8975,upahbahan,3,FALSE)</f>
        <v>150000</v>
      </c>
      <c r="H8975" s="19">
        <f t="shared" ref="H8975" si="950">F8975*G8975</f>
        <v>165000</v>
      </c>
    </row>
    <row r="8976" spans="3:11" x14ac:dyDescent="0.3">
      <c r="C8976" s="21" t="s">
        <v>29</v>
      </c>
      <c r="D8976" s="22"/>
      <c r="E8976" s="22" t="s">
        <v>1340</v>
      </c>
      <c r="F8976" s="22"/>
      <c r="G8976" s="28"/>
      <c r="H8976" s="19">
        <f>SUM(H8974:H8975)</f>
        <v>165000</v>
      </c>
    </row>
    <row r="8977" spans="3:11" x14ac:dyDescent="0.25">
      <c r="C8977" s="12" t="s">
        <v>30</v>
      </c>
      <c r="D8977" s="13" t="s">
        <v>31</v>
      </c>
      <c r="E8977" s="14"/>
      <c r="F8977" s="14"/>
      <c r="G8977" s="14"/>
      <c r="H8977" s="14"/>
    </row>
    <row r="8978" spans="3:11" x14ac:dyDescent="0.3">
      <c r="C8978" s="21" t="s">
        <v>32</v>
      </c>
      <c r="D8978" s="77"/>
      <c r="E8978" s="77"/>
      <c r="F8978" s="77"/>
      <c r="G8978" s="28"/>
      <c r="H8978" s="29">
        <f>SUM(H8977:H8977)</f>
        <v>0</v>
      </c>
    </row>
    <row r="8979" spans="3:11" x14ac:dyDescent="0.3">
      <c r="C8979" s="30" t="s">
        <v>33</v>
      </c>
      <c r="D8979" s="31" t="s">
        <v>34</v>
      </c>
      <c r="E8979" s="32"/>
      <c r="F8979" s="32"/>
      <c r="G8979" s="33"/>
      <c r="H8979" s="46">
        <f>H8978+H8976+H8973</f>
        <v>262450</v>
      </c>
      <c r="I8979" s="47"/>
    </row>
    <row r="8980" spans="3:11" x14ac:dyDescent="0.3">
      <c r="C8980" s="30" t="s">
        <v>35</v>
      </c>
      <c r="D8980" s="31" t="s">
        <v>36</v>
      </c>
      <c r="E8980" s="32"/>
      <c r="F8980" s="33"/>
      <c r="G8980" s="34">
        <f>$M$9</f>
        <v>0.1</v>
      </c>
      <c r="H8980" s="19">
        <f>H8979*G8980</f>
        <v>26245</v>
      </c>
      <c r="I8980" s="47"/>
    </row>
    <row r="8981" spans="3:11" x14ac:dyDescent="0.3">
      <c r="C8981" s="30" t="s">
        <v>37</v>
      </c>
      <c r="D8981" s="31" t="s">
        <v>38</v>
      </c>
      <c r="E8981" s="32"/>
      <c r="F8981" s="32"/>
      <c r="G8981" s="33"/>
      <c r="H8981" s="48">
        <f>SUM(H8979:H8980)</f>
        <v>288695</v>
      </c>
      <c r="I8981" s="47"/>
    </row>
    <row r="8984" spans="3:11" x14ac:dyDescent="0.3">
      <c r="C8984" s="40" t="s">
        <v>1667</v>
      </c>
      <c r="D8984" s="68" t="s">
        <v>1668</v>
      </c>
      <c r="E8984" s="44"/>
      <c r="F8984" s="44"/>
      <c r="G8984" s="44"/>
      <c r="H8984" s="44"/>
      <c r="I8984" s="10">
        <f>ROUNDDOWN(H8999,0)</f>
        <v>426492</v>
      </c>
      <c r="J8984" s="15"/>
      <c r="K8984" s="39"/>
    </row>
    <row r="8985" spans="3:11" ht="27.6" x14ac:dyDescent="0.3">
      <c r="C8985" s="11" t="s">
        <v>9</v>
      </c>
      <c r="D8985" s="11" t="s">
        <v>10</v>
      </c>
      <c r="E8985" s="11" t="s">
        <v>11</v>
      </c>
      <c r="F8985" s="11" t="s">
        <v>12</v>
      </c>
      <c r="G8985" s="11" t="s">
        <v>13</v>
      </c>
      <c r="H8985" s="11" t="s">
        <v>14</v>
      </c>
    </row>
    <row r="8986" spans="3:11" x14ac:dyDescent="0.25">
      <c r="C8986" s="12" t="s">
        <v>15</v>
      </c>
      <c r="D8986" s="13" t="s">
        <v>16</v>
      </c>
      <c r="E8986" s="14"/>
      <c r="F8986" s="14"/>
      <c r="G8986" s="14"/>
      <c r="H8986" s="14"/>
    </row>
    <row r="8987" spans="3:11" x14ac:dyDescent="0.3">
      <c r="C8987" s="16">
        <v>1</v>
      </c>
      <c r="D8987" s="13" t="s">
        <v>18</v>
      </c>
      <c r="E8987" s="17" t="s">
        <v>19</v>
      </c>
      <c r="F8987" s="18">
        <v>0.38100000000000001</v>
      </c>
      <c r="G8987" s="19">
        <f>VLOOKUP(D8987,upahbahan,3,FALSE)</f>
        <v>100000</v>
      </c>
      <c r="H8987" s="19">
        <f t="shared" ref="H8987:H8990" si="951">F8987*G8987</f>
        <v>38100</v>
      </c>
    </row>
    <row r="8988" spans="3:11" x14ac:dyDescent="0.3">
      <c r="C8988" s="16">
        <v>2</v>
      </c>
      <c r="D8988" s="13" t="s">
        <v>21</v>
      </c>
      <c r="E8988" s="17" t="s">
        <v>19</v>
      </c>
      <c r="F8988" s="18">
        <v>0.63600000000000001</v>
      </c>
      <c r="G8988" s="19">
        <f>VLOOKUP(D8988,upahbahan,3,FALSE)</f>
        <v>145000</v>
      </c>
      <c r="H8988" s="19">
        <f t="shared" si="951"/>
        <v>92220</v>
      </c>
    </row>
    <row r="8989" spans="3:11" x14ac:dyDescent="0.3">
      <c r="C8989" s="16">
        <v>3</v>
      </c>
      <c r="D8989" s="13" t="s">
        <v>1224</v>
      </c>
      <c r="E8989" s="17" t="s">
        <v>19</v>
      </c>
      <c r="F8989" s="18">
        <v>6.4000000000000001E-2</v>
      </c>
      <c r="G8989" s="19">
        <f>VLOOKUP(D8989,upahbahan,3,FALSE)</f>
        <v>175000</v>
      </c>
      <c r="H8989" s="19">
        <f t="shared" si="951"/>
        <v>11200</v>
      </c>
    </row>
    <row r="8990" spans="3:11" x14ac:dyDescent="0.3">
      <c r="C8990" s="16">
        <v>4</v>
      </c>
      <c r="D8990" s="13" t="s">
        <v>23</v>
      </c>
      <c r="E8990" s="17" t="s">
        <v>19</v>
      </c>
      <c r="F8990" s="18">
        <v>2.1000000000000001E-2</v>
      </c>
      <c r="G8990" s="19">
        <f>VLOOKUP(D8990,upahbahan,3,FALSE)</f>
        <v>200000</v>
      </c>
      <c r="H8990" s="19">
        <f t="shared" si="951"/>
        <v>4200</v>
      </c>
    </row>
    <row r="8991" spans="3:11" x14ac:dyDescent="0.3">
      <c r="C8991" s="21" t="s">
        <v>24</v>
      </c>
      <c r="D8991" s="22"/>
      <c r="E8991" s="22"/>
      <c r="F8991" s="54"/>
      <c r="G8991" s="24"/>
      <c r="H8991" s="19">
        <f>SUM(H8987:H8990)</f>
        <v>145720</v>
      </c>
      <c r="I8991" s="25"/>
    </row>
    <row r="8992" spans="3:11" x14ac:dyDescent="0.25">
      <c r="C8992" s="12" t="s">
        <v>25</v>
      </c>
      <c r="D8992" s="13" t="s">
        <v>26</v>
      </c>
      <c r="E8992" s="14"/>
      <c r="F8992" s="55"/>
      <c r="G8992" s="14"/>
      <c r="H8992" s="14"/>
    </row>
    <row r="8993" spans="3:11" x14ac:dyDescent="0.25">
      <c r="C8993" s="12">
        <v>1</v>
      </c>
      <c r="D8993" s="13" t="s">
        <v>1669</v>
      </c>
      <c r="E8993" s="53" t="s">
        <v>1542</v>
      </c>
      <c r="F8993" s="115">
        <v>1.1000000000000001</v>
      </c>
      <c r="G8993" s="19">
        <f>VLOOKUP(D8993,upahbahan,3,FALSE)</f>
        <v>220000</v>
      </c>
      <c r="H8993" s="19">
        <f t="shared" ref="H8993" si="952">F8993*G8993</f>
        <v>242000.00000000003</v>
      </c>
    </row>
    <row r="8994" spans="3:11" x14ac:dyDescent="0.3">
      <c r="C8994" s="21" t="s">
        <v>29</v>
      </c>
      <c r="D8994" s="22"/>
      <c r="E8994" s="22" t="s">
        <v>1340</v>
      </c>
      <c r="F8994" s="22"/>
      <c r="G8994" s="28"/>
      <c r="H8994" s="19">
        <f>SUM(H8992:H8993)</f>
        <v>242000.00000000003</v>
      </c>
    </row>
    <row r="8995" spans="3:11" x14ac:dyDescent="0.25">
      <c r="C8995" s="12" t="s">
        <v>30</v>
      </c>
      <c r="D8995" s="13" t="s">
        <v>31</v>
      </c>
      <c r="E8995" s="14"/>
      <c r="F8995" s="14"/>
      <c r="G8995" s="14"/>
      <c r="H8995" s="14"/>
    </row>
    <row r="8996" spans="3:11" x14ac:dyDescent="0.3">
      <c r="C8996" s="21" t="s">
        <v>32</v>
      </c>
      <c r="D8996" s="77"/>
      <c r="E8996" s="77"/>
      <c r="F8996" s="77"/>
      <c r="G8996" s="28"/>
      <c r="H8996" s="29">
        <f>SUM(H8995:H8995)</f>
        <v>0</v>
      </c>
    </row>
    <row r="8997" spans="3:11" x14ac:dyDescent="0.3">
      <c r="C8997" s="30" t="s">
        <v>33</v>
      </c>
      <c r="D8997" s="31" t="s">
        <v>34</v>
      </c>
      <c r="E8997" s="32"/>
      <c r="F8997" s="32"/>
      <c r="G8997" s="33"/>
      <c r="H8997" s="46">
        <f>H8996+H8994+H8991</f>
        <v>387720</v>
      </c>
      <c r="I8997" s="47"/>
    </row>
    <row r="8998" spans="3:11" x14ac:dyDescent="0.3">
      <c r="C8998" s="30" t="s">
        <v>35</v>
      </c>
      <c r="D8998" s="31" t="s">
        <v>36</v>
      </c>
      <c r="E8998" s="32"/>
      <c r="F8998" s="33"/>
      <c r="G8998" s="34">
        <f>$M$9</f>
        <v>0.1</v>
      </c>
      <c r="H8998" s="19">
        <f>H8997*G8998</f>
        <v>38772</v>
      </c>
      <c r="I8998" s="47"/>
    </row>
    <row r="8999" spans="3:11" x14ac:dyDescent="0.3">
      <c r="C8999" s="30" t="s">
        <v>37</v>
      </c>
      <c r="D8999" s="31" t="s">
        <v>38</v>
      </c>
      <c r="E8999" s="32"/>
      <c r="F8999" s="32"/>
      <c r="G8999" s="33"/>
      <c r="H8999" s="48">
        <f>SUM(H8997:H8998)</f>
        <v>426492</v>
      </c>
      <c r="I8999" s="47"/>
    </row>
    <row r="9001" spans="3:11" x14ac:dyDescent="0.3">
      <c r="C9001" s="40" t="s">
        <v>1670</v>
      </c>
      <c r="D9001" s="68" t="s">
        <v>1671</v>
      </c>
      <c r="E9001" s="44"/>
      <c r="F9001" s="44"/>
      <c r="G9001" s="44"/>
      <c r="H9001" s="44"/>
      <c r="I9001" s="10">
        <f>ROUNDDOWN(H9016,0)</f>
        <v>515889</v>
      </c>
      <c r="J9001" s="15"/>
      <c r="K9001" s="39"/>
    </row>
    <row r="9002" spans="3:11" ht="27.6" x14ac:dyDescent="0.3">
      <c r="C9002" s="11" t="s">
        <v>9</v>
      </c>
      <c r="D9002" s="11" t="s">
        <v>10</v>
      </c>
      <c r="E9002" s="11" t="s">
        <v>11</v>
      </c>
      <c r="F9002" s="11" t="s">
        <v>12</v>
      </c>
      <c r="G9002" s="11" t="s">
        <v>13</v>
      </c>
      <c r="H9002" s="11" t="s">
        <v>14</v>
      </c>
    </row>
    <row r="9003" spans="3:11" x14ac:dyDescent="0.25">
      <c r="C9003" s="12" t="s">
        <v>15</v>
      </c>
      <c r="D9003" s="13" t="s">
        <v>16</v>
      </c>
      <c r="E9003" s="14"/>
      <c r="F9003" s="14"/>
      <c r="G9003" s="14"/>
      <c r="H9003" s="14"/>
    </row>
    <row r="9004" spans="3:11" x14ac:dyDescent="0.3">
      <c r="C9004" s="16">
        <v>1</v>
      </c>
      <c r="D9004" s="13" t="s">
        <v>18</v>
      </c>
      <c r="E9004" s="17" t="s">
        <v>19</v>
      </c>
      <c r="F9004" s="18">
        <v>0.50700000000000001</v>
      </c>
      <c r="G9004" s="19">
        <f>VLOOKUP(D9004,upahbahan,3,FALSE)</f>
        <v>100000</v>
      </c>
      <c r="H9004" s="19">
        <f t="shared" ref="H9004:H9007" si="953">F9004*G9004</f>
        <v>50700</v>
      </c>
    </row>
    <row r="9005" spans="3:11" x14ac:dyDescent="0.3">
      <c r="C9005" s="16">
        <v>2</v>
      </c>
      <c r="D9005" s="13" t="s">
        <v>21</v>
      </c>
      <c r="E9005" s="17" t="s">
        <v>19</v>
      </c>
      <c r="F9005" s="18">
        <v>0.84699999999999998</v>
      </c>
      <c r="G9005" s="19">
        <f>VLOOKUP(D9005,upahbahan,3,FALSE)</f>
        <v>145000</v>
      </c>
      <c r="H9005" s="19">
        <f t="shared" si="953"/>
        <v>122815</v>
      </c>
    </row>
    <row r="9006" spans="3:11" x14ac:dyDescent="0.3">
      <c r="C9006" s="16">
        <v>3</v>
      </c>
      <c r="D9006" s="13" t="s">
        <v>1224</v>
      </c>
      <c r="E9006" s="17" t="s">
        <v>19</v>
      </c>
      <c r="F9006" s="18">
        <v>8.5000000000000006E-2</v>
      </c>
      <c r="G9006" s="19">
        <f>VLOOKUP(D9006,upahbahan,3,FALSE)</f>
        <v>175000</v>
      </c>
      <c r="H9006" s="19">
        <f t="shared" si="953"/>
        <v>14875.000000000002</v>
      </c>
    </row>
    <row r="9007" spans="3:11" x14ac:dyDescent="0.3">
      <c r="C9007" s="16">
        <v>4</v>
      </c>
      <c r="D9007" s="13" t="s">
        <v>23</v>
      </c>
      <c r="E9007" s="17" t="s">
        <v>19</v>
      </c>
      <c r="F9007" s="18">
        <v>2.8000000000000001E-2</v>
      </c>
      <c r="G9007" s="19">
        <f>VLOOKUP(D9007,upahbahan,3,FALSE)</f>
        <v>200000</v>
      </c>
      <c r="H9007" s="19">
        <f t="shared" si="953"/>
        <v>5600</v>
      </c>
    </row>
    <row r="9008" spans="3:11" x14ac:dyDescent="0.3">
      <c r="C9008" s="21" t="s">
        <v>24</v>
      </c>
      <c r="D9008" s="22"/>
      <c r="E9008" s="22"/>
      <c r="F9008" s="54"/>
      <c r="G9008" s="24"/>
      <c r="H9008" s="19">
        <f>SUM(H9004:H9007)</f>
        <v>193990</v>
      </c>
      <c r="I9008" s="25"/>
    </row>
    <row r="9009" spans="3:11" x14ac:dyDescent="0.25">
      <c r="C9009" s="12" t="s">
        <v>25</v>
      </c>
      <c r="D9009" s="13" t="s">
        <v>26</v>
      </c>
      <c r="E9009" s="14"/>
      <c r="F9009" s="55"/>
      <c r="G9009" s="14"/>
      <c r="H9009" s="14"/>
    </row>
    <row r="9010" spans="3:11" x14ac:dyDescent="0.25">
      <c r="C9010" s="12">
        <v>1</v>
      </c>
      <c r="D9010" s="13" t="s">
        <v>1672</v>
      </c>
      <c r="E9010" s="53" t="s">
        <v>1542</v>
      </c>
      <c r="F9010" s="115">
        <v>1.1000000000000001</v>
      </c>
      <c r="G9010" s="19">
        <f>VLOOKUP(D9010,upahbahan,3,FALSE)</f>
        <v>250000</v>
      </c>
      <c r="H9010" s="19">
        <f t="shared" ref="H9010" si="954">F9010*G9010</f>
        <v>275000</v>
      </c>
    </row>
    <row r="9011" spans="3:11" x14ac:dyDescent="0.3">
      <c r="C9011" s="21" t="s">
        <v>29</v>
      </c>
      <c r="D9011" s="22"/>
      <c r="E9011" s="22" t="s">
        <v>1340</v>
      </c>
      <c r="F9011" s="22"/>
      <c r="G9011" s="28"/>
      <c r="H9011" s="19">
        <f>SUM(H9009:H9010)</f>
        <v>275000</v>
      </c>
    </row>
    <row r="9012" spans="3:11" x14ac:dyDescent="0.25">
      <c r="C9012" s="12" t="s">
        <v>30</v>
      </c>
      <c r="D9012" s="13" t="s">
        <v>31</v>
      </c>
      <c r="E9012" s="14"/>
      <c r="F9012" s="14"/>
      <c r="G9012" s="14"/>
      <c r="H9012" s="14"/>
    </row>
    <row r="9013" spans="3:11" x14ac:dyDescent="0.3">
      <c r="C9013" s="21" t="s">
        <v>32</v>
      </c>
      <c r="D9013" s="77"/>
      <c r="E9013" s="77"/>
      <c r="F9013" s="77"/>
      <c r="G9013" s="28"/>
      <c r="H9013" s="29">
        <f>SUM(H9012:H9012)</f>
        <v>0</v>
      </c>
    </row>
    <row r="9014" spans="3:11" x14ac:dyDescent="0.3">
      <c r="C9014" s="30" t="s">
        <v>33</v>
      </c>
      <c r="D9014" s="31" t="s">
        <v>34</v>
      </c>
      <c r="E9014" s="32"/>
      <c r="F9014" s="32"/>
      <c r="G9014" s="33"/>
      <c r="H9014" s="46">
        <f>H9013+H9011+H9008</f>
        <v>468990</v>
      </c>
      <c r="I9014" s="47"/>
    </row>
    <row r="9015" spans="3:11" x14ac:dyDescent="0.3">
      <c r="C9015" s="30" t="s">
        <v>35</v>
      </c>
      <c r="D9015" s="31" t="s">
        <v>36</v>
      </c>
      <c r="E9015" s="32"/>
      <c r="F9015" s="33"/>
      <c r="G9015" s="34">
        <f>$M$9</f>
        <v>0.1</v>
      </c>
      <c r="H9015" s="19">
        <f>H9014*G9015</f>
        <v>46899</v>
      </c>
      <c r="I9015" s="47"/>
    </row>
    <row r="9016" spans="3:11" x14ac:dyDescent="0.3">
      <c r="C9016" s="30" t="s">
        <v>37</v>
      </c>
      <c r="D9016" s="31" t="s">
        <v>38</v>
      </c>
      <c r="E9016" s="32"/>
      <c r="F9016" s="32"/>
      <c r="G9016" s="33"/>
      <c r="H9016" s="48">
        <f>SUM(H9014:H9015)</f>
        <v>515889</v>
      </c>
      <c r="I9016" s="47"/>
    </row>
    <row r="9018" spans="3:11" x14ac:dyDescent="0.3">
      <c r="C9018" s="40" t="s">
        <v>1673</v>
      </c>
      <c r="D9018" s="68" t="s">
        <v>1674</v>
      </c>
      <c r="E9018" s="44"/>
      <c r="F9018" s="44"/>
      <c r="G9018" s="44"/>
      <c r="H9018" s="44"/>
      <c r="I9018" s="10">
        <f>ROUNDDOWN(H9033,0)</f>
        <v>540089</v>
      </c>
      <c r="J9018" s="15"/>
      <c r="K9018" s="39"/>
    </row>
    <row r="9019" spans="3:11" ht="27.6" x14ac:dyDescent="0.3">
      <c r="C9019" s="11" t="s">
        <v>9</v>
      </c>
      <c r="D9019" s="11" t="s">
        <v>10</v>
      </c>
      <c r="E9019" s="11" t="s">
        <v>11</v>
      </c>
      <c r="F9019" s="11" t="s">
        <v>12</v>
      </c>
      <c r="G9019" s="11" t="s">
        <v>13</v>
      </c>
      <c r="H9019" s="11" t="s">
        <v>14</v>
      </c>
    </row>
    <row r="9020" spans="3:11" x14ac:dyDescent="0.25">
      <c r="C9020" s="12" t="s">
        <v>15</v>
      </c>
      <c r="D9020" s="13" t="s">
        <v>16</v>
      </c>
      <c r="E9020" s="14"/>
      <c r="F9020" s="14"/>
      <c r="G9020" s="14"/>
      <c r="H9020" s="14"/>
    </row>
    <row r="9021" spans="3:11" x14ac:dyDescent="0.3">
      <c r="C9021" s="16">
        <v>1</v>
      </c>
      <c r="D9021" s="13" t="s">
        <v>18</v>
      </c>
      <c r="E9021" s="17" t="s">
        <v>19</v>
      </c>
      <c r="F9021" s="18">
        <v>0.50700000000000001</v>
      </c>
      <c r="G9021" s="19">
        <f>VLOOKUP(D9021,upahbahan,3,FALSE)</f>
        <v>100000</v>
      </c>
      <c r="H9021" s="19">
        <f t="shared" ref="H9021:H9024" si="955">F9021*G9021</f>
        <v>50700</v>
      </c>
    </row>
    <row r="9022" spans="3:11" x14ac:dyDescent="0.3">
      <c r="C9022" s="16">
        <v>2</v>
      </c>
      <c r="D9022" s="13" t="s">
        <v>21</v>
      </c>
      <c r="E9022" s="17" t="s">
        <v>19</v>
      </c>
      <c r="F9022" s="18">
        <v>0.84699999999999998</v>
      </c>
      <c r="G9022" s="19">
        <f>VLOOKUP(D9022,upahbahan,3,FALSE)</f>
        <v>145000</v>
      </c>
      <c r="H9022" s="19">
        <f t="shared" si="955"/>
        <v>122815</v>
      </c>
    </row>
    <row r="9023" spans="3:11" x14ac:dyDescent="0.3">
      <c r="C9023" s="16">
        <v>3</v>
      </c>
      <c r="D9023" s="13" t="s">
        <v>1224</v>
      </c>
      <c r="E9023" s="17" t="s">
        <v>19</v>
      </c>
      <c r="F9023" s="18">
        <v>8.5000000000000006E-2</v>
      </c>
      <c r="G9023" s="19">
        <f>VLOOKUP(D9023,upahbahan,3,FALSE)</f>
        <v>175000</v>
      </c>
      <c r="H9023" s="19">
        <f t="shared" si="955"/>
        <v>14875.000000000002</v>
      </c>
    </row>
    <row r="9024" spans="3:11" x14ac:dyDescent="0.3">
      <c r="C9024" s="16">
        <v>4</v>
      </c>
      <c r="D9024" s="13" t="s">
        <v>23</v>
      </c>
      <c r="E9024" s="17" t="s">
        <v>19</v>
      </c>
      <c r="F9024" s="18">
        <v>2.8000000000000001E-2</v>
      </c>
      <c r="G9024" s="19">
        <f>VLOOKUP(D9024,upahbahan,3,FALSE)</f>
        <v>200000</v>
      </c>
      <c r="H9024" s="19">
        <f t="shared" si="955"/>
        <v>5600</v>
      </c>
    </row>
    <row r="9025" spans="3:11" x14ac:dyDescent="0.3">
      <c r="C9025" s="21" t="s">
        <v>24</v>
      </c>
      <c r="D9025" s="22"/>
      <c r="E9025" s="22"/>
      <c r="F9025" s="54"/>
      <c r="G9025" s="24"/>
      <c r="H9025" s="19">
        <f>SUM(H9021:H9024)</f>
        <v>193990</v>
      </c>
      <c r="I9025" s="25"/>
    </row>
    <row r="9026" spans="3:11" x14ac:dyDescent="0.25">
      <c r="C9026" s="12" t="s">
        <v>25</v>
      </c>
      <c r="D9026" s="13" t="s">
        <v>26</v>
      </c>
      <c r="E9026" s="14"/>
      <c r="F9026" s="55"/>
      <c r="G9026" s="14"/>
      <c r="H9026" s="14"/>
    </row>
    <row r="9027" spans="3:11" x14ac:dyDescent="0.25">
      <c r="C9027" s="12">
        <v>1</v>
      </c>
      <c r="D9027" s="13" t="s">
        <v>1675</v>
      </c>
      <c r="E9027" s="53" t="s">
        <v>1542</v>
      </c>
      <c r="F9027" s="115">
        <v>1.1000000000000001</v>
      </c>
      <c r="G9027" s="19">
        <f>VLOOKUP(D9027,upahbahan,3,FALSE)</f>
        <v>270000</v>
      </c>
      <c r="H9027" s="19">
        <f t="shared" ref="H9027" si="956">F9027*G9027</f>
        <v>297000</v>
      </c>
    </row>
    <row r="9028" spans="3:11" x14ac:dyDescent="0.3">
      <c r="C9028" s="21" t="s">
        <v>29</v>
      </c>
      <c r="D9028" s="22"/>
      <c r="E9028" s="22" t="s">
        <v>1340</v>
      </c>
      <c r="F9028" s="22"/>
      <c r="G9028" s="28"/>
      <c r="H9028" s="19">
        <f>SUM(H9026:H9027)</f>
        <v>297000</v>
      </c>
    </row>
    <row r="9029" spans="3:11" x14ac:dyDescent="0.25">
      <c r="C9029" s="12" t="s">
        <v>30</v>
      </c>
      <c r="D9029" s="13" t="s">
        <v>31</v>
      </c>
      <c r="E9029" s="14"/>
      <c r="F9029" s="14"/>
      <c r="G9029" s="14"/>
      <c r="H9029" s="14"/>
    </row>
    <row r="9030" spans="3:11" x14ac:dyDescent="0.3">
      <c r="C9030" s="21" t="s">
        <v>32</v>
      </c>
      <c r="D9030" s="77"/>
      <c r="E9030" s="77"/>
      <c r="F9030" s="77"/>
      <c r="G9030" s="28"/>
      <c r="H9030" s="29">
        <f>SUM(H9029:H9029)</f>
        <v>0</v>
      </c>
    </row>
    <row r="9031" spans="3:11" x14ac:dyDescent="0.3">
      <c r="C9031" s="30" t="s">
        <v>33</v>
      </c>
      <c r="D9031" s="31" t="s">
        <v>34</v>
      </c>
      <c r="E9031" s="32"/>
      <c r="F9031" s="32"/>
      <c r="G9031" s="33"/>
      <c r="H9031" s="46">
        <f>H9030+H9028+H9025</f>
        <v>490990</v>
      </c>
      <c r="I9031" s="47"/>
    </row>
    <row r="9032" spans="3:11" x14ac:dyDescent="0.3">
      <c r="C9032" s="30" t="s">
        <v>35</v>
      </c>
      <c r="D9032" s="31" t="s">
        <v>36</v>
      </c>
      <c r="E9032" s="32"/>
      <c r="F9032" s="33"/>
      <c r="G9032" s="34">
        <f>$M$9</f>
        <v>0.1</v>
      </c>
      <c r="H9032" s="19">
        <f>H9031*G9032</f>
        <v>49099</v>
      </c>
      <c r="I9032" s="47"/>
    </row>
    <row r="9033" spans="3:11" x14ac:dyDescent="0.3">
      <c r="C9033" s="30" t="s">
        <v>37</v>
      </c>
      <c r="D9033" s="31" t="s">
        <v>38</v>
      </c>
      <c r="E9033" s="32"/>
      <c r="F9033" s="32"/>
      <c r="G9033" s="33"/>
      <c r="H9033" s="48">
        <f>SUM(H9031:H9032)</f>
        <v>540089</v>
      </c>
      <c r="I9033" s="47"/>
    </row>
    <row r="9035" spans="3:11" x14ac:dyDescent="0.3">
      <c r="C9035" s="40" t="s">
        <v>1676</v>
      </c>
      <c r="D9035" s="68" t="s">
        <v>1677</v>
      </c>
      <c r="E9035" s="44"/>
      <c r="F9035" s="44"/>
      <c r="G9035" s="44"/>
      <c r="H9035" s="44"/>
      <c r="I9035" s="10">
        <f>ROUNDDOWN(H9050,0)</f>
        <v>196504</v>
      </c>
      <c r="J9035" s="15"/>
      <c r="K9035" s="39"/>
    </row>
    <row r="9036" spans="3:11" ht="27.6" x14ac:dyDescent="0.3">
      <c r="C9036" s="11" t="s">
        <v>9</v>
      </c>
      <c r="D9036" s="11" t="s">
        <v>10</v>
      </c>
      <c r="E9036" s="11" t="s">
        <v>11</v>
      </c>
      <c r="F9036" s="11" t="s">
        <v>12</v>
      </c>
      <c r="G9036" s="11" t="s">
        <v>13</v>
      </c>
      <c r="H9036" s="11" t="s">
        <v>14</v>
      </c>
    </row>
    <row r="9037" spans="3:11" x14ac:dyDescent="0.25">
      <c r="C9037" s="12" t="s">
        <v>15</v>
      </c>
      <c r="D9037" s="13" t="s">
        <v>16</v>
      </c>
      <c r="E9037" s="14"/>
      <c r="F9037" s="14"/>
      <c r="G9037" s="14"/>
      <c r="H9037" s="14"/>
    </row>
    <row r="9038" spans="3:11" x14ac:dyDescent="0.3">
      <c r="C9038" s="16">
        <v>1</v>
      </c>
      <c r="D9038" s="13" t="s">
        <v>18</v>
      </c>
      <c r="E9038" s="17" t="s">
        <v>19</v>
      </c>
      <c r="F9038" s="18">
        <v>6.4000000000000001E-2</v>
      </c>
      <c r="G9038" s="19">
        <f>VLOOKUP(D9038,upahbahan,3,FALSE)</f>
        <v>100000</v>
      </c>
      <c r="H9038" s="19">
        <f t="shared" ref="H9038:H9041" si="957">F9038*G9038</f>
        <v>6400</v>
      </c>
    </row>
    <row r="9039" spans="3:11" x14ac:dyDescent="0.3">
      <c r="C9039" s="16">
        <v>2</v>
      </c>
      <c r="D9039" s="13" t="s">
        <v>21</v>
      </c>
      <c r="E9039" s="17" t="s">
        <v>19</v>
      </c>
      <c r="F9039" s="18">
        <v>0.107</v>
      </c>
      <c r="G9039" s="19">
        <f>VLOOKUP(D9039,upahbahan,3,FALSE)</f>
        <v>145000</v>
      </c>
      <c r="H9039" s="19">
        <f t="shared" si="957"/>
        <v>15515</v>
      </c>
    </row>
    <row r="9040" spans="3:11" x14ac:dyDescent="0.3">
      <c r="C9040" s="16">
        <v>3</v>
      </c>
      <c r="D9040" s="13" t="s">
        <v>1224</v>
      </c>
      <c r="E9040" s="17" t="s">
        <v>19</v>
      </c>
      <c r="F9040" s="18">
        <v>1.0999999999999999E-2</v>
      </c>
      <c r="G9040" s="19">
        <f>VLOOKUP(D9040,upahbahan,3,FALSE)</f>
        <v>175000</v>
      </c>
      <c r="H9040" s="19">
        <f t="shared" si="957"/>
        <v>1925</v>
      </c>
    </row>
    <row r="9041" spans="3:11" x14ac:dyDescent="0.3">
      <c r="C9041" s="16">
        <v>4</v>
      </c>
      <c r="D9041" s="13" t="s">
        <v>23</v>
      </c>
      <c r="E9041" s="17" t="s">
        <v>19</v>
      </c>
      <c r="F9041" s="18">
        <v>4.0000000000000001E-3</v>
      </c>
      <c r="G9041" s="19">
        <f>VLOOKUP(D9041,upahbahan,3,FALSE)</f>
        <v>200000</v>
      </c>
      <c r="H9041" s="19">
        <f t="shared" si="957"/>
        <v>800</v>
      </c>
    </row>
    <row r="9042" spans="3:11" x14ac:dyDescent="0.3">
      <c r="C9042" s="21" t="s">
        <v>24</v>
      </c>
      <c r="D9042" s="22"/>
      <c r="E9042" s="22"/>
      <c r="F9042" s="54"/>
      <c r="G9042" s="24"/>
      <c r="H9042" s="19">
        <f>SUM(H9038:H9041)</f>
        <v>24640</v>
      </c>
      <c r="I9042" s="25"/>
    </row>
    <row r="9043" spans="3:11" x14ac:dyDescent="0.25">
      <c r="C9043" s="12" t="s">
        <v>25</v>
      </c>
      <c r="D9043" s="13" t="s">
        <v>26</v>
      </c>
      <c r="E9043" s="14"/>
      <c r="F9043" s="55"/>
      <c r="G9043" s="14"/>
      <c r="H9043" s="14"/>
    </row>
    <row r="9044" spans="3:11" x14ac:dyDescent="0.25">
      <c r="C9044" s="12">
        <v>1</v>
      </c>
      <c r="D9044" s="13" t="s">
        <v>1678</v>
      </c>
      <c r="E9044" s="53" t="s">
        <v>1542</v>
      </c>
      <c r="F9044" s="115">
        <v>1.1000000000000001</v>
      </c>
      <c r="G9044" s="19">
        <f>VLOOKUP(D9044,upahbahan,3,FALSE)</f>
        <v>140000</v>
      </c>
      <c r="H9044" s="19">
        <f t="shared" ref="H9044" si="958">F9044*G9044</f>
        <v>154000</v>
      </c>
    </row>
    <row r="9045" spans="3:11" x14ac:dyDescent="0.3">
      <c r="C9045" s="21" t="s">
        <v>29</v>
      </c>
      <c r="D9045" s="22"/>
      <c r="E9045" s="22" t="s">
        <v>1340</v>
      </c>
      <c r="F9045" s="22"/>
      <c r="G9045" s="28"/>
      <c r="H9045" s="19">
        <f>SUM(H9043:H9044)</f>
        <v>154000</v>
      </c>
    </row>
    <row r="9046" spans="3:11" x14ac:dyDescent="0.25">
      <c r="C9046" s="12" t="s">
        <v>30</v>
      </c>
      <c r="D9046" s="13" t="s">
        <v>31</v>
      </c>
      <c r="E9046" s="14"/>
      <c r="F9046" s="14"/>
      <c r="G9046" s="14"/>
      <c r="H9046" s="14"/>
    </row>
    <row r="9047" spans="3:11" x14ac:dyDescent="0.3">
      <c r="C9047" s="21" t="s">
        <v>32</v>
      </c>
      <c r="D9047" s="77"/>
      <c r="E9047" s="77"/>
      <c r="F9047" s="77"/>
      <c r="G9047" s="28"/>
      <c r="H9047" s="29">
        <f>SUM(H9046:H9046)</f>
        <v>0</v>
      </c>
    </row>
    <row r="9048" spans="3:11" x14ac:dyDescent="0.3">
      <c r="C9048" s="30" t="s">
        <v>33</v>
      </c>
      <c r="D9048" s="31" t="s">
        <v>34</v>
      </c>
      <c r="E9048" s="32"/>
      <c r="F9048" s="32"/>
      <c r="G9048" s="33"/>
      <c r="H9048" s="46">
        <f>H9047+H9045+H9042</f>
        <v>178640</v>
      </c>
      <c r="I9048" s="47"/>
    </row>
    <row r="9049" spans="3:11" x14ac:dyDescent="0.3">
      <c r="C9049" s="30" t="s">
        <v>35</v>
      </c>
      <c r="D9049" s="31" t="s">
        <v>36</v>
      </c>
      <c r="E9049" s="32"/>
      <c r="F9049" s="33"/>
      <c r="G9049" s="34">
        <f>$M$9</f>
        <v>0.1</v>
      </c>
      <c r="H9049" s="19">
        <f>H9048*G9049</f>
        <v>17864</v>
      </c>
      <c r="I9049" s="47"/>
    </row>
    <row r="9050" spans="3:11" x14ac:dyDescent="0.3">
      <c r="C9050" s="30" t="s">
        <v>37</v>
      </c>
      <c r="D9050" s="31" t="s">
        <v>38</v>
      </c>
      <c r="E9050" s="32"/>
      <c r="F9050" s="32"/>
      <c r="G9050" s="33"/>
      <c r="H9050" s="48">
        <f>SUM(H9048:H9049)</f>
        <v>196504</v>
      </c>
      <c r="I9050" s="47"/>
    </row>
    <row r="9053" spans="3:11" x14ac:dyDescent="0.3">
      <c r="C9053" s="40" t="s">
        <v>1679</v>
      </c>
      <c r="D9053" s="68" t="s">
        <v>1680</v>
      </c>
      <c r="E9053" s="44"/>
      <c r="F9053" s="44"/>
      <c r="G9053" s="44"/>
      <c r="H9053" s="44"/>
      <c r="I9053" s="10">
        <f>ROUNDDOWN(H9068,0)</f>
        <v>220704</v>
      </c>
      <c r="J9053" s="15"/>
      <c r="K9053" s="39"/>
    </row>
    <row r="9054" spans="3:11" ht="27.6" x14ac:dyDescent="0.3">
      <c r="C9054" s="11" t="s">
        <v>9</v>
      </c>
      <c r="D9054" s="11" t="s">
        <v>10</v>
      </c>
      <c r="E9054" s="11" t="s">
        <v>11</v>
      </c>
      <c r="F9054" s="11" t="s">
        <v>12</v>
      </c>
      <c r="G9054" s="11" t="s">
        <v>13</v>
      </c>
      <c r="H9054" s="11" t="s">
        <v>14</v>
      </c>
    </row>
    <row r="9055" spans="3:11" x14ac:dyDescent="0.25">
      <c r="C9055" s="12" t="s">
        <v>15</v>
      </c>
      <c r="D9055" s="13" t="s">
        <v>16</v>
      </c>
      <c r="E9055" s="14"/>
      <c r="F9055" s="14"/>
      <c r="G9055" s="14"/>
      <c r="H9055" s="14"/>
    </row>
    <row r="9056" spans="3:11" x14ac:dyDescent="0.3">
      <c r="C9056" s="16">
        <v>1</v>
      </c>
      <c r="D9056" s="13" t="s">
        <v>18</v>
      </c>
      <c r="E9056" s="17" t="s">
        <v>19</v>
      </c>
      <c r="F9056" s="18">
        <v>6.4000000000000001E-2</v>
      </c>
      <c r="G9056" s="19">
        <f>VLOOKUP(D9056,upahbahan,3,FALSE)</f>
        <v>100000</v>
      </c>
      <c r="H9056" s="19">
        <f t="shared" ref="H9056:H9059" si="959">F9056*G9056</f>
        <v>6400</v>
      </c>
    </row>
    <row r="9057" spans="3:11" x14ac:dyDescent="0.3">
      <c r="C9057" s="16">
        <v>2</v>
      </c>
      <c r="D9057" s="13" t="s">
        <v>21</v>
      </c>
      <c r="E9057" s="17" t="s">
        <v>19</v>
      </c>
      <c r="F9057" s="18">
        <v>0.107</v>
      </c>
      <c r="G9057" s="19">
        <f>VLOOKUP(D9057,upahbahan,3,FALSE)</f>
        <v>145000</v>
      </c>
      <c r="H9057" s="19">
        <f t="shared" si="959"/>
        <v>15515</v>
      </c>
    </row>
    <row r="9058" spans="3:11" x14ac:dyDescent="0.3">
      <c r="C9058" s="16">
        <v>3</v>
      </c>
      <c r="D9058" s="13" t="s">
        <v>1224</v>
      </c>
      <c r="E9058" s="17" t="s">
        <v>19</v>
      </c>
      <c r="F9058" s="18">
        <v>1.0999999999999999E-2</v>
      </c>
      <c r="G9058" s="19">
        <f>VLOOKUP(D9058,upahbahan,3,FALSE)</f>
        <v>175000</v>
      </c>
      <c r="H9058" s="19">
        <f t="shared" si="959"/>
        <v>1925</v>
      </c>
    </row>
    <row r="9059" spans="3:11" x14ac:dyDescent="0.3">
      <c r="C9059" s="16">
        <v>4</v>
      </c>
      <c r="D9059" s="13" t="s">
        <v>23</v>
      </c>
      <c r="E9059" s="17" t="s">
        <v>19</v>
      </c>
      <c r="F9059" s="18">
        <v>4.0000000000000001E-3</v>
      </c>
      <c r="G9059" s="19">
        <f>VLOOKUP(D9059,upahbahan,3,FALSE)</f>
        <v>200000</v>
      </c>
      <c r="H9059" s="19">
        <f t="shared" si="959"/>
        <v>800</v>
      </c>
    </row>
    <row r="9060" spans="3:11" x14ac:dyDescent="0.3">
      <c r="C9060" s="21" t="s">
        <v>24</v>
      </c>
      <c r="D9060" s="22"/>
      <c r="E9060" s="22"/>
      <c r="F9060" s="54"/>
      <c r="G9060" s="24"/>
      <c r="H9060" s="19">
        <f>SUM(H9056:H9059)</f>
        <v>24640</v>
      </c>
      <c r="I9060" s="25"/>
    </row>
    <row r="9061" spans="3:11" x14ac:dyDescent="0.25">
      <c r="C9061" s="12" t="s">
        <v>25</v>
      </c>
      <c r="D9061" s="13" t="s">
        <v>26</v>
      </c>
      <c r="E9061" s="14"/>
      <c r="F9061" s="55"/>
      <c r="G9061" s="14"/>
      <c r="H9061" s="14"/>
    </row>
    <row r="9062" spans="3:11" x14ac:dyDescent="0.25">
      <c r="C9062" s="12">
        <v>1</v>
      </c>
      <c r="D9062" s="13" t="s">
        <v>1681</v>
      </c>
      <c r="E9062" s="53" t="s">
        <v>1542</v>
      </c>
      <c r="F9062" s="115">
        <v>1.1000000000000001</v>
      </c>
      <c r="G9062" s="19">
        <f>VLOOKUP(D9062,upahbahan,3,FALSE)</f>
        <v>160000</v>
      </c>
      <c r="H9062" s="19">
        <f t="shared" ref="H9062" si="960">F9062*G9062</f>
        <v>176000</v>
      </c>
    </row>
    <row r="9063" spans="3:11" x14ac:dyDescent="0.3">
      <c r="C9063" s="21" t="s">
        <v>29</v>
      </c>
      <c r="D9063" s="22"/>
      <c r="E9063" s="22" t="s">
        <v>1340</v>
      </c>
      <c r="F9063" s="22"/>
      <c r="G9063" s="28"/>
      <c r="H9063" s="19">
        <f>SUM(H9061:H9062)</f>
        <v>176000</v>
      </c>
    </row>
    <row r="9064" spans="3:11" x14ac:dyDescent="0.25">
      <c r="C9064" s="12" t="s">
        <v>30</v>
      </c>
      <c r="D9064" s="13" t="s">
        <v>31</v>
      </c>
      <c r="E9064" s="14"/>
      <c r="F9064" s="14"/>
      <c r="G9064" s="14"/>
      <c r="H9064" s="14"/>
    </row>
    <row r="9065" spans="3:11" x14ac:dyDescent="0.3">
      <c r="C9065" s="21" t="s">
        <v>32</v>
      </c>
      <c r="D9065" s="77"/>
      <c r="E9065" s="77"/>
      <c r="F9065" s="77"/>
      <c r="G9065" s="28"/>
      <c r="H9065" s="29">
        <f>SUM(H9064:H9064)</f>
        <v>0</v>
      </c>
    </row>
    <row r="9066" spans="3:11" x14ac:dyDescent="0.3">
      <c r="C9066" s="30" t="s">
        <v>33</v>
      </c>
      <c r="D9066" s="31" t="s">
        <v>34</v>
      </c>
      <c r="E9066" s="32"/>
      <c r="F9066" s="32"/>
      <c r="G9066" s="33"/>
      <c r="H9066" s="46">
        <f>H9065+H9063+H9060</f>
        <v>200640</v>
      </c>
      <c r="I9066" s="47"/>
    </row>
    <row r="9067" spans="3:11" x14ac:dyDescent="0.3">
      <c r="C9067" s="30" t="s">
        <v>35</v>
      </c>
      <c r="D9067" s="31" t="s">
        <v>36</v>
      </c>
      <c r="E9067" s="32"/>
      <c r="F9067" s="33"/>
      <c r="G9067" s="34">
        <f>$M$9</f>
        <v>0.1</v>
      </c>
      <c r="H9067" s="19">
        <f>H9066*G9067</f>
        <v>20064</v>
      </c>
      <c r="I9067" s="47"/>
    </row>
    <row r="9068" spans="3:11" x14ac:dyDescent="0.3">
      <c r="C9068" s="30" t="s">
        <v>37</v>
      </c>
      <c r="D9068" s="31" t="s">
        <v>38</v>
      </c>
      <c r="E9068" s="32"/>
      <c r="F9068" s="32"/>
      <c r="G9068" s="33"/>
      <c r="H9068" s="48">
        <f>SUM(H9066:H9067)</f>
        <v>220704</v>
      </c>
      <c r="I9068" s="47"/>
    </row>
    <row r="9070" spans="3:11" x14ac:dyDescent="0.3">
      <c r="C9070" s="40" t="s">
        <v>1682</v>
      </c>
      <c r="D9070" s="68" t="s">
        <v>1683</v>
      </c>
      <c r="E9070" s="44"/>
      <c r="F9070" s="44"/>
      <c r="G9070" s="44"/>
      <c r="H9070" s="44"/>
      <c r="I9070" s="10">
        <f>ROUNDDOWN(H9085,0)</f>
        <v>269104</v>
      </c>
      <c r="J9070" s="15"/>
      <c r="K9070" s="39"/>
    </row>
    <row r="9071" spans="3:11" ht="27.6" x14ac:dyDescent="0.3">
      <c r="C9071" s="11" t="s">
        <v>9</v>
      </c>
      <c r="D9071" s="11" t="s">
        <v>10</v>
      </c>
      <c r="E9071" s="11" t="s">
        <v>11</v>
      </c>
      <c r="F9071" s="11" t="s">
        <v>12</v>
      </c>
      <c r="G9071" s="11" t="s">
        <v>13</v>
      </c>
      <c r="H9071" s="11" t="s">
        <v>14</v>
      </c>
    </row>
    <row r="9072" spans="3:11" x14ac:dyDescent="0.25">
      <c r="C9072" s="12" t="s">
        <v>15</v>
      </c>
      <c r="D9072" s="13" t="s">
        <v>16</v>
      </c>
      <c r="E9072" s="14"/>
      <c r="F9072" s="14"/>
      <c r="G9072" s="14"/>
      <c r="H9072" s="14"/>
    </row>
    <row r="9073" spans="3:11" x14ac:dyDescent="0.3">
      <c r="C9073" s="16">
        <v>1</v>
      </c>
      <c r="D9073" s="13" t="s">
        <v>18</v>
      </c>
      <c r="E9073" s="17" t="s">
        <v>19</v>
      </c>
      <c r="F9073" s="18">
        <v>6.4000000000000001E-2</v>
      </c>
      <c r="G9073" s="19">
        <f>VLOOKUP(D9073,upahbahan,3,FALSE)</f>
        <v>100000</v>
      </c>
      <c r="H9073" s="19">
        <f t="shared" ref="H9073:H9076" si="961">F9073*G9073</f>
        <v>6400</v>
      </c>
    </row>
    <row r="9074" spans="3:11" x14ac:dyDescent="0.3">
      <c r="C9074" s="16">
        <v>2</v>
      </c>
      <c r="D9074" s="13" t="s">
        <v>21</v>
      </c>
      <c r="E9074" s="17" t="s">
        <v>19</v>
      </c>
      <c r="F9074" s="18">
        <v>0.107</v>
      </c>
      <c r="G9074" s="19">
        <f>VLOOKUP(D9074,upahbahan,3,FALSE)</f>
        <v>145000</v>
      </c>
      <c r="H9074" s="19">
        <f t="shared" si="961"/>
        <v>15515</v>
      </c>
    </row>
    <row r="9075" spans="3:11" x14ac:dyDescent="0.3">
      <c r="C9075" s="16">
        <v>3</v>
      </c>
      <c r="D9075" s="13" t="s">
        <v>1224</v>
      </c>
      <c r="E9075" s="17" t="s">
        <v>19</v>
      </c>
      <c r="F9075" s="18">
        <v>1.0999999999999999E-2</v>
      </c>
      <c r="G9075" s="19">
        <f>VLOOKUP(D9075,upahbahan,3,FALSE)</f>
        <v>175000</v>
      </c>
      <c r="H9075" s="19">
        <f t="shared" si="961"/>
        <v>1925</v>
      </c>
    </row>
    <row r="9076" spans="3:11" x14ac:dyDescent="0.3">
      <c r="C9076" s="16">
        <v>4</v>
      </c>
      <c r="D9076" s="13" t="s">
        <v>23</v>
      </c>
      <c r="E9076" s="17" t="s">
        <v>19</v>
      </c>
      <c r="F9076" s="18">
        <v>4.0000000000000001E-3</v>
      </c>
      <c r="G9076" s="19">
        <f>VLOOKUP(D9076,upahbahan,3,FALSE)</f>
        <v>200000</v>
      </c>
      <c r="H9076" s="19">
        <f t="shared" si="961"/>
        <v>800</v>
      </c>
    </row>
    <row r="9077" spans="3:11" x14ac:dyDescent="0.3">
      <c r="C9077" s="21" t="s">
        <v>24</v>
      </c>
      <c r="D9077" s="22"/>
      <c r="E9077" s="22"/>
      <c r="F9077" s="54"/>
      <c r="G9077" s="24"/>
      <c r="H9077" s="19">
        <f>SUM(H9073:H9076)</f>
        <v>24640</v>
      </c>
      <c r="I9077" s="25"/>
    </row>
    <row r="9078" spans="3:11" x14ac:dyDescent="0.25">
      <c r="C9078" s="12" t="s">
        <v>25</v>
      </c>
      <c r="D9078" s="13" t="s">
        <v>26</v>
      </c>
      <c r="E9078" s="14"/>
      <c r="F9078" s="55"/>
      <c r="G9078" s="14"/>
      <c r="H9078" s="14"/>
    </row>
    <row r="9079" spans="3:11" x14ac:dyDescent="0.25">
      <c r="C9079" s="12">
        <v>1</v>
      </c>
      <c r="D9079" s="13" t="s">
        <v>1684</v>
      </c>
      <c r="E9079" s="53" t="s">
        <v>1542</v>
      </c>
      <c r="F9079" s="115">
        <v>1.1000000000000001</v>
      </c>
      <c r="G9079" s="19">
        <f>VLOOKUP(D9079,upahbahan,3,FALSE)</f>
        <v>200000</v>
      </c>
      <c r="H9079" s="19">
        <f t="shared" ref="H9079" si="962">F9079*G9079</f>
        <v>220000.00000000003</v>
      </c>
    </row>
    <row r="9080" spans="3:11" x14ac:dyDescent="0.3">
      <c r="C9080" s="21" t="s">
        <v>29</v>
      </c>
      <c r="D9080" s="22"/>
      <c r="E9080" s="22" t="s">
        <v>1340</v>
      </c>
      <c r="F9080" s="22"/>
      <c r="G9080" s="28"/>
      <c r="H9080" s="19">
        <f>SUM(H9078:H9079)</f>
        <v>220000.00000000003</v>
      </c>
    </row>
    <row r="9081" spans="3:11" x14ac:dyDescent="0.25">
      <c r="C9081" s="12" t="s">
        <v>30</v>
      </c>
      <c r="D9081" s="13" t="s">
        <v>31</v>
      </c>
      <c r="E9081" s="14"/>
      <c r="F9081" s="14"/>
      <c r="G9081" s="14"/>
      <c r="H9081" s="14"/>
    </row>
    <row r="9082" spans="3:11" x14ac:dyDescent="0.3">
      <c r="C9082" s="21" t="s">
        <v>32</v>
      </c>
      <c r="D9082" s="77"/>
      <c r="E9082" s="77"/>
      <c r="F9082" s="77"/>
      <c r="G9082" s="28"/>
      <c r="H9082" s="29">
        <f>SUM(H9081:H9081)</f>
        <v>0</v>
      </c>
    </row>
    <row r="9083" spans="3:11" x14ac:dyDescent="0.3">
      <c r="C9083" s="30" t="s">
        <v>33</v>
      </c>
      <c r="D9083" s="31" t="s">
        <v>34</v>
      </c>
      <c r="E9083" s="32"/>
      <c r="F9083" s="32"/>
      <c r="G9083" s="33"/>
      <c r="H9083" s="46">
        <f>H9082+H9080+H9077</f>
        <v>244640.00000000003</v>
      </c>
      <c r="I9083" s="47"/>
    </row>
    <row r="9084" spans="3:11" x14ac:dyDescent="0.3">
      <c r="C9084" s="30" t="s">
        <v>35</v>
      </c>
      <c r="D9084" s="31" t="s">
        <v>36</v>
      </c>
      <c r="E9084" s="32"/>
      <c r="F9084" s="33"/>
      <c r="G9084" s="34">
        <f>$M$9</f>
        <v>0.1</v>
      </c>
      <c r="H9084" s="19">
        <f>H9083*G9084</f>
        <v>24464.000000000004</v>
      </c>
      <c r="I9084" s="47"/>
    </row>
    <row r="9085" spans="3:11" x14ac:dyDescent="0.3">
      <c r="C9085" s="30" t="s">
        <v>37</v>
      </c>
      <c r="D9085" s="31" t="s">
        <v>38</v>
      </c>
      <c r="E9085" s="32"/>
      <c r="F9085" s="32"/>
      <c r="G9085" s="33"/>
      <c r="H9085" s="48">
        <f>SUM(H9083:H9084)</f>
        <v>269104.00000000006</v>
      </c>
      <c r="I9085" s="47"/>
    </row>
    <row r="9087" spans="3:11" x14ac:dyDescent="0.3">
      <c r="C9087" s="40" t="s">
        <v>1685</v>
      </c>
      <c r="D9087" s="68" t="s">
        <v>1686</v>
      </c>
      <c r="E9087" s="44"/>
      <c r="F9087" s="44"/>
      <c r="G9087" s="44"/>
      <c r="H9087" s="44"/>
      <c r="I9087" s="10">
        <f>ROUNDDOWN(H9102,0)</f>
        <v>305404</v>
      </c>
      <c r="J9087" s="15"/>
      <c r="K9087" s="39"/>
    </row>
    <row r="9088" spans="3:11" ht="27.6" x14ac:dyDescent="0.3">
      <c r="C9088" s="11" t="s">
        <v>9</v>
      </c>
      <c r="D9088" s="11" t="s">
        <v>10</v>
      </c>
      <c r="E9088" s="11" t="s">
        <v>11</v>
      </c>
      <c r="F9088" s="11" t="s">
        <v>12</v>
      </c>
      <c r="G9088" s="11" t="s">
        <v>13</v>
      </c>
      <c r="H9088" s="11" t="s">
        <v>14</v>
      </c>
    </row>
    <row r="9089" spans="3:11" x14ac:dyDescent="0.25">
      <c r="C9089" s="12" t="s">
        <v>15</v>
      </c>
      <c r="D9089" s="13" t="s">
        <v>16</v>
      </c>
      <c r="E9089" s="14"/>
      <c r="F9089" s="14"/>
      <c r="G9089" s="14"/>
      <c r="H9089" s="14"/>
    </row>
    <row r="9090" spans="3:11" x14ac:dyDescent="0.3">
      <c r="C9090" s="16">
        <v>1</v>
      </c>
      <c r="D9090" s="13" t="s">
        <v>18</v>
      </c>
      <c r="E9090" s="17" t="s">
        <v>19</v>
      </c>
      <c r="F9090" s="18">
        <v>6.4000000000000001E-2</v>
      </c>
      <c r="G9090" s="19">
        <f>VLOOKUP(D9090,upahbahan,3,FALSE)</f>
        <v>100000</v>
      </c>
      <c r="H9090" s="19">
        <f t="shared" ref="H9090:H9093" si="963">F9090*G9090</f>
        <v>6400</v>
      </c>
    </row>
    <row r="9091" spans="3:11" x14ac:dyDescent="0.3">
      <c r="C9091" s="16">
        <v>2</v>
      </c>
      <c r="D9091" s="13" t="s">
        <v>21</v>
      </c>
      <c r="E9091" s="17" t="s">
        <v>19</v>
      </c>
      <c r="F9091" s="18">
        <v>0.107</v>
      </c>
      <c r="G9091" s="19">
        <f>VLOOKUP(D9091,upahbahan,3,FALSE)</f>
        <v>145000</v>
      </c>
      <c r="H9091" s="19">
        <f t="shared" si="963"/>
        <v>15515</v>
      </c>
    </row>
    <row r="9092" spans="3:11" x14ac:dyDescent="0.3">
      <c r="C9092" s="16">
        <v>3</v>
      </c>
      <c r="D9092" s="13" t="s">
        <v>1224</v>
      </c>
      <c r="E9092" s="17" t="s">
        <v>19</v>
      </c>
      <c r="F9092" s="18">
        <v>1.0999999999999999E-2</v>
      </c>
      <c r="G9092" s="19">
        <f>VLOOKUP(D9092,upahbahan,3,FALSE)</f>
        <v>175000</v>
      </c>
      <c r="H9092" s="19">
        <f t="shared" si="963"/>
        <v>1925</v>
      </c>
    </row>
    <row r="9093" spans="3:11" x14ac:dyDescent="0.3">
      <c r="C9093" s="16">
        <v>4</v>
      </c>
      <c r="D9093" s="13" t="s">
        <v>23</v>
      </c>
      <c r="E9093" s="17" t="s">
        <v>19</v>
      </c>
      <c r="F9093" s="18">
        <v>4.0000000000000001E-3</v>
      </c>
      <c r="G9093" s="19">
        <f>VLOOKUP(D9093,upahbahan,3,FALSE)</f>
        <v>200000</v>
      </c>
      <c r="H9093" s="19">
        <f t="shared" si="963"/>
        <v>800</v>
      </c>
    </row>
    <row r="9094" spans="3:11" x14ac:dyDescent="0.3">
      <c r="C9094" s="21" t="s">
        <v>24</v>
      </c>
      <c r="D9094" s="22"/>
      <c r="E9094" s="22"/>
      <c r="F9094" s="54"/>
      <c r="G9094" s="24"/>
      <c r="H9094" s="19">
        <f>SUM(H9090:H9093)</f>
        <v>24640</v>
      </c>
      <c r="I9094" s="25"/>
    </row>
    <row r="9095" spans="3:11" x14ac:dyDescent="0.25">
      <c r="C9095" s="12" t="s">
        <v>25</v>
      </c>
      <c r="D9095" s="13" t="s">
        <v>26</v>
      </c>
      <c r="E9095" s="14"/>
      <c r="F9095" s="55"/>
      <c r="G9095" s="14"/>
      <c r="H9095" s="14"/>
    </row>
    <row r="9096" spans="3:11" x14ac:dyDescent="0.25">
      <c r="C9096" s="12">
        <v>1</v>
      </c>
      <c r="D9096" s="13" t="s">
        <v>1687</v>
      </c>
      <c r="E9096" s="53" t="s">
        <v>1542</v>
      </c>
      <c r="F9096" s="115">
        <v>1.1000000000000001</v>
      </c>
      <c r="G9096" s="19">
        <f>VLOOKUP(D9096,upahbahan,3,FALSE)</f>
        <v>230000</v>
      </c>
      <c r="H9096" s="19">
        <f t="shared" ref="H9096" si="964">F9096*G9096</f>
        <v>253000.00000000003</v>
      </c>
    </row>
    <row r="9097" spans="3:11" x14ac:dyDescent="0.3">
      <c r="C9097" s="21" t="s">
        <v>29</v>
      </c>
      <c r="D9097" s="22"/>
      <c r="E9097" s="22" t="s">
        <v>1340</v>
      </c>
      <c r="F9097" s="22"/>
      <c r="G9097" s="28"/>
      <c r="H9097" s="19">
        <f>SUM(H9095:H9096)</f>
        <v>253000.00000000003</v>
      </c>
    </row>
    <row r="9098" spans="3:11" x14ac:dyDescent="0.25">
      <c r="C9098" s="12" t="s">
        <v>30</v>
      </c>
      <c r="D9098" s="13" t="s">
        <v>31</v>
      </c>
      <c r="E9098" s="14"/>
      <c r="F9098" s="14"/>
      <c r="G9098" s="14"/>
      <c r="H9098" s="14"/>
    </row>
    <row r="9099" spans="3:11" x14ac:dyDescent="0.3">
      <c r="C9099" s="21" t="s">
        <v>32</v>
      </c>
      <c r="D9099" s="77"/>
      <c r="E9099" s="77"/>
      <c r="F9099" s="77"/>
      <c r="G9099" s="28"/>
      <c r="H9099" s="29">
        <f>SUM(H9098:H9098)</f>
        <v>0</v>
      </c>
    </row>
    <row r="9100" spans="3:11" x14ac:dyDescent="0.3">
      <c r="C9100" s="30" t="s">
        <v>33</v>
      </c>
      <c r="D9100" s="31" t="s">
        <v>34</v>
      </c>
      <c r="E9100" s="32"/>
      <c r="F9100" s="32"/>
      <c r="G9100" s="33"/>
      <c r="H9100" s="46">
        <f>H9099+H9097+H9094</f>
        <v>277640</v>
      </c>
      <c r="I9100" s="47"/>
    </row>
    <row r="9101" spans="3:11" x14ac:dyDescent="0.3">
      <c r="C9101" s="30" t="s">
        <v>35</v>
      </c>
      <c r="D9101" s="31" t="s">
        <v>36</v>
      </c>
      <c r="E9101" s="32"/>
      <c r="F9101" s="33"/>
      <c r="G9101" s="34">
        <f>$M$9</f>
        <v>0.1</v>
      </c>
      <c r="H9101" s="19">
        <f>H9100*G9101</f>
        <v>27764</v>
      </c>
      <c r="I9101" s="47"/>
    </row>
    <row r="9102" spans="3:11" x14ac:dyDescent="0.3">
      <c r="C9102" s="30" t="s">
        <v>37</v>
      </c>
      <c r="D9102" s="31" t="s">
        <v>38</v>
      </c>
      <c r="E9102" s="32"/>
      <c r="F9102" s="32"/>
      <c r="G9102" s="33"/>
      <c r="H9102" s="48">
        <f>SUM(H9100:H9101)</f>
        <v>305404</v>
      </c>
      <c r="I9102" s="47"/>
    </row>
    <row r="9104" spans="3:11" x14ac:dyDescent="0.3">
      <c r="C9104" s="40" t="s">
        <v>1688</v>
      </c>
      <c r="D9104" s="68" t="s">
        <v>1689</v>
      </c>
      <c r="E9104" s="44"/>
      <c r="F9104" s="44"/>
      <c r="G9104" s="44"/>
      <c r="H9104" s="44"/>
      <c r="I9104" s="10">
        <f>ROUNDDOWN(H9119,0)</f>
        <v>394999</v>
      </c>
      <c r="J9104" s="15"/>
      <c r="K9104" s="39"/>
    </row>
    <row r="9105" spans="3:9" ht="27.6" x14ac:dyDescent="0.3">
      <c r="C9105" s="11" t="s">
        <v>9</v>
      </c>
      <c r="D9105" s="11" t="s">
        <v>10</v>
      </c>
      <c r="E9105" s="11" t="s">
        <v>11</v>
      </c>
      <c r="F9105" s="11" t="s">
        <v>12</v>
      </c>
      <c r="G9105" s="11" t="s">
        <v>13</v>
      </c>
      <c r="H9105" s="11" t="s">
        <v>14</v>
      </c>
    </row>
    <row r="9106" spans="3:9" x14ac:dyDescent="0.25">
      <c r="C9106" s="12" t="s">
        <v>15</v>
      </c>
      <c r="D9106" s="13" t="s">
        <v>16</v>
      </c>
      <c r="E9106" s="14"/>
      <c r="F9106" s="14"/>
      <c r="G9106" s="14"/>
      <c r="H9106" s="14"/>
    </row>
    <row r="9107" spans="3:9" x14ac:dyDescent="0.3">
      <c r="C9107" s="16">
        <v>1</v>
      </c>
      <c r="D9107" s="13" t="s">
        <v>18</v>
      </c>
      <c r="E9107" s="17" t="s">
        <v>19</v>
      </c>
      <c r="F9107" s="18">
        <v>7.5999999999999998E-2</v>
      </c>
      <c r="G9107" s="19">
        <f>VLOOKUP(D9107,upahbahan,3,FALSE)</f>
        <v>100000</v>
      </c>
      <c r="H9107" s="19">
        <f t="shared" ref="H9107:H9110" si="965">F9107*G9107</f>
        <v>7600</v>
      </c>
    </row>
    <row r="9108" spans="3:9" x14ac:dyDescent="0.3">
      <c r="C9108" s="16">
        <v>2</v>
      </c>
      <c r="D9108" s="13" t="s">
        <v>21</v>
      </c>
      <c r="E9108" s="17" t="s">
        <v>19</v>
      </c>
      <c r="F9108" s="18">
        <v>0.127</v>
      </c>
      <c r="G9108" s="19">
        <f>VLOOKUP(D9108,upahbahan,3,FALSE)</f>
        <v>145000</v>
      </c>
      <c r="H9108" s="19">
        <f t="shared" si="965"/>
        <v>18415</v>
      </c>
    </row>
    <row r="9109" spans="3:9" x14ac:dyDescent="0.3">
      <c r="C9109" s="16">
        <v>3</v>
      </c>
      <c r="D9109" s="13" t="s">
        <v>1224</v>
      </c>
      <c r="E9109" s="17" t="s">
        <v>19</v>
      </c>
      <c r="F9109" s="18">
        <v>1.2999999999999999E-2</v>
      </c>
      <c r="G9109" s="19">
        <f>VLOOKUP(D9109,upahbahan,3,FALSE)</f>
        <v>175000</v>
      </c>
      <c r="H9109" s="19">
        <f t="shared" si="965"/>
        <v>2275</v>
      </c>
    </row>
    <row r="9110" spans="3:9" x14ac:dyDescent="0.3">
      <c r="C9110" s="16">
        <v>4</v>
      </c>
      <c r="D9110" s="13" t="s">
        <v>23</v>
      </c>
      <c r="E9110" s="17" t="s">
        <v>19</v>
      </c>
      <c r="F9110" s="18">
        <v>4.0000000000000001E-3</v>
      </c>
      <c r="G9110" s="19">
        <f>VLOOKUP(D9110,upahbahan,3,FALSE)</f>
        <v>200000</v>
      </c>
      <c r="H9110" s="19">
        <f t="shared" si="965"/>
        <v>800</v>
      </c>
    </row>
    <row r="9111" spans="3:9" x14ac:dyDescent="0.3">
      <c r="C9111" s="21" t="s">
        <v>24</v>
      </c>
      <c r="D9111" s="22"/>
      <c r="E9111" s="22"/>
      <c r="F9111" s="54"/>
      <c r="G9111" s="24"/>
      <c r="H9111" s="19">
        <f>SUM(H9107:H9110)</f>
        <v>29090</v>
      </c>
      <c r="I9111" s="25"/>
    </row>
    <row r="9112" spans="3:9" x14ac:dyDescent="0.25">
      <c r="C9112" s="12" t="s">
        <v>25</v>
      </c>
      <c r="D9112" s="13" t="s">
        <v>26</v>
      </c>
      <c r="E9112" s="14"/>
      <c r="F9112" s="55"/>
      <c r="G9112" s="14"/>
      <c r="H9112" s="14"/>
    </row>
    <row r="9113" spans="3:9" x14ac:dyDescent="0.25">
      <c r="C9113" s="12">
        <v>1</v>
      </c>
      <c r="D9113" s="13" t="s">
        <v>1690</v>
      </c>
      <c r="E9113" s="53" t="s">
        <v>1542</v>
      </c>
      <c r="F9113" s="115">
        <v>1.1000000000000001</v>
      </c>
      <c r="G9113" s="19">
        <f>VLOOKUP(D9113,upahbahan,3,FALSE)</f>
        <v>300000</v>
      </c>
      <c r="H9113" s="19">
        <f t="shared" ref="H9113" si="966">F9113*G9113</f>
        <v>330000</v>
      </c>
    </row>
    <row r="9114" spans="3:9" x14ac:dyDescent="0.3">
      <c r="C9114" s="21" t="s">
        <v>29</v>
      </c>
      <c r="D9114" s="22"/>
      <c r="E9114" s="22" t="s">
        <v>1340</v>
      </c>
      <c r="F9114" s="22"/>
      <c r="G9114" s="28"/>
      <c r="H9114" s="19">
        <f>SUM(H9112:H9113)</f>
        <v>330000</v>
      </c>
    </row>
    <row r="9115" spans="3:9" x14ac:dyDescent="0.25">
      <c r="C9115" s="12" t="s">
        <v>30</v>
      </c>
      <c r="D9115" s="13" t="s">
        <v>31</v>
      </c>
      <c r="E9115" s="14"/>
      <c r="F9115" s="14"/>
      <c r="G9115" s="14"/>
      <c r="H9115" s="14"/>
    </row>
    <row r="9116" spans="3:9" x14ac:dyDescent="0.3">
      <c r="C9116" s="21" t="s">
        <v>32</v>
      </c>
      <c r="D9116" s="77"/>
      <c r="E9116" s="77"/>
      <c r="F9116" s="77"/>
      <c r="G9116" s="28"/>
      <c r="H9116" s="29">
        <f>SUM(H9115:H9115)</f>
        <v>0</v>
      </c>
    </row>
    <row r="9117" spans="3:9" x14ac:dyDescent="0.3">
      <c r="C9117" s="30" t="s">
        <v>33</v>
      </c>
      <c r="D9117" s="31" t="s">
        <v>34</v>
      </c>
      <c r="E9117" s="32"/>
      <c r="F9117" s="32"/>
      <c r="G9117" s="33"/>
      <c r="H9117" s="46">
        <f>H9116+H9114+H9111</f>
        <v>359090</v>
      </c>
      <c r="I9117" s="47"/>
    </row>
    <row r="9118" spans="3:9" x14ac:dyDescent="0.3">
      <c r="C9118" s="30" t="s">
        <v>35</v>
      </c>
      <c r="D9118" s="31" t="s">
        <v>36</v>
      </c>
      <c r="E9118" s="32"/>
      <c r="F9118" s="33"/>
      <c r="G9118" s="34">
        <f>$M$9</f>
        <v>0.1</v>
      </c>
      <c r="H9118" s="19">
        <f>H9117*G9118</f>
        <v>35909</v>
      </c>
      <c r="I9118" s="47"/>
    </row>
    <row r="9119" spans="3:9" x14ac:dyDescent="0.3">
      <c r="C9119" s="30" t="s">
        <v>37</v>
      </c>
      <c r="D9119" s="31" t="s">
        <v>38</v>
      </c>
      <c r="E9119" s="32"/>
      <c r="F9119" s="32"/>
      <c r="G9119" s="33"/>
      <c r="H9119" s="48">
        <f>SUM(H9117:H9118)</f>
        <v>394999</v>
      </c>
      <c r="I9119" s="47"/>
    </row>
    <row r="9121" spans="3:11" x14ac:dyDescent="0.3">
      <c r="C9121" s="40" t="s">
        <v>1691</v>
      </c>
      <c r="D9121" s="68" t="s">
        <v>1692</v>
      </c>
      <c r="E9121" s="44"/>
      <c r="F9121" s="44"/>
      <c r="G9121" s="44"/>
      <c r="H9121" s="44"/>
      <c r="I9121" s="10">
        <f>ROUNDDOWN(H9136,0)</f>
        <v>651695</v>
      </c>
      <c r="J9121" s="15"/>
      <c r="K9121" s="39"/>
    </row>
    <row r="9122" spans="3:11" ht="27.6" x14ac:dyDescent="0.3">
      <c r="C9122" s="11" t="s">
        <v>9</v>
      </c>
      <c r="D9122" s="11" t="s">
        <v>10</v>
      </c>
      <c r="E9122" s="11" t="s">
        <v>11</v>
      </c>
      <c r="F9122" s="11" t="s">
        <v>12</v>
      </c>
      <c r="G9122" s="11" t="s">
        <v>13</v>
      </c>
      <c r="H9122" s="11" t="s">
        <v>14</v>
      </c>
    </row>
    <row r="9123" spans="3:11" x14ac:dyDescent="0.25">
      <c r="C9123" s="12" t="s">
        <v>15</v>
      </c>
      <c r="D9123" s="13" t="s">
        <v>16</v>
      </c>
      <c r="E9123" s="14"/>
      <c r="F9123" s="14"/>
      <c r="G9123" s="14"/>
      <c r="H9123" s="14"/>
    </row>
    <row r="9124" spans="3:11" x14ac:dyDescent="0.3">
      <c r="C9124" s="16">
        <v>1</v>
      </c>
      <c r="D9124" s="13" t="s">
        <v>18</v>
      </c>
      <c r="E9124" s="17" t="s">
        <v>19</v>
      </c>
      <c r="F9124" s="18">
        <v>0.255</v>
      </c>
      <c r="G9124" s="19">
        <f>VLOOKUP(D9124,upahbahan,3,FALSE)</f>
        <v>100000</v>
      </c>
      <c r="H9124" s="19">
        <f t="shared" ref="H9124:H9127" si="967">F9124*G9124</f>
        <v>25500</v>
      </c>
    </row>
    <row r="9125" spans="3:11" x14ac:dyDescent="0.3">
      <c r="C9125" s="16">
        <v>2</v>
      </c>
      <c r="D9125" s="13" t="s">
        <v>21</v>
      </c>
      <c r="E9125" s="17" t="s">
        <v>19</v>
      </c>
      <c r="F9125" s="18">
        <v>0.42499999999999999</v>
      </c>
      <c r="G9125" s="19">
        <f>VLOOKUP(D9125,upahbahan,3,FALSE)</f>
        <v>145000</v>
      </c>
      <c r="H9125" s="19">
        <f t="shared" si="967"/>
        <v>61625</v>
      </c>
    </row>
    <row r="9126" spans="3:11" x14ac:dyDescent="0.3">
      <c r="C9126" s="16">
        <v>3</v>
      </c>
      <c r="D9126" s="13" t="s">
        <v>1224</v>
      </c>
      <c r="E9126" s="17" t="s">
        <v>19</v>
      </c>
      <c r="F9126" s="18">
        <v>4.2999999999999997E-2</v>
      </c>
      <c r="G9126" s="19">
        <f>VLOOKUP(D9126,upahbahan,3,FALSE)</f>
        <v>175000</v>
      </c>
      <c r="H9126" s="19">
        <f t="shared" si="967"/>
        <v>7524.9999999999991</v>
      </c>
    </row>
    <row r="9127" spans="3:11" x14ac:dyDescent="0.3">
      <c r="C9127" s="16">
        <v>4</v>
      </c>
      <c r="D9127" s="13" t="s">
        <v>23</v>
      </c>
      <c r="E9127" s="17" t="s">
        <v>19</v>
      </c>
      <c r="F9127" s="18">
        <v>1.4E-2</v>
      </c>
      <c r="G9127" s="19">
        <f>VLOOKUP(D9127,upahbahan,3,FALSE)</f>
        <v>200000</v>
      </c>
      <c r="H9127" s="19">
        <f t="shared" si="967"/>
        <v>2800</v>
      </c>
    </row>
    <row r="9128" spans="3:11" x14ac:dyDescent="0.3">
      <c r="C9128" s="21" t="s">
        <v>24</v>
      </c>
      <c r="D9128" s="22"/>
      <c r="E9128" s="22"/>
      <c r="F9128" s="54"/>
      <c r="G9128" s="24"/>
      <c r="H9128" s="19">
        <f>SUM(H9124:H9127)</f>
        <v>97450</v>
      </c>
      <c r="I9128" s="25"/>
    </row>
    <row r="9129" spans="3:11" x14ac:dyDescent="0.25">
      <c r="C9129" s="12" t="s">
        <v>25</v>
      </c>
      <c r="D9129" s="13" t="s">
        <v>26</v>
      </c>
      <c r="E9129" s="14"/>
      <c r="F9129" s="55"/>
      <c r="G9129" s="14"/>
      <c r="H9129" s="14"/>
    </row>
    <row r="9130" spans="3:11" x14ac:dyDescent="0.25">
      <c r="C9130" s="12">
        <v>1</v>
      </c>
      <c r="D9130" s="13" t="s">
        <v>1693</v>
      </c>
      <c r="E9130" s="53" t="s">
        <v>1542</v>
      </c>
      <c r="F9130" s="115">
        <v>1.1000000000000001</v>
      </c>
      <c r="G9130" s="19">
        <f>VLOOKUP(D9130,upahbahan,3,FALSE)</f>
        <v>450000</v>
      </c>
      <c r="H9130" s="19">
        <f t="shared" ref="H9130" si="968">F9130*G9130</f>
        <v>495000.00000000006</v>
      </c>
    </row>
    <row r="9131" spans="3:11" x14ac:dyDescent="0.3">
      <c r="C9131" s="21" t="s">
        <v>29</v>
      </c>
      <c r="D9131" s="22"/>
      <c r="E9131" s="22" t="s">
        <v>1340</v>
      </c>
      <c r="F9131" s="22"/>
      <c r="G9131" s="28"/>
      <c r="H9131" s="19">
        <f>SUM(H9129:H9130)</f>
        <v>495000.00000000006</v>
      </c>
    </row>
    <row r="9132" spans="3:11" x14ac:dyDescent="0.25">
      <c r="C9132" s="12" t="s">
        <v>30</v>
      </c>
      <c r="D9132" s="13" t="s">
        <v>31</v>
      </c>
      <c r="E9132" s="14"/>
      <c r="F9132" s="14"/>
      <c r="G9132" s="14"/>
      <c r="H9132" s="14"/>
    </row>
    <row r="9133" spans="3:11" x14ac:dyDescent="0.3">
      <c r="C9133" s="21" t="s">
        <v>32</v>
      </c>
      <c r="D9133" s="77"/>
      <c r="E9133" s="77"/>
      <c r="F9133" s="77"/>
      <c r="G9133" s="28"/>
      <c r="H9133" s="29">
        <f>SUM(H9132:H9132)</f>
        <v>0</v>
      </c>
    </row>
    <row r="9134" spans="3:11" x14ac:dyDescent="0.3">
      <c r="C9134" s="30" t="s">
        <v>33</v>
      </c>
      <c r="D9134" s="31" t="s">
        <v>34</v>
      </c>
      <c r="E9134" s="32"/>
      <c r="F9134" s="32"/>
      <c r="G9134" s="33"/>
      <c r="H9134" s="46">
        <f>H9133+H9131+H9128</f>
        <v>592450</v>
      </c>
      <c r="I9134" s="47"/>
    </row>
    <row r="9135" spans="3:11" x14ac:dyDescent="0.3">
      <c r="C9135" s="30" t="s">
        <v>35</v>
      </c>
      <c r="D9135" s="31" t="s">
        <v>36</v>
      </c>
      <c r="E9135" s="32"/>
      <c r="F9135" s="33"/>
      <c r="G9135" s="34">
        <f>$M$9</f>
        <v>0.1</v>
      </c>
      <c r="H9135" s="19">
        <f>H9134*G9135</f>
        <v>59245</v>
      </c>
      <c r="I9135" s="47"/>
    </row>
    <row r="9136" spans="3:11" x14ac:dyDescent="0.3">
      <c r="C9136" s="30" t="s">
        <v>37</v>
      </c>
      <c r="D9136" s="31" t="s">
        <v>38</v>
      </c>
      <c r="E9136" s="32"/>
      <c r="F9136" s="32"/>
      <c r="G9136" s="33"/>
      <c r="H9136" s="48">
        <f>SUM(H9134:H9135)</f>
        <v>651695</v>
      </c>
      <c r="I9136" s="47"/>
    </row>
    <row r="9138" spans="3:11" x14ac:dyDescent="0.3">
      <c r="C9138" s="40" t="s">
        <v>1694</v>
      </c>
      <c r="D9138" s="68" t="s">
        <v>1695</v>
      </c>
      <c r="E9138" s="44"/>
      <c r="F9138" s="44"/>
      <c r="G9138" s="44"/>
      <c r="H9138" s="44"/>
      <c r="I9138" s="10">
        <f>ROUNDDOWN(H9153,0)</f>
        <v>704792</v>
      </c>
      <c r="J9138" s="15"/>
      <c r="K9138" s="39"/>
    </row>
    <row r="9139" spans="3:11" ht="27.6" x14ac:dyDescent="0.3">
      <c r="C9139" s="11" t="s">
        <v>9</v>
      </c>
      <c r="D9139" s="11" t="s">
        <v>10</v>
      </c>
      <c r="E9139" s="11" t="s">
        <v>11</v>
      </c>
      <c r="F9139" s="11" t="s">
        <v>12</v>
      </c>
      <c r="G9139" s="11" t="s">
        <v>13</v>
      </c>
      <c r="H9139" s="11" t="s">
        <v>14</v>
      </c>
    </row>
    <row r="9140" spans="3:11" x14ac:dyDescent="0.25">
      <c r="C9140" s="12" t="s">
        <v>15</v>
      </c>
      <c r="D9140" s="13" t="s">
        <v>16</v>
      </c>
      <c r="E9140" s="14"/>
      <c r="F9140" s="14"/>
      <c r="G9140" s="14"/>
      <c r="H9140" s="14"/>
    </row>
    <row r="9141" spans="3:11" x14ac:dyDescent="0.3">
      <c r="C9141" s="16">
        <v>1</v>
      </c>
      <c r="D9141" s="13" t="s">
        <v>18</v>
      </c>
      <c r="E9141" s="17" t="s">
        <v>19</v>
      </c>
      <c r="F9141" s="18">
        <v>0.38100000000000001</v>
      </c>
      <c r="G9141" s="19">
        <f>VLOOKUP(D9141,upahbahan,3,FALSE)</f>
        <v>100000</v>
      </c>
      <c r="H9141" s="19">
        <f t="shared" ref="H9141:H9144" si="969">F9141*G9141</f>
        <v>38100</v>
      </c>
    </row>
    <row r="9142" spans="3:11" x14ac:dyDescent="0.3">
      <c r="C9142" s="16">
        <v>2</v>
      </c>
      <c r="D9142" s="13" t="s">
        <v>21</v>
      </c>
      <c r="E9142" s="17" t="s">
        <v>19</v>
      </c>
      <c r="F9142" s="18">
        <v>0.63600000000000001</v>
      </c>
      <c r="G9142" s="19">
        <f>VLOOKUP(D9142,upahbahan,3,FALSE)</f>
        <v>145000</v>
      </c>
      <c r="H9142" s="19">
        <f t="shared" si="969"/>
        <v>92220</v>
      </c>
    </row>
    <row r="9143" spans="3:11" x14ac:dyDescent="0.3">
      <c r="C9143" s="16">
        <v>3</v>
      </c>
      <c r="D9143" s="13" t="s">
        <v>1224</v>
      </c>
      <c r="E9143" s="17" t="s">
        <v>19</v>
      </c>
      <c r="F9143" s="18">
        <v>6.4000000000000001E-2</v>
      </c>
      <c r="G9143" s="19">
        <f>VLOOKUP(D9143,upahbahan,3,FALSE)</f>
        <v>175000</v>
      </c>
      <c r="H9143" s="19">
        <f t="shared" si="969"/>
        <v>11200</v>
      </c>
    </row>
    <row r="9144" spans="3:11" x14ac:dyDescent="0.3">
      <c r="C9144" s="16">
        <v>4</v>
      </c>
      <c r="D9144" s="13" t="s">
        <v>23</v>
      </c>
      <c r="E9144" s="17" t="s">
        <v>19</v>
      </c>
      <c r="F9144" s="18">
        <v>2.1000000000000001E-2</v>
      </c>
      <c r="G9144" s="19">
        <f>VLOOKUP(D9144,upahbahan,3,FALSE)</f>
        <v>200000</v>
      </c>
      <c r="H9144" s="19">
        <f t="shared" si="969"/>
        <v>4200</v>
      </c>
    </row>
    <row r="9145" spans="3:11" x14ac:dyDescent="0.3">
      <c r="C9145" s="21" t="s">
        <v>24</v>
      </c>
      <c r="D9145" s="22"/>
      <c r="E9145" s="22"/>
      <c r="F9145" s="54"/>
      <c r="G9145" s="24"/>
      <c r="H9145" s="19">
        <f>SUM(H9141:H9144)</f>
        <v>145720</v>
      </c>
      <c r="I9145" s="25"/>
    </row>
    <row r="9146" spans="3:11" x14ac:dyDescent="0.25">
      <c r="C9146" s="12" t="s">
        <v>25</v>
      </c>
      <c r="D9146" s="13" t="s">
        <v>26</v>
      </c>
      <c r="E9146" s="14"/>
      <c r="F9146" s="55"/>
      <c r="G9146" s="14"/>
      <c r="H9146" s="14"/>
    </row>
    <row r="9147" spans="3:11" x14ac:dyDescent="0.25">
      <c r="C9147" s="12">
        <v>1</v>
      </c>
      <c r="D9147" s="13" t="s">
        <v>1693</v>
      </c>
      <c r="E9147" s="53" t="s">
        <v>1542</v>
      </c>
      <c r="F9147" s="115">
        <v>1.1000000000000001</v>
      </c>
      <c r="G9147" s="19">
        <f>VLOOKUP(D9147,upahbahan,3,FALSE)</f>
        <v>450000</v>
      </c>
      <c r="H9147" s="19">
        <f t="shared" ref="H9147" si="970">F9147*G9147</f>
        <v>495000.00000000006</v>
      </c>
    </row>
    <row r="9148" spans="3:11" x14ac:dyDescent="0.3">
      <c r="C9148" s="21" t="s">
        <v>29</v>
      </c>
      <c r="D9148" s="22"/>
      <c r="E9148" s="22" t="s">
        <v>1340</v>
      </c>
      <c r="F9148" s="22"/>
      <c r="G9148" s="28"/>
      <c r="H9148" s="19">
        <f>SUM(H9146:H9147)</f>
        <v>495000.00000000006</v>
      </c>
    </row>
    <row r="9149" spans="3:11" x14ac:dyDescent="0.25">
      <c r="C9149" s="12" t="s">
        <v>30</v>
      </c>
      <c r="D9149" s="13" t="s">
        <v>31</v>
      </c>
      <c r="E9149" s="14"/>
      <c r="F9149" s="14"/>
      <c r="G9149" s="14"/>
      <c r="H9149" s="14"/>
    </row>
    <row r="9150" spans="3:11" x14ac:dyDescent="0.3">
      <c r="C9150" s="21" t="s">
        <v>32</v>
      </c>
      <c r="D9150" s="77"/>
      <c r="E9150" s="77"/>
      <c r="F9150" s="77"/>
      <c r="G9150" s="28"/>
      <c r="H9150" s="29">
        <f>SUM(H9149:H9149)</f>
        <v>0</v>
      </c>
    </row>
    <row r="9151" spans="3:11" x14ac:dyDescent="0.3">
      <c r="C9151" s="30" t="s">
        <v>33</v>
      </c>
      <c r="D9151" s="31" t="s">
        <v>34</v>
      </c>
      <c r="E9151" s="32"/>
      <c r="F9151" s="32"/>
      <c r="G9151" s="33"/>
      <c r="H9151" s="46">
        <f>H9150+H9148+H9145</f>
        <v>640720</v>
      </c>
      <c r="I9151" s="47"/>
    </row>
    <row r="9152" spans="3:11" x14ac:dyDescent="0.3">
      <c r="C9152" s="30" t="s">
        <v>35</v>
      </c>
      <c r="D9152" s="31" t="s">
        <v>36</v>
      </c>
      <c r="E9152" s="32"/>
      <c r="F9152" s="33"/>
      <c r="G9152" s="34">
        <f>$M$9</f>
        <v>0.1</v>
      </c>
      <c r="H9152" s="19">
        <f>H9151*G9152</f>
        <v>64072</v>
      </c>
      <c r="I9152" s="47"/>
    </row>
    <row r="9153" spans="3:11" x14ac:dyDescent="0.3">
      <c r="C9153" s="30" t="s">
        <v>37</v>
      </c>
      <c r="D9153" s="31" t="s">
        <v>38</v>
      </c>
      <c r="E9153" s="32"/>
      <c r="F9153" s="32"/>
      <c r="G9153" s="33"/>
      <c r="H9153" s="48">
        <f>SUM(H9151:H9152)</f>
        <v>704792</v>
      </c>
      <c r="I9153" s="47"/>
    </row>
    <row r="9155" spans="3:11" x14ac:dyDescent="0.3">
      <c r="C9155" s="40" t="s">
        <v>1696</v>
      </c>
      <c r="D9155" s="68" t="s">
        <v>1697</v>
      </c>
      <c r="E9155" s="44"/>
      <c r="F9155" s="44"/>
      <c r="G9155" s="44"/>
      <c r="H9155" s="44"/>
      <c r="I9155" s="10">
        <f>ROUNDDOWN(H9170,0)</f>
        <v>752499</v>
      </c>
      <c r="J9155" s="15"/>
      <c r="K9155" s="39"/>
    </row>
    <row r="9156" spans="3:11" ht="27.6" x14ac:dyDescent="0.3">
      <c r="C9156" s="11" t="s">
        <v>9</v>
      </c>
      <c r="D9156" s="11" t="s">
        <v>10</v>
      </c>
      <c r="E9156" s="11" t="s">
        <v>11</v>
      </c>
      <c r="F9156" s="11" t="s">
        <v>12</v>
      </c>
      <c r="G9156" s="11" t="s">
        <v>13</v>
      </c>
      <c r="H9156" s="11" t="s">
        <v>14</v>
      </c>
    </row>
    <row r="9157" spans="3:11" x14ac:dyDescent="0.25">
      <c r="C9157" s="12" t="s">
        <v>15</v>
      </c>
      <c r="D9157" s="13" t="s">
        <v>16</v>
      </c>
      <c r="E9157" s="14"/>
      <c r="F9157" s="14"/>
      <c r="G9157" s="14"/>
      <c r="H9157" s="14"/>
    </row>
    <row r="9158" spans="3:11" x14ac:dyDescent="0.3">
      <c r="C9158" s="16">
        <v>1</v>
      </c>
      <c r="D9158" s="13" t="s">
        <v>18</v>
      </c>
      <c r="E9158" s="17" t="s">
        <v>19</v>
      </c>
      <c r="F9158" s="18">
        <v>0.50700000000000001</v>
      </c>
      <c r="G9158" s="19">
        <f>VLOOKUP(D9158,upahbahan,3,FALSE)</f>
        <v>100000</v>
      </c>
      <c r="H9158" s="19">
        <f t="shared" ref="H9158:H9161" si="971">F9158*G9158</f>
        <v>50700</v>
      </c>
    </row>
    <row r="9159" spans="3:11" x14ac:dyDescent="0.3">
      <c r="C9159" s="16">
        <v>2</v>
      </c>
      <c r="D9159" s="13" t="s">
        <v>21</v>
      </c>
      <c r="E9159" s="17" t="s">
        <v>19</v>
      </c>
      <c r="F9159" s="18">
        <v>0.84699999999999998</v>
      </c>
      <c r="G9159" s="19">
        <f>VLOOKUP(D9159,upahbahan,3,FALSE)</f>
        <v>145000</v>
      </c>
      <c r="H9159" s="19">
        <f t="shared" si="971"/>
        <v>122815</v>
      </c>
    </row>
    <row r="9160" spans="3:11" x14ac:dyDescent="0.3">
      <c r="C9160" s="16">
        <v>3</v>
      </c>
      <c r="D9160" s="13" t="s">
        <v>1224</v>
      </c>
      <c r="E9160" s="17" t="s">
        <v>19</v>
      </c>
      <c r="F9160" s="18">
        <v>5.7000000000000002E-2</v>
      </c>
      <c r="G9160" s="19">
        <f>VLOOKUP(D9160,upahbahan,3,FALSE)</f>
        <v>175000</v>
      </c>
      <c r="H9160" s="19">
        <f t="shared" si="971"/>
        <v>9975</v>
      </c>
    </row>
    <row r="9161" spans="3:11" x14ac:dyDescent="0.3">
      <c r="C9161" s="16">
        <v>4</v>
      </c>
      <c r="D9161" s="13" t="s">
        <v>23</v>
      </c>
      <c r="E9161" s="17" t="s">
        <v>19</v>
      </c>
      <c r="F9161" s="18">
        <v>2.8000000000000001E-2</v>
      </c>
      <c r="G9161" s="19">
        <f>VLOOKUP(D9161,upahbahan,3,FALSE)</f>
        <v>200000</v>
      </c>
      <c r="H9161" s="19">
        <f t="shared" si="971"/>
        <v>5600</v>
      </c>
    </row>
    <row r="9162" spans="3:11" x14ac:dyDescent="0.3">
      <c r="C9162" s="21" t="s">
        <v>24</v>
      </c>
      <c r="D9162" s="22"/>
      <c r="E9162" s="22"/>
      <c r="F9162" s="54"/>
      <c r="G9162" s="24"/>
      <c r="H9162" s="19">
        <f>SUM(H9158:H9161)</f>
        <v>189090</v>
      </c>
      <c r="I9162" s="25"/>
    </row>
    <row r="9163" spans="3:11" x14ac:dyDescent="0.25">
      <c r="C9163" s="12" t="s">
        <v>25</v>
      </c>
      <c r="D9163" s="13" t="s">
        <v>26</v>
      </c>
      <c r="E9163" s="14"/>
      <c r="F9163" s="55"/>
      <c r="G9163" s="14"/>
      <c r="H9163" s="14"/>
    </row>
    <row r="9164" spans="3:11" x14ac:dyDescent="0.25">
      <c r="C9164" s="12">
        <v>1</v>
      </c>
      <c r="D9164" s="13" t="s">
        <v>1693</v>
      </c>
      <c r="E9164" s="53" t="s">
        <v>1542</v>
      </c>
      <c r="F9164" s="115">
        <v>1.1000000000000001</v>
      </c>
      <c r="G9164" s="19">
        <f>VLOOKUP(D9164,upahbahan,3,FALSE)</f>
        <v>450000</v>
      </c>
      <c r="H9164" s="19">
        <f t="shared" ref="H9164" si="972">F9164*G9164</f>
        <v>495000.00000000006</v>
      </c>
    </row>
    <row r="9165" spans="3:11" x14ac:dyDescent="0.3">
      <c r="C9165" s="21" t="s">
        <v>29</v>
      </c>
      <c r="D9165" s="22"/>
      <c r="E9165" s="22" t="s">
        <v>1340</v>
      </c>
      <c r="F9165" s="22"/>
      <c r="G9165" s="28"/>
      <c r="H9165" s="19">
        <f>SUM(H9163:H9164)</f>
        <v>495000.00000000006</v>
      </c>
    </row>
    <row r="9166" spans="3:11" x14ac:dyDescent="0.25">
      <c r="C9166" s="12" t="s">
        <v>30</v>
      </c>
      <c r="D9166" s="13" t="s">
        <v>31</v>
      </c>
      <c r="E9166" s="14"/>
      <c r="F9166" s="14"/>
      <c r="G9166" s="14"/>
      <c r="H9166" s="14"/>
    </row>
    <row r="9167" spans="3:11" x14ac:dyDescent="0.3">
      <c r="C9167" s="21" t="s">
        <v>32</v>
      </c>
      <c r="D9167" s="77"/>
      <c r="E9167" s="77"/>
      <c r="F9167" s="77"/>
      <c r="G9167" s="28"/>
      <c r="H9167" s="29">
        <f>SUM(H9166:H9166)</f>
        <v>0</v>
      </c>
    </row>
    <row r="9168" spans="3:11" x14ac:dyDescent="0.3">
      <c r="C9168" s="30" t="s">
        <v>33</v>
      </c>
      <c r="D9168" s="31" t="s">
        <v>34</v>
      </c>
      <c r="E9168" s="32"/>
      <c r="F9168" s="32"/>
      <c r="G9168" s="33"/>
      <c r="H9168" s="46">
        <f>H9167+H9165+H9162</f>
        <v>684090</v>
      </c>
      <c r="I9168" s="47"/>
    </row>
    <row r="9169" spans="3:11" x14ac:dyDescent="0.3">
      <c r="C9169" s="30" t="s">
        <v>35</v>
      </c>
      <c r="D9169" s="31" t="s">
        <v>36</v>
      </c>
      <c r="E9169" s="32"/>
      <c r="F9169" s="33"/>
      <c r="G9169" s="34">
        <f>$M$9</f>
        <v>0.1</v>
      </c>
      <c r="H9169" s="19">
        <f>H9168*G9169</f>
        <v>68409</v>
      </c>
      <c r="I9169" s="47"/>
    </row>
    <row r="9170" spans="3:11" x14ac:dyDescent="0.3">
      <c r="C9170" s="30" t="s">
        <v>37</v>
      </c>
      <c r="D9170" s="31" t="s">
        <v>38</v>
      </c>
      <c r="E9170" s="32"/>
      <c r="F9170" s="32"/>
      <c r="G9170" s="33"/>
      <c r="H9170" s="48">
        <f>SUM(H9168:H9169)</f>
        <v>752499</v>
      </c>
      <c r="I9170" s="47"/>
    </row>
    <row r="9172" spans="3:11" x14ac:dyDescent="0.3">
      <c r="C9172" s="40" t="s">
        <v>1698</v>
      </c>
      <c r="D9172" s="68" t="s">
        <v>1699</v>
      </c>
      <c r="E9172" s="44"/>
      <c r="F9172" s="44"/>
      <c r="G9172" s="44"/>
      <c r="H9172" s="44"/>
      <c r="I9172" s="10">
        <f>ROUNDDOWN(H9187,0)</f>
        <v>810986</v>
      </c>
      <c r="J9172" s="15"/>
      <c r="K9172" s="39"/>
    </row>
    <row r="9173" spans="3:11" ht="27.6" x14ac:dyDescent="0.3">
      <c r="C9173" s="11" t="s">
        <v>9</v>
      </c>
      <c r="D9173" s="11" t="s">
        <v>10</v>
      </c>
      <c r="E9173" s="11" t="s">
        <v>11</v>
      </c>
      <c r="F9173" s="11" t="s">
        <v>12</v>
      </c>
      <c r="G9173" s="11" t="s">
        <v>13</v>
      </c>
      <c r="H9173" s="11" t="s">
        <v>14</v>
      </c>
    </row>
    <row r="9174" spans="3:11" x14ac:dyDescent="0.25">
      <c r="C9174" s="12" t="s">
        <v>15</v>
      </c>
      <c r="D9174" s="13" t="s">
        <v>16</v>
      </c>
      <c r="E9174" s="14"/>
      <c r="F9174" s="14"/>
      <c r="G9174" s="14"/>
      <c r="H9174" s="14"/>
    </row>
    <row r="9175" spans="3:11" x14ac:dyDescent="0.3">
      <c r="C9175" s="16">
        <v>1</v>
      </c>
      <c r="D9175" s="13" t="s">
        <v>18</v>
      </c>
      <c r="E9175" s="17" t="s">
        <v>19</v>
      </c>
      <c r="F9175" s="18">
        <v>0.63300000000000001</v>
      </c>
      <c r="G9175" s="19">
        <f>VLOOKUP(D9175,upahbahan,3,FALSE)</f>
        <v>100000</v>
      </c>
      <c r="H9175" s="19">
        <f t="shared" ref="H9175:H9178" si="973">F9175*G9175</f>
        <v>63300</v>
      </c>
    </row>
    <row r="9176" spans="3:11" x14ac:dyDescent="0.3">
      <c r="C9176" s="16">
        <v>2</v>
      </c>
      <c r="D9176" s="13" t="s">
        <v>21</v>
      </c>
      <c r="E9176" s="17" t="s">
        <v>19</v>
      </c>
      <c r="F9176" s="18">
        <v>1.0580000000000001</v>
      </c>
      <c r="G9176" s="19">
        <f>VLOOKUP(D9176,upahbahan,3,FALSE)</f>
        <v>145000</v>
      </c>
      <c r="H9176" s="19">
        <f t="shared" si="973"/>
        <v>153410</v>
      </c>
    </row>
    <row r="9177" spans="3:11" x14ac:dyDescent="0.3">
      <c r="C9177" s="16">
        <v>3</v>
      </c>
      <c r="D9177" s="13" t="s">
        <v>1224</v>
      </c>
      <c r="E9177" s="17" t="s">
        <v>19</v>
      </c>
      <c r="F9177" s="18">
        <v>0.106</v>
      </c>
      <c r="G9177" s="19">
        <f>VLOOKUP(D9177,upahbahan,3,FALSE)</f>
        <v>175000</v>
      </c>
      <c r="H9177" s="19">
        <f t="shared" si="973"/>
        <v>18550</v>
      </c>
    </row>
    <row r="9178" spans="3:11" x14ac:dyDescent="0.3">
      <c r="C9178" s="16">
        <v>4</v>
      </c>
      <c r="D9178" s="13" t="s">
        <v>23</v>
      </c>
      <c r="E9178" s="17" t="s">
        <v>19</v>
      </c>
      <c r="F9178" s="18">
        <v>3.5000000000000003E-2</v>
      </c>
      <c r="G9178" s="19">
        <f>VLOOKUP(D9178,upahbahan,3,FALSE)</f>
        <v>200000</v>
      </c>
      <c r="H9178" s="19">
        <f t="shared" si="973"/>
        <v>7000.0000000000009</v>
      </c>
    </row>
    <row r="9179" spans="3:11" x14ac:dyDescent="0.3">
      <c r="C9179" s="21" t="s">
        <v>24</v>
      </c>
      <c r="D9179" s="22"/>
      <c r="E9179" s="22"/>
      <c r="F9179" s="54"/>
      <c r="G9179" s="24"/>
      <c r="H9179" s="19">
        <f>SUM(H9175:H9178)</f>
        <v>242260</v>
      </c>
      <c r="I9179" s="25"/>
    </row>
    <row r="9180" spans="3:11" x14ac:dyDescent="0.25">
      <c r="C9180" s="12" t="s">
        <v>25</v>
      </c>
      <c r="D9180" s="13" t="s">
        <v>26</v>
      </c>
      <c r="E9180" s="14"/>
      <c r="F9180" s="55"/>
      <c r="G9180" s="14"/>
      <c r="H9180" s="14"/>
    </row>
    <row r="9181" spans="3:11" x14ac:dyDescent="0.25">
      <c r="C9181" s="12">
        <v>1</v>
      </c>
      <c r="D9181" s="13" t="s">
        <v>1693</v>
      </c>
      <c r="E9181" s="53" t="s">
        <v>1542</v>
      </c>
      <c r="F9181" s="115">
        <v>1.1000000000000001</v>
      </c>
      <c r="G9181" s="19">
        <f>VLOOKUP(D9181,upahbahan,3,FALSE)</f>
        <v>450000</v>
      </c>
      <c r="H9181" s="19">
        <f t="shared" ref="H9181" si="974">F9181*G9181</f>
        <v>495000.00000000006</v>
      </c>
    </row>
    <row r="9182" spans="3:11" x14ac:dyDescent="0.3">
      <c r="C9182" s="21" t="s">
        <v>29</v>
      </c>
      <c r="D9182" s="22"/>
      <c r="E9182" s="22" t="s">
        <v>1340</v>
      </c>
      <c r="F9182" s="22"/>
      <c r="G9182" s="28"/>
      <c r="H9182" s="19">
        <f>SUM(H9180:H9181)</f>
        <v>495000.00000000006</v>
      </c>
    </row>
    <row r="9183" spans="3:11" x14ac:dyDescent="0.25">
      <c r="C9183" s="12" t="s">
        <v>30</v>
      </c>
      <c r="D9183" s="13" t="s">
        <v>31</v>
      </c>
      <c r="E9183" s="14"/>
      <c r="F9183" s="14"/>
      <c r="G9183" s="14"/>
      <c r="H9183" s="14"/>
    </row>
    <row r="9184" spans="3:11" x14ac:dyDescent="0.3">
      <c r="C9184" s="21" t="s">
        <v>32</v>
      </c>
      <c r="D9184" s="77"/>
      <c r="E9184" s="77"/>
      <c r="F9184" s="77"/>
      <c r="G9184" s="28"/>
      <c r="H9184" s="29">
        <f>SUM(H9183:H9183)</f>
        <v>0</v>
      </c>
    </row>
    <row r="9185" spans="3:11" x14ac:dyDescent="0.3">
      <c r="C9185" s="30" t="s">
        <v>33</v>
      </c>
      <c r="D9185" s="31" t="s">
        <v>34</v>
      </c>
      <c r="E9185" s="32"/>
      <c r="F9185" s="32"/>
      <c r="G9185" s="33"/>
      <c r="H9185" s="46">
        <f>H9184+H9182+H9179</f>
        <v>737260</v>
      </c>
      <c r="I9185" s="47"/>
    </row>
    <row r="9186" spans="3:11" x14ac:dyDescent="0.3">
      <c r="C9186" s="30" t="s">
        <v>35</v>
      </c>
      <c r="D9186" s="31" t="s">
        <v>36</v>
      </c>
      <c r="E9186" s="32"/>
      <c r="F9186" s="33"/>
      <c r="G9186" s="34">
        <f>$M$9</f>
        <v>0.1</v>
      </c>
      <c r="H9186" s="19">
        <f>H9185*G9186</f>
        <v>73726</v>
      </c>
      <c r="I9186" s="47"/>
    </row>
    <row r="9187" spans="3:11" x14ac:dyDescent="0.3">
      <c r="C9187" s="30" t="s">
        <v>37</v>
      </c>
      <c r="D9187" s="31" t="s">
        <v>38</v>
      </c>
      <c r="E9187" s="32"/>
      <c r="F9187" s="32"/>
      <c r="G9187" s="33"/>
      <c r="H9187" s="48">
        <f>SUM(H9185:H9186)</f>
        <v>810986</v>
      </c>
      <c r="I9187" s="47"/>
    </row>
    <row r="9189" spans="3:11" x14ac:dyDescent="0.3">
      <c r="C9189" s="40" t="s">
        <v>1700</v>
      </c>
      <c r="D9189" s="68" t="s">
        <v>1701</v>
      </c>
      <c r="E9189" s="44"/>
      <c r="F9189" s="44"/>
      <c r="G9189" s="44"/>
      <c r="H9189" s="44"/>
      <c r="I9189" s="10">
        <f>ROUNDDOWN(H9204,0)</f>
        <v>810986</v>
      </c>
      <c r="J9189" s="15"/>
      <c r="K9189" s="39"/>
    </row>
    <row r="9190" spans="3:11" ht="27.6" x14ac:dyDescent="0.3">
      <c r="C9190" s="11" t="s">
        <v>9</v>
      </c>
      <c r="D9190" s="11" t="s">
        <v>10</v>
      </c>
      <c r="E9190" s="11" t="s">
        <v>11</v>
      </c>
      <c r="F9190" s="11" t="s">
        <v>12</v>
      </c>
      <c r="G9190" s="11" t="s">
        <v>13</v>
      </c>
      <c r="H9190" s="11" t="s">
        <v>14</v>
      </c>
    </row>
    <row r="9191" spans="3:11" x14ac:dyDescent="0.25">
      <c r="C9191" s="12" t="s">
        <v>15</v>
      </c>
      <c r="D9191" s="13" t="s">
        <v>16</v>
      </c>
      <c r="E9191" s="14"/>
      <c r="F9191" s="14"/>
      <c r="G9191" s="14"/>
      <c r="H9191" s="14"/>
    </row>
    <row r="9192" spans="3:11" x14ac:dyDescent="0.3">
      <c r="C9192" s="16">
        <v>1</v>
      </c>
      <c r="D9192" s="13" t="s">
        <v>18</v>
      </c>
      <c r="E9192" s="17" t="s">
        <v>19</v>
      </c>
      <c r="F9192" s="18">
        <v>0.63300000000000001</v>
      </c>
      <c r="G9192" s="19">
        <f>VLOOKUP(D9192,upahbahan,3,FALSE)</f>
        <v>100000</v>
      </c>
      <c r="H9192" s="19">
        <f t="shared" ref="H9192:H9195" si="975">F9192*G9192</f>
        <v>63300</v>
      </c>
    </row>
    <row r="9193" spans="3:11" x14ac:dyDescent="0.3">
      <c r="C9193" s="16">
        <v>2</v>
      </c>
      <c r="D9193" s="13" t="s">
        <v>21</v>
      </c>
      <c r="E9193" s="17" t="s">
        <v>19</v>
      </c>
      <c r="F9193" s="18">
        <v>1.0580000000000001</v>
      </c>
      <c r="G9193" s="19">
        <f>VLOOKUP(D9193,upahbahan,3,FALSE)</f>
        <v>145000</v>
      </c>
      <c r="H9193" s="19">
        <f t="shared" si="975"/>
        <v>153410</v>
      </c>
    </row>
    <row r="9194" spans="3:11" x14ac:dyDescent="0.3">
      <c r="C9194" s="16">
        <v>3</v>
      </c>
      <c r="D9194" s="13" t="s">
        <v>1224</v>
      </c>
      <c r="E9194" s="17" t="s">
        <v>19</v>
      </c>
      <c r="F9194" s="18">
        <v>0.106</v>
      </c>
      <c r="G9194" s="19">
        <f>VLOOKUP(D9194,upahbahan,3,FALSE)</f>
        <v>175000</v>
      </c>
      <c r="H9194" s="19">
        <f t="shared" si="975"/>
        <v>18550</v>
      </c>
    </row>
    <row r="9195" spans="3:11" x14ac:dyDescent="0.3">
      <c r="C9195" s="16">
        <v>4</v>
      </c>
      <c r="D9195" s="13" t="s">
        <v>23</v>
      </c>
      <c r="E9195" s="17" t="s">
        <v>19</v>
      </c>
      <c r="F9195" s="18">
        <v>3.5000000000000003E-2</v>
      </c>
      <c r="G9195" s="19">
        <f>VLOOKUP(D9195,upahbahan,3,FALSE)</f>
        <v>200000</v>
      </c>
      <c r="H9195" s="19">
        <f t="shared" si="975"/>
        <v>7000.0000000000009</v>
      </c>
    </row>
    <row r="9196" spans="3:11" x14ac:dyDescent="0.3">
      <c r="C9196" s="21" t="s">
        <v>24</v>
      </c>
      <c r="D9196" s="22"/>
      <c r="E9196" s="22"/>
      <c r="F9196" s="54"/>
      <c r="G9196" s="24"/>
      <c r="H9196" s="19">
        <f>SUM(H9192:H9195)</f>
        <v>242260</v>
      </c>
      <c r="I9196" s="25"/>
    </row>
    <row r="9197" spans="3:11" x14ac:dyDescent="0.25">
      <c r="C9197" s="12" t="s">
        <v>25</v>
      </c>
      <c r="D9197" s="13" t="s">
        <v>26</v>
      </c>
      <c r="E9197" s="14"/>
      <c r="F9197" s="55"/>
      <c r="G9197" s="14"/>
      <c r="H9197" s="14"/>
    </row>
    <row r="9198" spans="3:11" x14ac:dyDescent="0.25">
      <c r="C9198" s="12">
        <v>1</v>
      </c>
      <c r="D9198" s="13" t="s">
        <v>1693</v>
      </c>
      <c r="E9198" s="53" t="s">
        <v>1542</v>
      </c>
      <c r="F9198" s="115">
        <v>1.1000000000000001</v>
      </c>
      <c r="G9198" s="19">
        <f>VLOOKUP(D9198,upahbahan,3,FALSE)</f>
        <v>450000</v>
      </c>
      <c r="H9198" s="19">
        <f t="shared" ref="H9198" si="976">F9198*G9198</f>
        <v>495000.00000000006</v>
      </c>
    </row>
    <row r="9199" spans="3:11" x14ac:dyDescent="0.3">
      <c r="C9199" s="21" t="s">
        <v>29</v>
      </c>
      <c r="D9199" s="22"/>
      <c r="E9199" s="22" t="s">
        <v>1340</v>
      </c>
      <c r="F9199" s="22"/>
      <c r="G9199" s="28"/>
      <c r="H9199" s="19">
        <f>SUM(H9197:H9198)</f>
        <v>495000.00000000006</v>
      </c>
    </row>
    <row r="9200" spans="3:11" x14ac:dyDescent="0.25">
      <c r="C9200" s="12" t="s">
        <v>30</v>
      </c>
      <c r="D9200" s="13" t="s">
        <v>31</v>
      </c>
      <c r="E9200" s="14"/>
      <c r="F9200" s="14"/>
      <c r="G9200" s="14"/>
      <c r="H9200" s="14"/>
    </row>
    <row r="9201" spans="3:11" x14ac:dyDescent="0.3">
      <c r="C9201" s="21" t="s">
        <v>32</v>
      </c>
      <c r="D9201" s="77"/>
      <c r="E9201" s="77"/>
      <c r="F9201" s="77"/>
      <c r="G9201" s="28"/>
      <c r="H9201" s="29">
        <f>SUM(H9200:H9200)</f>
        <v>0</v>
      </c>
    </row>
    <row r="9202" spans="3:11" x14ac:dyDescent="0.3">
      <c r="C9202" s="30" t="s">
        <v>33</v>
      </c>
      <c r="D9202" s="31" t="s">
        <v>34</v>
      </c>
      <c r="E9202" s="32"/>
      <c r="F9202" s="32"/>
      <c r="G9202" s="33"/>
      <c r="H9202" s="46">
        <f>H9201+H9199+H9196</f>
        <v>737260</v>
      </c>
      <c r="I9202" s="47"/>
    </row>
    <row r="9203" spans="3:11" x14ac:dyDescent="0.3">
      <c r="C9203" s="30" t="s">
        <v>35</v>
      </c>
      <c r="D9203" s="31" t="s">
        <v>36</v>
      </c>
      <c r="E9203" s="32"/>
      <c r="F9203" s="33"/>
      <c r="G9203" s="34">
        <f>$M$9</f>
        <v>0.1</v>
      </c>
      <c r="H9203" s="19">
        <f>H9202*G9203</f>
        <v>73726</v>
      </c>
      <c r="I9203" s="47"/>
    </row>
    <row r="9204" spans="3:11" x14ac:dyDescent="0.3">
      <c r="C9204" s="30" t="s">
        <v>37</v>
      </c>
      <c r="D9204" s="31" t="s">
        <v>38</v>
      </c>
      <c r="E9204" s="32"/>
      <c r="F9204" s="32"/>
      <c r="G9204" s="33"/>
      <c r="H9204" s="48">
        <f>SUM(H9202:H9203)</f>
        <v>810986</v>
      </c>
      <c r="I9204" s="47"/>
    </row>
    <row r="9206" spans="3:11" x14ac:dyDescent="0.3">
      <c r="C9206" s="116" t="s">
        <v>1702</v>
      </c>
      <c r="D9206" s="117" t="s">
        <v>1703</v>
      </c>
      <c r="E9206" s="118"/>
      <c r="F9206" s="118"/>
      <c r="G9206" s="118"/>
      <c r="H9206" s="118"/>
      <c r="I9206" s="10">
        <f>ROUNDDOWN(H9221,0)</f>
        <v>539528</v>
      </c>
      <c r="J9206" s="15"/>
      <c r="K9206" s="39"/>
    </row>
    <row r="9207" spans="3:11" ht="27.6" x14ac:dyDescent="0.3">
      <c r="C9207" s="11" t="s">
        <v>9</v>
      </c>
      <c r="D9207" s="11" t="s">
        <v>10</v>
      </c>
      <c r="E9207" s="11" t="s">
        <v>11</v>
      </c>
      <c r="F9207" s="11" t="s">
        <v>12</v>
      </c>
      <c r="G9207" s="11" t="s">
        <v>13</v>
      </c>
      <c r="H9207" s="11" t="s">
        <v>14</v>
      </c>
    </row>
    <row r="9208" spans="3:11" x14ac:dyDescent="0.25">
      <c r="C9208" s="12" t="s">
        <v>15</v>
      </c>
      <c r="D9208" s="13" t="s">
        <v>16</v>
      </c>
      <c r="E9208" s="14"/>
      <c r="F9208" s="14"/>
      <c r="G9208" s="14"/>
      <c r="H9208" s="14"/>
    </row>
    <row r="9209" spans="3:11" x14ac:dyDescent="0.3">
      <c r="C9209" s="16">
        <v>1</v>
      </c>
      <c r="D9209" s="13" t="s">
        <v>18</v>
      </c>
      <c r="E9209" s="17" t="s">
        <v>19</v>
      </c>
      <c r="F9209" s="18">
        <v>2.4E-2</v>
      </c>
      <c r="G9209" s="19">
        <f>VLOOKUP(D9209,upahbahan,3,FALSE)</f>
        <v>100000</v>
      </c>
      <c r="H9209" s="19">
        <f t="shared" ref="H9209:H9212" si="977">F9209*G9209</f>
        <v>2400</v>
      </c>
    </row>
    <row r="9210" spans="3:11" x14ac:dyDescent="0.3">
      <c r="C9210" s="16">
        <v>2</v>
      </c>
      <c r="D9210" s="13" t="s">
        <v>21</v>
      </c>
      <c r="E9210" s="17" t="s">
        <v>19</v>
      </c>
      <c r="F9210" s="18">
        <v>0.04</v>
      </c>
      <c r="G9210" s="19">
        <f>VLOOKUP(D9210,upahbahan,3,FALSE)</f>
        <v>145000</v>
      </c>
      <c r="H9210" s="19">
        <f t="shared" si="977"/>
        <v>5800</v>
      </c>
    </row>
    <row r="9211" spans="3:11" x14ac:dyDescent="0.3">
      <c r="C9211" s="16">
        <v>3</v>
      </c>
      <c r="D9211" s="13" t="s">
        <v>1224</v>
      </c>
      <c r="E9211" s="17" t="s">
        <v>19</v>
      </c>
      <c r="F9211" s="18">
        <v>4.0000000000000001E-3</v>
      </c>
      <c r="G9211" s="19">
        <f>VLOOKUP(D9211,upahbahan,3,FALSE)</f>
        <v>175000</v>
      </c>
      <c r="H9211" s="19">
        <f t="shared" si="977"/>
        <v>700</v>
      </c>
    </row>
    <row r="9212" spans="3:11" x14ac:dyDescent="0.3">
      <c r="C9212" s="16">
        <v>4</v>
      </c>
      <c r="D9212" s="13" t="s">
        <v>23</v>
      </c>
      <c r="E9212" s="17" t="s">
        <v>19</v>
      </c>
      <c r="F9212" s="18">
        <v>1E-3</v>
      </c>
      <c r="G9212" s="19">
        <f>VLOOKUP(D9212,upahbahan,3,FALSE)</f>
        <v>200000</v>
      </c>
      <c r="H9212" s="19">
        <f t="shared" si="977"/>
        <v>200</v>
      </c>
    </row>
    <row r="9213" spans="3:11" x14ac:dyDescent="0.3">
      <c r="C9213" s="21" t="s">
        <v>24</v>
      </c>
      <c r="D9213" s="22"/>
      <c r="E9213" s="22"/>
      <c r="F9213" s="54"/>
      <c r="G9213" s="24"/>
      <c r="H9213" s="19">
        <f>SUM(H9209:H9212)</f>
        <v>9100</v>
      </c>
      <c r="I9213" s="25"/>
    </row>
    <row r="9214" spans="3:11" x14ac:dyDescent="0.25">
      <c r="C9214" s="12" t="s">
        <v>25</v>
      </c>
      <c r="D9214" s="13" t="s">
        <v>26</v>
      </c>
      <c r="E9214" s="14"/>
      <c r="F9214" s="55"/>
      <c r="G9214" s="14"/>
      <c r="H9214" s="14"/>
    </row>
    <row r="9215" spans="3:11" x14ac:dyDescent="0.25">
      <c r="C9215" s="12">
        <v>1</v>
      </c>
      <c r="D9215" s="13" t="s">
        <v>249</v>
      </c>
      <c r="E9215" s="53" t="s">
        <v>974</v>
      </c>
      <c r="F9215" s="115">
        <v>22.6</v>
      </c>
      <c r="G9215" s="19">
        <f>VLOOKUP(D9215,upahbahan,3,FALSE)</f>
        <v>21300</v>
      </c>
      <c r="H9215" s="19">
        <f t="shared" ref="H9215" si="978">F9215*G9215</f>
        <v>481380.00000000006</v>
      </c>
    </row>
    <row r="9216" spans="3:11" x14ac:dyDescent="0.3">
      <c r="C9216" s="21" t="s">
        <v>29</v>
      </c>
      <c r="D9216" s="22"/>
      <c r="E9216" s="22" t="s">
        <v>1340</v>
      </c>
      <c r="F9216" s="22"/>
      <c r="G9216" s="28"/>
      <c r="H9216" s="19">
        <f>SUM(H9214:H9215)</f>
        <v>481380.00000000006</v>
      </c>
    </row>
    <row r="9217" spans="3:11" x14ac:dyDescent="0.25">
      <c r="C9217" s="12" t="s">
        <v>30</v>
      </c>
      <c r="D9217" s="13" t="s">
        <v>31</v>
      </c>
      <c r="E9217" s="14"/>
      <c r="F9217" s="14"/>
      <c r="G9217" s="14"/>
      <c r="H9217" s="14"/>
    </row>
    <row r="9218" spans="3:11" x14ac:dyDescent="0.3">
      <c r="C9218" s="21" t="s">
        <v>32</v>
      </c>
      <c r="D9218" s="77"/>
      <c r="E9218" s="77"/>
      <c r="F9218" s="77"/>
      <c r="G9218" s="28"/>
      <c r="H9218" s="29">
        <f>SUM(H9217:H9217)</f>
        <v>0</v>
      </c>
    </row>
    <row r="9219" spans="3:11" x14ac:dyDescent="0.3">
      <c r="C9219" s="30" t="s">
        <v>33</v>
      </c>
      <c r="D9219" s="31" t="s">
        <v>34</v>
      </c>
      <c r="E9219" s="32"/>
      <c r="F9219" s="32"/>
      <c r="G9219" s="33"/>
      <c r="H9219" s="46">
        <f>H9218+H9216+H9213</f>
        <v>490480.00000000006</v>
      </c>
      <c r="I9219" s="47"/>
    </row>
    <row r="9220" spans="3:11" x14ac:dyDescent="0.3">
      <c r="C9220" s="30" t="s">
        <v>35</v>
      </c>
      <c r="D9220" s="31" t="s">
        <v>36</v>
      </c>
      <c r="E9220" s="32"/>
      <c r="F9220" s="33"/>
      <c r="G9220" s="34">
        <f>$M$9</f>
        <v>0.1</v>
      </c>
      <c r="H9220" s="19">
        <f>H9219*G9220</f>
        <v>49048.000000000007</v>
      </c>
      <c r="I9220" s="47"/>
    </row>
    <row r="9221" spans="3:11" x14ac:dyDescent="0.3">
      <c r="C9221" s="30" t="s">
        <v>37</v>
      </c>
      <c r="D9221" s="31" t="s">
        <v>38</v>
      </c>
      <c r="E9221" s="32"/>
      <c r="F9221" s="32"/>
      <c r="G9221" s="33"/>
      <c r="H9221" s="48">
        <f>SUM(H9219:H9220)</f>
        <v>539528.00000000012</v>
      </c>
      <c r="I9221" s="47"/>
    </row>
    <row r="9223" spans="3:11" x14ac:dyDescent="0.3">
      <c r="C9223" s="60" t="s">
        <v>1704</v>
      </c>
      <c r="D9223" s="99" t="s">
        <v>1705</v>
      </c>
      <c r="E9223" s="62"/>
      <c r="F9223" s="62"/>
      <c r="G9223" s="62"/>
      <c r="H9223" s="62"/>
      <c r="I9223" s="10">
        <f>ROUNDDOWN(H9238,0)</f>
        <v>274769</v>
      </c>
      <c r="J9223" s="15"/>
      <c r="K9223" s="39"/>
    </row>
    <row r="9224" spans="3:11" ht="27.6" x14ac:dyDescent="0.3">
      <c r="C9224" s="11" t="s">
        <v>9</v>
      </c>
      <c r="D9224" s="11" t="s">
        <v>10</v>
      </c>
      <c r="E9224" s="11" t="s">
        <v>11</v>
      </c>
      <c r="F9224" s="11" t="s">
        <v>12</v>
      </c>
      <c r="G9224" s="11" t="s">
        <v>13</v>
      </c>
      <c r="H9224" s="11" t="s">
        <v>14</v>
      </c>
    </row>
    <row r="9225" spans="3:11" x14ac:dyDescent="0.25">
      <c r="C9225" s="12" t="s">
        <v>15</v>
      </c>
      <c r="D9225" s="13" t="s">
        <v>16</v>
      </c>
      <c r="E9225" s="14"/>
      <c r="F9225" s="14"/>
      <c r="G9225" s="14"/>
      <c r="H9225" s="14"/>
    </row>
    <row r="9226" spans="3:11" x14ac:dyDescent="0.3">
      <c r="C9226" s="16">
        <v>1</v>
      </c>
      <c r="D9226" s="13" t="s">
        <v>18</v>
      </c>
      <c r="E9226" s="17" t="s">
        <v>19</v>
      </c>
      <c r="F9226" s="18">
        <v>2.4E-2</v>
      </c>
      <c r="G9226" s="19">
        <f>VLOOKUP(D9226,upahbahan,3,FALSE)</f>
        <v>100000</v>
      </c>
      <c r="H9226" s="19">
        <f t="shared" ref="H9226:H9229" si="979">F9226*G9226</f>
        <v>2400</v>
      </c>
    </row>
    <row r="9227" spans="3:11" x14ac:dyDescent="0.3">
      <c r="C9227" s="16">
        <v>2</v>
      </c>
      <c r="D9227" s="13" t="s">
        <v>21</v>
      </c>
      <c r="E9227" s="17" t="s">
        <v>19</v>
      </c>
      <c r="F9227" s="18">
        <v>0.04</v>
      </c>
      <c r="G9227" s="19">
        <f>VLOOKUP(D9227,upahbahan,3,FALSE)</f>
        <v>145000</v>
      </c>
      <c r="H9227" s="19">
        <f t="shared" si="979"/>
        <v>5800</v>
      </c>
    </row>
    <row r="9228" spans="3:11" x14ac:dyDescent="0.3">
      <c r="C9228" s="16">
        <v>3</v>
      </c>
      <c r="D9228" s="13" t="s">
        <v>1224</v>
      </c>
      <c r="E9228" s="17" t="s">
        <v>19</v>
      </c>
      <c r="F9228" s="18">
        <v>4.0000000000000001E-3</v>
      </c>
      <c r="G9228" s="19">
        <f>VLOOKUP(D9228,upahbahan,3,FALSE)</f>
        <v>175000</v>
      </c>
      <c r="H9228" s="19">
        <f t="shared" si="979"/>
        <v>700</v>
      </c>
    </row>
    <row r="9229" spans="3:11" x14ac:dyDescent="0.3">
      <c r="C9229" s="16">
        <v>4</v>
      </c>
      <c r="D9229" s="13" t="s">
        <v>23</v>
      </c>
      <c r="E9229" s="17" t="s">
        <v>19</v>
      </c>
      <c r="F9229" s="18">
        <v>1E-3</v>
      </c>
      <c r="G9229" s="19">
        <f>VLOOKUP(D9229,upahbahan,3,FALSE)</f>
        <v>200000</v>
      </c>
      <c r="H9229" s="19">
        <f t="shared" si="979"/>
        <v>200</v>
      </c>
    </row>
    <row r="9230" spans="3:11" x14ac:dyDescent="0.3">
      <c r="C9230" s="21" t="s">
        <v>24</v>
      </c>
      <c r="D9230" s="22"/>
      <c r="E9230" s="22"/>
      <c r="F9230" s="54"/>
      <c r="G9230" s="24"/>
      <c r="H9230" s="19">
        <f>SUM(H9226:H9229)</f>
        <v>9100</v>
      </c>
      <c r="I9230" s="25"/>
    </row>
    <row r="9231" spans="3:11" x14ac:dyDescent="0.25">
      <c r="C9231" s="12" t="s">
        <v>25</v>
      </c>
      <c r="D9231" s="13" t="s">
        <v>26</v>
      </c>
      <c r="E9231" s="14"/>
      <c r="F9231" s="55"/>
      <c r="G9231" s="14"/>
      <c r="H9231" s="14"/>
    </row>
    <row r="9232" spans="3:11" x14ac:dyDescent="0.25">
      <c r="C9232" s="12">
        <v>1</v>
      </c>
      <c r="D9232" s="13" t="s">
        <v>249</v>
      </c>
      <c r="E9232" s="53" t="s">
        <v>974</v>
      </c>
      <c r="F9232" s="115">
        <v>11.3</v>
      </c>
      <c r="G9232" s="19">
        <f>VLOOKUP(D9232,upahbahan,3,FALSE)</f>
        <v>21300</v>
      </c>
      <c r="H9232" s="19">
        <f t="shared" ref="H9232" si="980">F9232*G9232</f>
        <v>240690.00000000003</v>
      </c>
    </row>
    <row r="9233" spans="3:11" x14ac:dyDescent="0.3">
      <c r="C9233" s="21" t="s">
        <v>29</v>
      </c>
      <c r="D9233" s="22"/>
      <c r="E9233" s="22" t="s">
        <v>1340</v>
      </c>
      <c r="F9233" s="22"/>
      <c r="G9233" s="28"/>
      <c r="H9233" s="19">
        <f>SUM(H9231:H9232)</f>
        <v>240690.00000000003</v>
      </c>
    </row>
    <row r="9234" spans="3:11" x14ac:dyDescent="0.25">
      <c r="C9234" s="12" t="s">
        <v>30</v>
      </c>
      <c r="D9234" s="13" t="s">
        <v>31</v>
      </c>
      <c r="E9234" s="14"/>
      <c r="F9234" s="14"/>
      <c r="G9234" s="14"/>
      <c r="H9234" s="14"/>
    </row>
    <row r="9235" spans="3:11" x14ac:dyDescent="0.3">
      <c r="C9235" s="21" t="s">
        <v>32</v>
      </c>
      <c r="D9235" s="77"/>
      <c r="E9235" s="77"/>
      <c r="F9235" s="77"/>
      <c r="G9235" s="28"/>
      <c r="H9235" s="29">
        <f>SUM(H9234:H9234)</f>
        <v>0</v>
      </c>
    </row>
    <row r="9236" spans="3:11" x14ac:dyDescent="0.3">
      <c r="C9236" s="30" t="s">
        <v>33</v>
      </c>
      <c r="D9236" s="31" t="s">
        <v>34</v>
      </c>
      <c r="E9236" s="32"/>
      <c r="F9236" s="32"/>
      <c r="G9236" s="33"/>
      <c r="H9236" s="46">
        <f>H9235+H9233+H9230</f>
        <v>249790.00000000003</v>
      </c>
      <c r="I9236" s="47"/>
    </row>
    <row r="9237" spans="3:11" x14ac:dyDescent="0.3">
      <c r="C9237" s="30" t="s">
        <v>35</v>
      </c>
      <c r="D9237" s="31" t="s">
        <v>36</v>
      </c>
      <c r="E9237" s="32"/>
      <c r="F9237" s="33"/>
      <c r="G9237" s="34">
        <f>$M$9</f>
        <v>0.1</v>
      </c>
      <c r="H9237" s="19">
        <f>H9236*G9237</f>
        <v>24979.000000000004</v>
      </c>
      <c r="I9237" s="47"/>
    </row>
    <row r="9238" spans="3:11" x14ac:dyDescent="0.3">
      <c r="C9238" s="30" t="s">
        <v>37</v>
      </c>
      <c r="D9238" s="31" t="s">
        <v>38</v>
      </c>
      <c r="E9238" s="32"/>
      <c r="F9238" s="32"/>
      <c r="G9238" s="33"/>
      <c r="H9238" s="48">
        <f>SUM(H9236:H9237)</f>
        <v>274769.00000000006</v>
      </c>
      <c r="I9238" s="47"/>
    </row>
    <row r="9240" spans="3:11" x14ac:dyDescent="0.3">
      <c r="C9240" s="40" t="s">
        <v>1706</v>
      </c>
      <c r="D9240" s="68" t="s">
        <v>1707</v>
      </c>
      <c r="E9240" s="44"/>
      <c r="F9240" s="44"/>
      <c r="G9240" s="44"/>
      <c r="H9240" s="44"/>
      <c r="I9240" s="10">
        <f>ROUNDDOWN(H9255,0)</f>
        <v>515889</v>
      </c>
      <c r="J9240" s="15"/>
      <c r="K9240" s="39"/>
    </row>
    <row r="9241" spans="3:11" ht="27.6" x14ac:dyDescent="0.3">
      <c r="C9241" s="11" t="s">
        <v>9</v>
      </c>
      <c r="D9241" s="11" t="s">
        <v>10</v>
      </c>
      <c r="E9241" s="11" t="s">
        <v>11</v>
      </c>
      <c r="F9241" s="11" t="s">
        <v>12</v>
      </c>
      <c r="G9241" s="11" t="s">
        <v>13</v>
      </c>
      <c r="H9241" s="11" t="s">
        <v>14</v>
      </c>
    </row>
    <row r="9242" spans="3:11" x14ac:dyDescent="0.25">
      <c r="C9242" s="12" t="s">
        <v>15</v>
      </c>
      <c r="D9242" s="13" t="s">
        <v>16</v>
      </c>
      <c r="E9242" s="14"/>
      <c r="F9242" s="14"/>
      <c r="G9242" s="14"/>
      <c r="H9242" s="14"/>
    </row>
    <row r="9243" spans="3:11" x14ac:dyDescent="0.3">
      <c r="C9243" s="16">
        <v>1</v>
      </c>
      <c r="D9243" s="13" t="s">
        <v>18</v>
      </c>
      <c r="E9243" s="17" t="s">
        <v>19</v>
      </c>
      <c r="F9243" s="18">
        <v>0.50700000000000001</v>
      </c>
      <c r="G9243" s="19">
        <f>VLOOKUP(D9243,upahbahan,3,FALSE)</f>
        <v>100000</v>
      </c>
      <c r="H9243" s="19">
        <f t="shared" ref="H9243:H9246" si="981">F9243*G9243</f>
        <v>50700</v>
      </c>
    </row>
    <row r="9244" spans="3:11" x14ac:dyDescent="0.3">
      <c r="C9244" s="16">
        <v>2</v>
      </c>
      <c r="D9244" s="13" t="s">
        <v>21</v>
      </c>
      <c r="E9244" s="17" t="s">
        <v>19</v>
      </c>
      <c r="F9244" s="18">
        <v>0.84699999999999998</v>
      </c>
      <c r="G9244" s="19">
        <f>VLOOKUP(D9244,upahbahan,3,FALSE)</f>
        <v>145000</v>
      </c>
      <c r="H9244" s="19">
        <f t="shared" si="981"/>
        <v>122815</v>
      </c>
    </row>
    <row r="9245" spans="3:11" x14ac:dyDescent="0.3">
      <c r="C9245" s="16">
        <v>3</v>
      </c>
      <c r="D9245" s="13" t="s">
        <v>1224</v>
      </c>
      <c r="E9245" s="17" t="s">
        <v>19</v>
      </c>
      <c r="F9245" s="18">
        <v>8.5000000000000006E-2</v>
      </c>
      <c r="G9245" s="19">
        <f>VLOOKUP(D9245,upahbahan,3,FALSE)</f>
        <v>175000</v>
      </c>
      <c r="H9245" s="19">
        <f t="shared" si="981"/>
        <v>14875.000000000002</v>
      </c>
    </row>
    <row r="9246" spans="3:11" x14ac:dyDescent="0.3">
      <c r="C9246" s="16">
        <v>4</v>
      </c>
      <c r="D9246" s="13" t="s">
        <v>23</v>
      </c>
      <c r="E9246" s="17" t="s">
        <v>19</v>
      </c>
      <c r="F9246" s="18">
        <v>2.8000000000000001E-2</v>
      </c>
      <c r="G9246" s="19">
        <f>VLOOKUP(D9246,upahbahan,3,FALSE)</f>
        <v>200000</v>
      </c>
      <c r="H9246" s="19">
        <f t="shared" si="981"/>
        <v>5600</v>
      </c>
    </row>
    <row r="9247" spans="3:11" x14ac:dyDescent="0.3">
      <c r="C9247" s="21" t="s">
        <v>24</v>
      </c>
      <c r="D9247" s="22"/>
      <c r="E9247" s="22"/>
      <c r="F9247" s="54"/>
      <c r="G9247" s="24"/>
      <c r="H9247" s="19">
        <f>SUM(H9243:H9246)</f>
        <v>193990</v>
      </c>
      <c r="I9247" s="25"/>
    </row>
    <row r="9248" spans="3:11" x14ac:dyDescent="0.25">
      <c r="C9248" s="12" t="s">
        <v>25</v>
      </c>
      <c r="D9248" s="13" t="s">
        <v>26</v>
      </c>
      <c r="E9248" s="14"/>
      <c r="F9248" s="55"/>
      <c r="G9248" s="14"/>
      <c r="H9248" s="14"/>
    </row>
    <row r="9249" spans="3:11" x14ac:dyDescent="0.25">
      <c r="C9249" s="12">
        <v>1</v>
      </c>
      <c r="D9249" s="13" t="s">
        <v>1708</v>
      </c>
      <c r="E9249" s="53" t="s">
        <v>974</v>
      </c>
      <c r="F9249" s="115">
        <v>1.1000000000000001</v>
      </c>
      <c r="G9249" s="19">
        <f>VLOOKUP(D9249,upahbahan,3,FALSE)</f>
        <v>250000</v>
      </c>
      <c r="H9249" s="19">
        <f t="shared" ref="H9249" si="982">F9249*G9249</f>
        <v>275000</v>
      </c>
    </row>
    <row r="9250" spans="3:11" x14ac:dyDescent="0.3">
      <c r="C9250" s="21" t="s">
        <v>29</v>
      </c>
      <c r="D9250" s="22"/>
      <c r="E9250" s="22" t="s">
        <v>1340</v>
      </c>
      <c r="F9250" s="22"/>
      <c r="G9250" s="28"/>
      <c r="H9250" s="19">
        <f>SUM(H9248:H9249)</f>
        <v>275000</v>
      </c>
    </row>
    <row r="9251" spans="3:11" x14ac:dyDescent="0.25">
      <c r="C9251" s="12" t="s">
        <v>30</v>
      </c>
      <c r="D9251" s="13" t="s">
        <v>31</v>
      </c>
      <c r="E9251" s="14"/>
      <c r="F9251" s="14"/>
      <c r="G9251" s="14"/>
      <c r="H9251" s="14"/>
    </row>
    <row r="9252" spans="3:11" x14ac:dyDescent="0.3">
      <c r="C9252" s="21" t="s">
        <v>32</v>
      </c>
      <c r="D9252" s="77"/>
      <c r="E9252" s="77"/>
      <c r="F9252" s="77"/>
      <c r="G9252" s="28"/>
      <c r="H9252" s="29">
        <f>SUM(H9251:H9251)</f>
        <v>0</v>
      </c>
    </row>
    <row r="9253" spans="3:11" x14ac:dyDescent="0.3">
      <c r="C9253" s="30" t="s">
        <v>33</v>
      </c>
      <c r="D9253" s="31" t="s">
        <v>34</v>
      </c>
      <c r="E9253" s="32"/>
      <c r="F9253" s="32"/>
      <c r="G9253" s="33"/>
      <c r="H9253" s="46">
        <f>H9252+H9250+H9247</f>
        <v>468990</v>
      </c>
      <c r="I9253" s="47"/>
    </row>
    <row r="9254" spans="3:11" x14ac:dyDescent="0.3">
      <c r="C9254" s="30" t="s">
        <v>35</v>
      </c>
      <c r="D9254" s="31" t="s">
        <v>36</v>
      </c>
      <c r="E9254" s="32"/>
      <c r="F9254" s="33"/>
      <c r="G9254" s="34">
        <f>$M$9</f>
        <v>0.1</v>
      </c>
      <c r="H9254" s="19">
        <f>H9253*G9254</f>
        <v>46899</v>
      </c>
      <c r="I9254" s="47"/>
    </row>
    <row r="9255" spans="3:11" x14ac:dyDescent="0.3">
      <c r="C9255" s="30" t="s">
        <v>37</v>
      </c>
      <c r="D9255" s="31" t="s">
        <v>38</v>
      </c>
      <c r="E9255" s="32"/>
      <c r="F9255" s="32"/>
      <c r="G9255" s="33"/>
      <c r="H9255" s="48">
        <f>SUM(H9253:H9254)</f>
        <v>515889</v>
      </c>
      <c r="I9255" s="47"/>
    </row>
    <row r="9257" spans="3:11" x14ac:dyDescent="0.3">
      <c r="C9257" s="116" t="s">
        <v>1709</v>
      </c>
      <c r="D9257" s="117" t="s">
        <v>1710</v>
      </c>
      <c r="E9257" s="118"/>
      <c r="F9257" s="118"/>
      <c r="G9257" s="118"/>
      <c r="H9257" s="118"/>
      <c r="I9257" s="10">
        <f>ROUNDDOWN(H9272,0)</f>
        <v>6006044</v>
      </c>
      <c r="J9257" s="15"/>
      <c r="K9257" s="39"/>
    </row>
    <row r="9258" spans="3:11" ht="27.6" x14ac:dyDescent="0.3">
      <c r="C9258" s="11" t="s">
        <v>9</v>
      </c>
      <c r="D9258" s="11" t="s">
        <v>10</v>
      </c>
      <c r="E9258" s="11" t="s">
        <v>11</v>
      </c>
      <c r="F9258" s="11" t="s">
        <v>12</v>
      </c>
      <c r="G9258" s="11" t="s">
        <v>13</v>
      </c>
      <c r="H9258" s="11" t="s">
        <v>14</v>
      </c>
    </row>
    <row r="9259" spans="3:11" x14ac:dyDescent="0.25">
      <c r="C9259" s="12" t="s">
        <v>15</v>
      </c>
      <c r="D9259" s="13" t="s">
        <v>16</v>
      </c>
      <c r="E9259" s="14"/>
      <c r="F9259" s="14"/>
      <c r="G9259" s="14"/>
      <c r="H9259" s="14"/>
    </row>
    <row r="9260" spans="3:11" x14ac:dyDescent="0.3">
      <c r="C9260" s="16">
        <v>1</v>
      </c>
      <c r="D9260" s="13" t="s">
        <v>18</v>
      </c>
      <c r="E9260" s="17" t="s">
        <v>19</v>
      </c>
      <c r="F9260" s="18">
        <v>1.333</v>
      </c>
      <c r="G9260" s="19">
        <f>VLOOKUP(D9260,upahbahan,3,FALSE)</f>
        <v>100000</v>
      </c>
      <c r="H9260" s="19">
        <f t="shared" ref="H9260:H9263" si="983">F9260*G9260</f>
        <v>133300</v>
      </c>
    </row>
    <row r="9261" spans="3:11" x14ac:dyDescent="0.3">
      <c r="C9261" s="16">
        <v>2</v>
      </c>
      <c r="D9261" s="13" t="s">
        <v>21</v>
      </c>
      <c r="E9261" s="17" t="s">
        <v>19</v>
      </c>
      <c r="F9261" s="18">
        <v>2.2269999999999999</v>
      </c>
      <c r="G9261" s="19">
        <f>VLOOKUP(D9261,upahbahan,3,FALSE)</f>
        <v>145000</v>
      </c>
      <c r="H9261" s="19">
        <f t="shared" si="983"/>
        <v>322915</v>
      </c>
    </row>
    <row r="9262" spans="3:11" x14ac:dyDescent="0.3">
      <c r="C9262" s="16">
        <v>3</v>
      </c>
      <c r="D9262" s="13" t="s">
        <v>1224</v>
      </c>
      <c r="E9262" s="17" t="s">
        <v>19</v>
      </c>
      <c r="F9262" s="18">
        <v>0.223</v>
      </c>
      <c r="G9262" s="19">
        <f>VLOOKUP(D9262,upahbahan,3,FALSE)</f>
        <v>175000</v>
      </c>
      <c r="H9262" s="19">
        <f t="shared" si="983"/>
        <v>39025</v>
      </c>
    </row>
    <row r="9263" spans="3:11" x14ac:dyDescent="0.3">
      <c r="C9263" s="16">
        <v>4</v>
      </c>
      <c r="D9263" s="13" t="s">
        <v>23</v>
      </c>
      <c r="E9263" s="17" t="s">
        <v>19</v>
      </c>
      <c r="F9263" s="18">
        <v>7.3999999999999996E-2</v>
      </c>
      <c r="G9263" s="19">
        <f>VLOOKUP(D9263,upahbahan,3,FALSE)</f>
        <v>200000</v>
      </c>
      <c r="H9263" s="19">
        <f t="shared" si="983"/>
        <v>14800</v>
      </c>
    </row>
    <row r="9264" spans="3:11" x14ac:dyDescent="0.3">
      <c r="C9264" s="21" t="s">
        <v>24</v>
      </c>
      <c r="D9264" s="22"/>
      <c r="E9264" s="22"/>
      <c r="F9264" s="54"/>
      <c r="G9264" s="24"/>
      <c r="H9264" s="19">
        <f>SUM(H9260:H9263)</f>
        <v>510040</v>
      </c>
      <c r="I9264" s="25"/>
    </row>
    <row r="9265" spans="3:11" x14ac:dyDescent="0.25">
      <c r="C9265" s="12" t="s">
        <v>25</v>
      </c>
      <c r="D9265" s="13" t="s">
        <v>26</v>
      </c>
      <c r="E9265" s="14"/>
      <c r="F9265" s="55"/>
      <c r="G9265" s="14"/>
      <c r="H9265" s="14"/>
    </row>
    <row r="9266" spans="3:11" x14ac:dyDescent="0.25">
      <c r="C9266" s="12">
        <v>1</v>
      </c>
      <c r="D9266" s="13" t="s">
        <v>1711</v>
      </c>
      <c r="E9266" s="53" t="s">
        <v>617</v>
      </c>
      <c r="F9266" s="115">
        <v>1.1000000000000001</v>
      </c>
      <c r="G9266" s="19">
        <f>VLOOKUP(D9266,upahbahan,3,FALSE)</f>
        <v>4500000</v>
      </c>
      <c r="H9266" s="19">
        <f t="shared" ref="H9266" si="984">F9266*G9266</f>
        <v>4950000</v>
      </c>
    </row>
    <row r="9267" spans="3:11" x14ac:dyDescent="0.3">
      <c r="C9267" s="21" t="s">
        <v>29</v>
      </c>
      <c r="D9267" s="22"/>
      <c r="E9267" s="22" t="s">
        <v>1340</v>
      </c>
      <c r="F9267" s="22"/>
      <c r="G9267" s="28"/>
      <c r="H9267" s="19">
        <f>SUM(H9265:H9266)</f>
        <v>4950000</v>
      </c>
    </row>
    <row r="9268" spans="3:11" x14ac:dyDescent="0.25">
      <c r="C9268" s="12" t="s">
        <v>30</v>
      </c>
      <c r="D9268" s="13" t="s">
        <v>31</v>
      </c>
      <c r="E9268" s="14"/>
      <c r="F9268" s="14"/>
      <c r="G9268" s="14"/>
      <c r="H9268" s="14"/>
    </row>
    <row r="9269" spans="3:11" x14ac:dyDescent="0.3">
      <c r="C9269" s="21" t="s">
        <v>32</v>
      </c>
      <c r="D9269" s="77"/>
      <c r="E9269" s="77"/>
      <c r="F9269" s="77"/>
      <c r="G9269" s="28"/>
      <c r="H9269" s="29">
        <f>SUM(H9268:H9268)</f>
        <v>0</v>
      </c>
    </row>
    <row r="9270" spans="3:11" x14ac:dyDescent="0.3">
      <c r="C9270" s="30" t="s">
        <v>33</v>
      </c>
      <c r="D9270" s="31" t="s">
        <v>34</v>
      </c>
      <c r="E9270" s="32"/>
      <c r="F9270" s="32"/>
      <c r="G9270" s="33"/>
      <c r="H9270" s="46">
        <f>H9269+H9267+H9264</f>
        <v>5460040</v>
      </c>
      <c r="I9270" s="47"/>
    </row>
    <row r="9271" spans="3:11" x14ac:dyDescent="0.3">
      <c r="C9271" s="30" t="s">
        <v>35</v>
      </c>
      <c r="D9271" s="31" t="s">
        <v>36</v>
      </c>
      <c r="E9271" s="32"/>
      <c r="F9271" s="33"/>
      <c r="G9271" s="34">
        <f>$M$9</f>
        <v>0.1</v>
      </c>
      <c r="H9271" s="19">
        <f>H9270*G9271</f>
        <v>546004</v>
      </c>
      <c r="I9271" s="47"/>
    </row>
    <row r="9272" spans="3:11" x14ac:dyDescent="0.3">
      <c r="C9272" s="30" t="s">
        <v>37</v>
      </c>
      <c r="D9272" s="31" t="s">
        <v>38</v>
      </c>
      <c r="E9272" s="32"/>
      <c r="F9272" s="32"/>
      <c r="G9272" s="33"/>
      <c r="H9272" s="48">
        <f>SUM(H9270:H9271)</f>
        <v>6006044</v>
      </c>
      <c r="I9272" s="47"/>
    </row>
    <row r="9274" spans="3:11" x14ac:dyDescent="0.3">
      <c r="C9274" s="2" t="s">
        <v>1712</v>
      </c>
      <c r="D9274" s="2" t="s">
        <v>1713</v>
      </c>
    </row>
    <row r="9275" spans="3:11" x14ac:dyDescent="0.3">
      <c r="C9275" s="40" t="s">
        <v>1714</v>
      </c>
      <c r="D9275" s="68" t="s">
        <v>1715</v>
      </c>
      <c r="E9275" s="44"/>
      <c r="F9275" s="44"/>
      <c r="G9275" s="44"/>
      <c r="H9275" s="44"/>
      <c r="I9275" s="10">
        <f>ROUNDDOWN(H9293,0)</f>
        <v>577120</v>
      </c>
      <c r="J9275" s="15"/>
      <c r="K9275" s="39"/>
    </row>
    <row r="9276" spans="3:11" ht="27.6" x14ac:dyDescent="0.3">
      <c r="C9276" s="11" t="s">
        <v>9</v>
      </c>
      <c r="D9276" s="11" t="s">
        <v>10</v>
      </c>
      <c r="E9276" s="11" t="s">
        <v>11</v>
      </c>
      <c r="F9276" s="11" t="s">
        <v>12</v>
      </c>
      <c r="G9276" s="11" t="s">
        <v>13</v>
      </c>
      <c r="H9276" s="11" t="s">
        <v>14</v>
      </c>
    </row>
    <row r="9277" spans="3:11" x14ac:dyDescent="0.25">
      <c r="C9277" s="12" t="s">
        <v>15</v>
      </c>
      <c r="D9277" s="13" t="s">
        <v>16</v>
      </c>
      <c r="E9277" s="14"/>
      <c r="F9277" s="14"/>
      <c r="G9277" s="14"/>
      <c r="H9277" s="14"/>
    </row>
    <row r="9278" spans="3:11" x14ac:dyDescent="0.3">
      <c r="C9278" s="16">
        <v>1</v>
      </c>
      <c r="D9278" s="13" t="s">
        <v>18</v>
      </c>
      <c r="E9278" s="17" t="s">
        <v>19</v>
      </c>
      <c r="F9278" s="18">
        <v>0.14299999999999999</v>
      </c>
      <c r="G9278" s="19">
        <f>VLOOKUP(D9278,upahbahan,3,FALSE)</f>
        <v>100000</v>
      </c>
      <c r="H9278" s="19">
        <f t="shared" ref="H9278:H9281" si="985">F9278*G9278</f>
        <v>14299.999999999998</v>
      </c>
    </row>
    <row r="9279" spans="3:11" x14ac:dyDescent="0.3">
      <c r="C9279" s="16">
        <v>2</v>
      </c>
      <c r="D9279" s="13" t="s">
        <v>21</v>
      </c>
      <c r="E9279" s="17" t="s">
        <v>19</v>
      </c>
      <c r="F9279" s="18">
        <v>0.23899999999999999</v>
      </c>
      <c r="G9279" s="19">
        <f>VLOOKUP(D9279,upahbahan,3,FALSE)</f>
        <v>145000</v>
      </c>
      <c r="H9279" s="19">
        <f t="shared" si="985"/>
        <v>34655</v>
      </c>
    </row>
    <row r="9280" spans="3:11" x14ac:dyDescent="0.3">
      <c r="C9280" s="16">
        <v>3</v>
      </c>
      <c r="D9280" s="13" t="s">
        <v>1224</v>
      </c>
      <c r="E9280" s="17" t="s">
        <v>19</v>
      </c>
      <c r="F9280" s="18">
        <v>2.4E-2</v>
      </c>
      <c r="G9280" s="19">
        <f>VLOOKUP(D9280,upahbahan,3,FALSE)</f>
        <v>175000</v>
      </c>
      <c r="H9280" s="19">
        <f t="shared" si="985"/>
        <v>4200</v>
      </c>
    </row>
    <row r="9281" spans="3:11" x14ac:dyDescent="0.3">
      <c r="C9281" s="16">
        <v>4</v>
      </c>
      <c r="D9281" s="13" t="s">
        <v>23</v>
      </c>
      <c r="E9281" s="17" t="s">
        <v>19</v>
      </c>
      <c r="F9281" s="18">
        <v>8.0000000000000002E-3</v>
      </c>
      <c r="G9281" s="19">
        <f>VLOOKUP(D9281,upahbahan,3,FALSE)</f>
        <v>200000</v>
      </c>
      <c r="H9281" s="19">
        <f t="shared" si="985"/>
        <v>1600</v>
      </c>
    </row>
    <row r="9282" spans="3:11" x14ac:dyDescent="0.3">
      <c r="C9282" s="21" t="s">
        <v>24</v>
      </c>
      <c r="D9282" s="22"/>
      <c r="E9282" s="22"/>
      <c r="F9282" s="54"/>
      <c r="G9282" s="24"/>
      <c r="H9282" s="19">
        <f>SUM(H9278:H9281)</f>
        <v>54755</v>
      </c>
      <c r="I9282" s="25"/>
    </row>
    <row r="9283" spans="3:11" x14ac:dyDescent="0.25">
      <c r="C9283" s="12" t="s">
        <v>25</v>
      </c>
      <c r="D9283" s="13" t="s">
        <v>26</v>
      </c>
      <c r="E9283" s="14"/>
      <c r="F9283" s="55"/>
      <c r="G9283" s="14"/>
      <c r="H9283" s="14"/>
    </row>
    <row r="9284" spans="3:11" x14ac:dyDescent="0.25">
      <c r="C9284" s="12">
        <v>1</v>
      </c>
      <c r="D9284" s="13" t="s">
        <v>1716</v>
      </c>
      <c r="E9284" s="53" t="s">
        <v>1717</v>
      </c>
      <c r="F9284" s="115">
        <v>1.2</v>
      </c>
      <c r="G9284" s="19">
        <f>VLOOKUP(D9284,upahbahan,3,FALSE)</f>
        <v>222000</v>
      </c>
      <c r="H9284" s="19">
        <f t="shared" ref="H9284:H9287" si="986">F9284*G9284</f>
        <v>266400</v>
      </c>
    </row>
    <row r="9285" spans="3:11" x14ac:dyDescent="0.25">
      <c r="C9285" s="12">
        <v>2</v>
      </c>
      <c r="D9285" s="13" t="s">
        <v>1718</v>
      </c>
      <c r="E9285" s="53" t="s">
        <v>1011</v>
      </c>
      <c r="F9285" s="115">
        <v>1</v>
      </c>
      <c r="G9285" s="19">
        <f>VLOOKUP(D9285,upahbahan,3,FALSE)</f>
        <v>56500</v>
      </c>
      <c r="H9285" s="19">
        <f t="shared" si="986"/>
        <v>56500</v>
      </c>
    </row>
    <row r="9286" spans="3:11" x14ac:dyDescent="0.25">
      <c r="C9286" s="12">
        <v>3</v>
      </c>
      <c r="D9286" s="13" t="s">
        <v>1719</v>
      </c>
      <c r="E9286" s="53" t="s">
        <v>1011</v>
      </c>
      <c r="F9286" s="115">
        <v>1</v>
      </c>
      <c r="G9286" s="19">
        <f>VLOOKUP(D9286,upahbahan,3,FALSE)</f>
        <v>92000</v>
      </c>
      <c r="H9286" s="19">
        <f t="shared" si="986"/>
        <v>92000</v>
      </c>
    </row>
    <row r="9287" spans="3:11" x14ac:dyDescent="0.25">
      <c r="C9287" s="12">
        <v>4</v>
      </c>
      <c r="D9287" s="13" t="s">
        <v>1720</v>
      </c>
      <c r="E9287" s="53" t="s">
        <v>1011</v>
      </c>
      <c r="F9287" s="115">
        <v>1</v>
      </c>
      <c r="G9287" s="19">
        <f>VLOOKUP(D9287,upahbahan,3,FALSE)</f>
        <v>55000</v>
      </c>
      <c r="H9287" s="19">
        <f t="shared" si="986"/>
        <v>55000</v>
      </c>
    </row>
    <row r="9288" spans="3:11" x14ac:dyDescent="0.3">
      <c r="C9288" s="21" t="s">
        <v>29</v>
      </c>
      <c r="D9288" s="22"/>
      <c r="E9288" s="22" t="s">
        <v>1340</v>
      </c>
      <c r="F9288" s="22"/>
      <c r="G9288" s="28"/>
      <c r="H9288" s="19">
        <f>SUM(H9283:H9287)</f>
        <v>469900</v>
      </c>
    </row>
    <row r="9289" spans="3:11" x14ac:dyDescent="0.25">
      <c r="C9289" s="12" t="s">
        <v>30</v>
      </c>
      <c r="D9289" s="13" t="s">
        <v>31</v>
      </c>
      <c r="E9289" s="14"/>
      <c r="F9289" s="14"/>
      <c r="G9289" s="14"/>
      <c r="H9289" s="14"/>
    </row>
    <row r="9290" spans="3:11" x14ac:dyDescent="0.3">
      <c r="C9290" s="21" t="s">
        <v>32</v>
      </c>
      <c r="D9290" s="77"/>
      <c r="E9290" s="77"/>
      <c r="F9290" s="77"/>
      <c r="G9290" s="28"/>
      <c r="H9290" s="29">
        <f>SUM(H9289:H9289)</f>
        <v>0</v>
      </c>
    </row>
    <row r="9291" spans="3:11" x14ac:dyDescent="0.3">
      <c r="C9291" s="30" t="s">
        <v>33</v>
      </c>
      <c r="D9291" s="31" t="s">
        <v>34</v>
      </c>
      <c r="E9291" s="32"/>
      <c r="F9291" s="32"/>
      <c r="G9291" s="33"/>
      <c r="H9291" s="46">
        <f>H9290+H9288+H9282</f>
        <v>524655</v>
      </c>
      <c r="I9291" s="47"/>
    </row>
    <row r="9292" spans="3:11" x14ac:dyDescent="0.3">
      <c r="C9292" s="30" t="s">
        <v>35</v>
      </c>
      <c r="D9292" s="31" t="s">
        <v>36</v>
      </c>
      <c r="E9292" s="32"/>
      <c r="F9292" s="33"/>
      <c r="G9292" s="34">
        <f>$M$9</f>
        <v>0.1</v>
      </c>
      <c r="H9292" s="19">
        <f>H9291*G9292</f>
        <v>52465.5</v>
      </c>
      <c r="I9292" s="47"/>
    </row>
    <row r="9293" spans="3:11" x14ac:dyDescent="0.3">
      <c r="C9293" s="30" t="s">
        <v>37</v>
      </c>
      <c r="D9293" s="31" t="s">
        <v>38</v>
      </c>
      <c r="E9293" s="32"/>
      <c r="F9293" s="32"/>
      <c r="G9293" s="33"/>
      <c r="H9293" s="48">
        <f>SUM(H9291:H9292)</f>
        <v>577120.5</v>
      </c>
      <c r="I9293" s="47"/>
    </row>
    <row r="9296" spans="3:11" x14ac:dyDescent="0.3">
      <c r="C9296" s="40" t="s">
        <v>1721</v>
      </c>
      <c r="D9296" s="68" t="s">
        <v>1722</v>
      </c>
      <c r="E9296" s="44"/>
      <c r="F9296" s="44"/>
      <c r="G9296" s="44"/>
      <c r="H9296" s="44"/>
      <c r="I9296" s="10">
        <f>ROUNDDOWN(H9314,0)</f>
        <v>597091</v>
      </c>
      <c r="J9296" s="15"/>
      <c r="K9296" s="39"/>
    </row>
    <row r="9297" spans="3:9" ht="27.6" x14ac:dyDescent="0.3">
      <c r="C9297" s="11" t="s">
        <v>9</v>
      </c>
      <c r="D9297" s="11" t="s">
        <v>10</v>
      </c>
      <c r="E9297" s="11" t="s">
        <v>11</v>
      </c>
      <c r="F9297" s="11" t="s">
        <v>12</v>
      </c>
      <c r="G9297" s="11" t="s">
        <v>13</v>
      </c>
      <c r="H9297" s="11" t="s">
        <v>14</v>
      </c>
    </row>
    <row r="9298" spans="3:9" x14ac:dyDescent="0.25">
      <c r="C9298" s="12" t="s">
        <v>15</v>
      </c>
      <c r="D9298" s="13" t="s">
        <v>16</v>
      </c>
      <c r="E9298" s="14"/>
      <c r="F9298" s="14"/>
      <c r="G9298" s="14"/>
      <c r="H9298" s="14"/>
    </row>
    <row r="9299" spans="3:9" x14ac:dyDescent="0.3">
      <c r="C9299" s="16">
        <v>1</v>
      </c>
      <c r="D9299" s="13" t="s">
        <v>18</v>
      </c>
      <c r="E9299" s="17" t="s">
        <v>19</v>
      </c>
      <c r="F9299" s="18">
        <v>0.19</v>
      </c>
      <c r="G9299" s="19">
        <f>VLOOKUP(D9299,upahbahan,3,FALSE)</f>
        <v>100000</v>
      </c>
      <c r="H9299" s="19">
        <f t="shared" ref="H9299:H9302" si="987">F9299*G9299</f>
        <v>19000</v>
      </c>
    </row>
    <row r="9300" spans="3:9" x14ac:dyDescent="0.3">
      <c r="C9300" s="16">
        <v>2</v>
      </c>
      <c r="D9300" s="13" t="s">
        <v>21</v>
      </c>
      <c r="E9300" s="17" t="s">
        <v>19</v>
      </c>
      <c r="F9300" s="18">
        <v>0.318</v>
      </c>
      <c r="G9300" s="19">
        <f>VLOOKUP(D9300,upahbahan,3,FALSE)</f>
        <v>145000</v>
      </c>
      <c r="H9300" s="19">
        <f t="shared" si="987"/>
        <v>46110</v>
      </c>
    </row>
    <row r="9301" spans="3:9" x14ac:dyDescent="0.3">
      <c r="C9301" s="16">
        <v>3</v>
      </c>
      <c r="D9301" s="13" t="s">
        <v>1224</v>
      </c>
      <c r="E9301" s="17" t="s">
        <v>19</v>
      </c>
      <c r="F9301" s="18">
        <v>3.2000000000000001E-2</v>
      </c>
      <c r="G9301" s="19">
        <f>VLOOKUP(D9301,upahbahan,3,FALSE)</f>
        <v>175000</v>
      </c>
      <c r="H9301" s="19">
        <f t="shared" si="987"/>
        <v>5600</v>
      </c>
    </row>
    <row r="9302" spans="3:9" x14ac:dyDescent="0.3">
      <c r="C9302" s="16">
        <v>4</v>
      </c>
      <c r="D9302" s="13" t="s">
        <v>23</v>
      </c>
      <c r="E9302" s="17" t="s">
        <v>19</v>
      </c>
      <c r="F9302" s="18">
        <v>1.0999999999999999E-2</v>
      </c>
      <c r="G9302" s="19">
        <f>VLOOKUP(D9302,upahbahan,3,FALSE)</f>
        <v>200000</v>
      </c>
      <c r="H9302" s="19">
        <f t="shared" si="987"/>
        <v>2200</v>
      </c>
    </row>
    <row r="9303" spans="3:9" x14ac:dyDescent="0.3">
      <c r="C9303" s="21" t="s">
        <v>24</v>
      </c>
      <c r="D9303" s="22"/>
      <c r="E9303" s="22"/>
      <c r="F9303" s="54"/>
      <c r="G9303" s="24"/>
      <c r="H9303" s="19">
        <f>SUM(H9299:H9302)</f>
        <v>72910</v>
      </c>
      <c r="I9303" s="25"/>
    </row>
    <row r="9304" spans="3:9" x14ac:dyDescent="0.25">
      <c r="C9304" s="12" t="s">
        <v>25</v>
      </c>
      <c r="D9304" s="13" t="s">
        <v>26</v>
      </c>
      <c r="E9304" s="14"/>
      <c r="F9304" s="55"/>
      <c r="G9304" s="14"/>
      <c r="H9304" s="14"/>
    </row>
    <row r="9305" spans="3:9" x14ac:dyDescent="0.25">
      <c r="C9305" s="12">
        <v>1</v>
      </c>
      <c r="D9305" s="13" t="s">
        <v>1716</v>
      </c>
      <c r="E9305" s="53" t="s">
        <v>1717</v>
      </c>
      <c r="F9305" s="115">
        <v>1.2</v>
      </c>
      <c r="G9305" s="19">
        <f>VLOOKUP(D9305,upahbahan,3,FALSE)</f>
        <v>222000</v>
      </c>
      <c r="H9305" s="19">
        <f t="shared" ref="H9305:H9308" si="988">F9305*G9305</f>
        <v>266400</v>
      </c>
    </row>
    <row r="9306" spans="3:9" x14ac:dyDescent="0.25">
      <c r="C9306" s="12">
        <v>2</v>
      </c>
      <c r="D9306" s="13" t="s">
        <v>1718</v>
      </c>
      <c r="E9306" s="53" t="s">
        <v>1011</v>
      </c>
      <c r="F9306" s="115">
        <v>1</v>
      </c>
      <c r="G9306" s="19">
        <f>VLOOKUP(D9306,upahbahan,3,FALSE)</f>
        <v>56500</v>
      </c>
      <c r="H9306" s="19">
        <f t="shared" si="988"/>
        <v>56500</v>
      </c>
    </row>
    <row r="9307" spans="3:9" x14ac:dyDescent="0.25">
      <c r="C9307" s="12">
        <v>3</v>
      </c>
      <c r="D9307" s="13" t="s">
        <v>1719</v>
      </c>
      <c r="E9307" s="53" t="s">
        <v>1011</v>
      </c>
      <c r="F9307" s="115">
        <v>1</v>
      </c>
      <c r="G9307" s="19">
        <f>VLOOKUP(D9307,upahbahan,3,FALSE)</f>
        <v>92000</v>
      </c>
      <c r="H9307" s="19">
        <f t="shared" si="988"/>
        <v>92000</v>
      </c>
    </row>
    <row r="9308" spans="3:9" x14ac:dyDescent="0.25">
      <c r="C9308" s="12">
        <v>4</v>
      </c>
      <c r="D9308" s="13" t="s">
        <v>1720</v>
      </c>
      <c r="E9308" s="53" t="s">
        <v>1011</v>
      </c>
      <c r="F9308" s="115">
        <v>1</v>
      </c>
      <c r="G9308" s="19">
        <f>VLOOKUP(D9308,upahbahan,3,FALSE)</f>
        <v>55000</v>
      </c>
      <c r="H9308" s="19">
        <f t="shared" si="988"/>
        <v>55000</v>
      </c>
    </row>
    <row r="9309" spans="3:9" x14ac:dyDescent="0.3">
      <c r="C9309" s="21" t="s">
        <v>29</v>
      </c>
      <c r="D9309" s="22"/>
      <c r="E9309" s="22" t="s">
        <v>1340</v>
      </c>
      <c r="F9309" s="22"/>
      <c r="G9309" s="28"/>
      <c r="H9309" s="19">
        <f>SUM(H9304:H9308)</f>
        <v>469900</v>
      </c>
    </row>
    <row r="9310" spans="3:9" x14ac:dyDescent="0.25">
      <c r="C9310" s="12" t="s">
        <v>30</v>
      </c>
      <c r="D9310" s="13" t="s">
        <v>31</v>
      </c>
      <c r="E9310" s="14"/>
      <c r="F9310" s="14"/>
      <c r="G9310" s="14"/>
      <c r="H9310" s="14"/>
    </row>
    <row r="9311" spans="3:9" x14ac:dyDescent="0.3">
      <c r="C9311" s="21" t="s">
        <v>32</v>
      </c>
      <c r="D9311" s="77"/>
      <c r="E9311" s="77"/>
      <c r="F9311" s="77"/>
      <c r="G9311" s="28"/>
      <c r="H9311" s="29">
        <f>SUM(H9310:H9310)</f>
        <v>0</v>
      </c>
    </row>
    <row r="9312" spans="3:9" x14ac:dyDescent="0.3">
      <c r="C9312" s="30" t="s">
        <v>33</v>
      </c>
      <c r="D9312" s="31" t="s">
        <v>34</v>
      </c>
      <c r="E9312" s="32"/>
      <c r="F9312" s="32"/>
      <c r="G9312" s="33"/>
      <c r="H9312" s="46">
        <f>H9311+H9309+H9303</f>
        <v>542810</v>
      </c>
      <c r="I9312" s="47"/>
    </row>
    <row r="9313" spans="3:11" x14ac:dyDescent="0.3">
      <c r="C9313" s="30" t="s">
        <v>35</v>
      </c>
      <c r="D9313" s="31" t="s">
        <v>36</v>
      </c>
      <c r="E9313" s="32"/>
      <c r="F9313" s="33"/>
      <c r="G9313" s="34">
        <f>$M$9</f>
        <v>0.1</v>
      </c>
      <c r="H9313" s="19">
        <f>H9312*G9313</f>
        <v>54281</v>
      </c>
      <c r="I9313" s="47"/>
    </row>
    <row r="9314" spans="3:11" x14ac:dyDescent="0.3">
      <c r="C9314" s="30" t="s">
        <v>37</v>
      </c>
      <c r="D9314" s="31" t="s">
        <v>38</v>
      </c>
      <c r="E9314" s="32"/>
      <c r="F9314" s="32"/>
      <c r="G9314" s="33"/>
      <c r="H9314" s="48">
        <f>SUM(H9312:H9313)</f>
        <v>597091</v>
      </c>
      <c r="I9314" s="47"/>
    </row>
    <row r="9316" spans="3:11" x14ac:dyDescent="0.3">
      <c r="C9316" s="40" t="s">
        <v>1723</v>
      </c>
      <c r="D9316" s="68" t="s">
        <v>1724</v>
      </c>
      <c r="E9316" s="44"/>
      <c r="F9316" s="44"/>
      <c r="G9316" s="44"/>
      <c r="H9316" s="44"/>
      <c r="I9316" s="10">
        <f>ROUNDDOWN(H9334,0)</f>
        <v>608069</v>
      </c>
      <c r="J9316" s="15"/>
      <c r="K9316" s="39"/>
    </row>
    <row r="9317" spans="3:11" ht="27.6" x14ac:dyDescent="0.3">
      <c r="C9317" s="11" t="s">
        <v>9</v>
      </c>
      <c r="D9317" s="11" t="s">
        <v>10</v>
      </c>
      <c r="E9317" s="11" t="s">
        <v>11</v>
      </c>
      <c r="F9317" s="11" t="s">
        <v>12</v>
      </c>
      <c r="G9317" s="11" t="s">
        <v>13</v>
      </c>
      <c r="H9317" s="11" t="s">
        <v>14</v>
      </c>
    </row>
    <row r="9318" spans="3:11" x14ac:dyDescent="0.25">
      <c r="C9318" s="12" t="s">
        <v>15</v>
      </c>
      <c r="D9318" s="13" t="s">
        <v>16</v>
      </c>
      <c r="E9318" s="14"/>
      <c r="F9318" s="14"/>
      <c r="G9318" s="14"/>
      <c r="H9318" s="14"/>
    </row>
    <row r="9319" spans="3:11" x14ac:dyDescent="0.3">
      <c r="C9319" s="16">
        <v>1</v>
      </c>
      <c r="D9319" s="13" t="s">
        <v>18</v>
      </c>
      <c r="E9319" s="17" t="s">
        <v>19</v>
      </c>
      <c r="F9319" s="18">
        <v>0.217</v>
      </c>
      <c r="G9319" s="19">
        <f>VLOOKUP(D9319,upahbahan,3,FALSE)</f>
        <v>100000</v>
      </c>
      <c r="H9319" s="19">
        <f t="shared" ref="H9319:H9322" si="989">F9319*G9319</f>
        <v>21700</v>
      </c>
    </row>
    <row r="9320" spans="3:11" x14ac:dyDescent="0.3">
      <c r="C9320" s="16">
        <v>2</v>
      </c>
      <c r="D9320" s="13" t="s">
        <v>21</v>
      </c>
      <c r="E9320" s="17" t="s">
        <v>19</v>
      </c>
      <c r="F9320" s="18">
        <v>0.36199999999999999</v>
      </c>
      <c r="G9320" s="19">
        <f>VLOOKUP(D9320,upahbahan,3,FALSE)</f>
        <v>145000</v>
      </c>
      <c r="H9320" s="19">
        <f t="shared" si="989"/>
        <v>52490</v>
      </c>
    </row>
    <row r="9321" spans="3:11" x14ac:dyDescent="0.3">
      <c r="C9321" s="16">
        <v>3</v>
      </c>
      <c r="D9321" s="13" t="s">
        <v>1224</v>
      </c>
      <c r="E9321" s="17" t="s">
        <v>19</v>
      </c>
      <c r="F9321" s="18">
        <v>3.5999999999999997E-2</v>
      </c>
      <c r="G9321" s="19">
        <f>VLOOKUP(D9321,upahbahan,3,FALSE)</f>
        <v>175000</v>
      </c>
      <c r="H9321" s="19">
        <f t="shared" si="989"/>
        <v>6299.9999999999991</v>
      </c>
    </row>
    <row r="9322" spans="3:11" x14ac:dyDescent="0.3">
      <c r="C9322" s="16">
        <v>4</v>
      </c>
      <c r="D9322" s="13" t="s">
        <v>23</v>
      </c>
      <c r="E9322" s="17" t="s">
        <v>19</v>
      </c>
      <c r="F9322" s="18">
        <v>1.2E-2</v>
      </c>
      <c r="G9322" s="19">
        <f>VLOOKUP(D9322,upahbahan,3,FALSE)</f>
        <v>200000</v>
      </c>
      <c r="H9322" s="19">
        <f t="shared" si="989"/>
        <v>2400</v>
      </c>
    </row>
    <row r="9323" spans="3:11" x14ac:dyDescent="0.3">
      <c r="C9323" s="21" t="s">
        <v>24</v>
      </c>
      <c r="D9323" s="22"/>
      <c r="E9323" s="22"/>
      <c r="F9323" s="54"/>
      <c r="G9323" s="24"/>
      <c r="H9323" s="19">
        <f>SUM(H9319:H9322)</f>
        <v>82890</v>
      </c>
      <c r="I9323" s="25"/>
    </row>
    <row r="9324" spans="3:11" x14ac:dyDescent="0.25">
      <c r="C9324" s="12" t="s">
        <v>25</v>
      </c>
      <c r="D9324" s="13" t="s">
        <v>26</v>
      </c>
      <c r="E9324" s="14"/>
      <c r="F9324" s="55"/>
      <c r="G9324" s="14"/>
      <c r="H9324" s="14"/>
    </row>
    <row r="9325" spans="3:11" x14ac:dyDescent="0.25">
      <c r="C9325" s="12">
        <v>1</v>
      </c>
      <c r="D9325" s="13" t="s">
        <v>1716</v>
      </c>
      <c r="E9325" s="53" t="s">
        <v>1717</v>
      </c>
      <c r="F9325" s="115">
        <v>1.2</v>
      </c>
      <c r="G9325" s="19">
        <f>VLOOKUP(D9325,upahbahan,3,FALSE)</f>
        <v>222000</v>
      </c>
      <c r="H9325" s="19">
        <f t="shared" ref="H9325:H9328" si="990">F9325*G9325</f>
        <v>266400</v>
      </c>
    </row>
    <row r="9326" spans="3:11" x14ac:dyDescent="0.25">
      <c r="C9326" s="12">
        <v>2</v>
      </c>
      <c r="D9326" s="13" t="s">
        <v>1718</v>
      </c>
      <c r="E9326" s="53" t="s">
        <v>1011</v>
      </c>
      <c r="F9326" s="115">
        <v>1</v>
      </c>
      <c r="G9326" s="19">
        <f>VLOOKUP(D9326,upahbahan,3,FALSE)</f>
        <v>56500</v>
      </c>
      <c r="H9326" s="19">
        <f t="shared" si="990"/>
        <v>56500</v>
      </c>
    </row>
    <row r="9327" spans="3:11" x14ac:dyDescent="0.25">
      <c r="C9327" s="12">
        <v>3</v>
      </c>
      <c r="D9327" s="13" t="s">
        <v>1719</v>
      </c>
      <c r="E9327" s="53" t="s">
        <v>1011</v>
      </c>
      <c r="F9327" s="115">
        <v>1</v>
      </c>
      <c r="G9327" s="19">
        <f>VLOOKUP(D9327,upahbahan,3,FALSE)</f>
        <v>92000</v>
      </c>
      <c r="H9327" s="19">
        <f t="shared" si="990"/>
        <v>92000</v>
      </c>
    </row>
    <row r="9328" spans="3:11" x14ac:dyDescent="0.25">
      <c r="C9328" s="12">
        <v>4</v>
      </c>
      <c r="D9328" s="13" t="s">
        <v>1720</v>
      </c>
      <c r="E9328" s="53" t="s">
        <v>1011</v>
      </c>
      <c r="F9328" s="115">
        <v>1</v>
      </c>
      <c r="G9328" s="19">
        <f>VLOOKUP(D9328,upahbahan,3,FALSE)</f>
        <v>55000</v>
      </c>
      <c r="H9328" s="19">
        <f t="shared" si="990"/>
        <v>55000</v>
      </c>
    </row>
    <row r="9329" spans="3:9" x14ac:dyDescent="0.3">
      <c r="C9329" s="21" t="s">
        <v>29</v>
      </c>
      <c r="D9329" s="22"/>
      <c r="E9329" s="22" t="s">
        <v>1340</v>
      </c>
      <c r="F9329" s="22"/>
      <c r="G9329" s="28"/>
      <c r="H9329" s="19">
        <f>SUM(H9324:H9328)</f>
        <v>469900</v>
      </c>
    </row>
    <row r="9330" spans="3:9" x14ac:dyDescent="0.25">
      <c r="C9330" s="12" t="s">
        <v>30</v>
      </c>
      <c r="D9330" s="13" t="s">
        <v>31</v>
      </c>
      <c r="E9330" s="14"/>
      <c r="F9330" s="14"/>
      <c r="G9330" s="14"/>
      <c r="H9330" s="14"/>
    </row>
    <row r="9331" spans="3:9" x14ac:dyDescent="0.3">
      <c r="C9331" s="21" t="s">
        <v>32</v>
      </c>
      <c r="D9331" s="77"/>
      <c r="E9331" s="77"/>
      <c r="F9331" s="77"/>
      <c r="G9331" s="28"/>
      <c r="H9331" s="29">
        <f>SUM(H9330:H9330)</f>
        <v>0</v>
      </c>
    </row>
    <row r="9332" spans="3:9" x14ac:dyDescent="0.3">
      <c r="C9332" s="30" t="s">
        <v>33</v>
      </c>
      <c r="D9332" s="31" t="s">
        <v>34</v>
      </c>
      <c r="E9332" s="32"/>
      <c r="F9332" s="32"/>
      <c r="G9332" s="33"/>
      <c r="H9332" s="46">
        <f>H9331+H9329+H9323</f>
        <v>552790</v>
      </c>
      <c r="I9332" s="47"/>
    </row>
    <row r="9333" spans="3:9" x14ac:dyDescent="0.3">
      <c r="C9333" s="30" t="s">
        <v>35</v>
      </c>
      <c r="D9333" s="31" t="s">
        <v>36</v>
      </c>
      <c r="E9333" s="32"/>
      <c r="F9333" s="33"/>
      <c r="G9333" s="34">
        <f>$M$9</f>
        <v>0.1</v>
      </c>
      <c r="H9333" s="19">
        <f>H9332*G9333</f>
        <v>55279</v>
      </c>
      <c r="I9333" s="47"/>
    </row>
    <row r="9334" spans="3:9" x14ac:dyDescent="0.3">
      <c r="C9334" s="30" t="s">
        <v>37</v>
      </c>
      <c r="D9334" s="31" t="s">
        <v>38</v>
      </c>
      <c r="E9334" s="32"/>
      <c r="F9334" s="32"/>
      <c r="G9334" s="33"/>
      <c r="H9334" s="48">
        <f>SUM(H9332:H9333)</f>
        <v>608069</v>
      </c>
      <c r="I9334" s="47"/>
    </row>
  </sheetData>
  <dataValidations count="1">
    <dataValidation type="list" allowBlank="1" showInputMessage="1" showErrorMessage="1" sqref="D9:D12" xr:uid="{77450000-1DC9-4FEB-90AE-A5B7C34711CD}">
      <formula1>TENAGA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Hanai</dc:creator>
  <cp:lastModifiedBy>Farhan Hanai</cp:lastModifiedBy>
  <dcterms:created xsi:type="dcterms:W3CDTF">2026-08-29T14:14:42Z</dcterms:created>
  <dcterms:modified xsi:type="dcterms:W3CDTF">2026-08-29T14:46:32Z</dcterms:modified>
</cp:coreProperties>
</file>